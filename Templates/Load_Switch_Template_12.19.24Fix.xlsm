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Code_WIP\24.0V-eff-DCDCTesting_2024-12-19--11-58-10\"/>
    </mc:Choice>
  </mc:AlternateContent>
  <xr:revisionPtr revIDLastSave="0" documentId="13_ncr:1_{6E0F6846-BEBC-441D-9F99-DFE045EB809E}" xr6:coauthVersionLast="36" xr6:coauthVersionMax="36" xr10:uidLastSave="{00000000-0000-0000-0000-000000000000}"/>
  <bookViews>
    <workbookView xWindow="-120" yWindow="-120" windowWidth="28920" windowHeight="12930" activeTab="1" xr2:uid="{00000000-000D-0000-FFFF-FFFF00000000}"/>
  </bookViews>
  <sheets>
    <sheet name="Cover" sheetId="2" r:id="rId1"/>
    <sheet name="Load Switch" sheetId="1" r:id="rId2"/>
  </sheets>
  <functionGroups builtInGroupCount="19"/>
  <definedNames>
    <definedName name="DUT_VIN">'Load Switch'!$E$9</definedName>
    <definedName name="DUT_VOUT">'Load Switch'!$E$6</definedName>
    <definedName name="ICCMAX">'Load Switch'!$E$11:$G$11</definedName>
    <definedName name="ICCTDC">'Load Switch'!$E$12:$G$12</definedName>
    <definedName name="MB_REV">'Load Switch'!$E$5</definedName>
    <definedName name="NET_NAME">'Load Switch'!$E$2</definedName>
    <definedName name="OCP_MEAS">'Load Switch'!$D$267</definedName>
    <definedName name="OVERCURRENT">'Load Switch'!$A$270</definedName>
    <definedName name="Summary">'Load Switch'!$AJ$3:$AM$33</definedName>
    <definedName name="tran_0_50_10000">'Load Switch'!$AG$127</definedName>
    <definedName name="tran_50_100_100">'Load Switch'!$A$167</definedName>
    <definedName name="tran_50_100_1000">'Load Switch'!$O$167</definedName>
    <definedName name="tran_50_100_10000">'Load Switch'!$AG$167</definedName>
    <definedName name="trans_0_50_100">'Load Switch'!$A$127</definedName>
    <definedName name="trans_0_50_1000">'Load Switch'!$O$127</definedName>
    <definedName name="TRANS_0_50_MEAS">'Load Switch'!$D$112:$F$114</definedName>
    <definedName name="TRANS_50_100_MEAS">'Load Switch'!$D$116:$F$118</definedName>
    <definedName name="TRANSIENT_CURR">'Load Switch'!$E$13</definedName>
    <definedName name="TRANSIENT_SLEW">'Load Switch'!$E$14</definedName>
    <definedName name="TURN_OFF_AC">'Load Switch'!$A$454</definedName>
    <definedName name="TURN_OFF_AC_Z">'Load Switch'!$O$454</definedName>
    <definedName name="TURN_OFF_MEAS">'Load Switch'!$D$406:$E$409</definedName>
    <definedName name="TURN_OFF_PB">'Load Switch'!$A$414</definedName>
    <definedName name="TURN_OFF_PB_Z">'Load Switch'!$O$414</definedName>
    <definedName name="TURN_ON_MEAS">'Load Switch'!$D$314:$D$317</definedName>
    <definedName name="TURN_ON_MIN">'Load Switch'!$A$321</definedName>
    <definedName name="TURN_ON_MIN_Z">'Load Switch'!$O$321</definedName>
    <definedName name="TURN_ON_TDC">'Load Switch'!$A$360</definedName>
    <definedName name="TURN_ON_TDC_Z">'Load Switch'!$O$360</definedName>
    <definedName name="VIN_MAX">'Load Switch'!$AG$221</definedName>
    <definedName name="VIN_MEAS">'Load Switch'!$D$209:$E$212</definedName>
    <definedName name="VIN_MIN">'Load Switch'!$A$221</definedName>
    <definedName name="VIN_TDC">'Load Switch'!$O$221</definedName>
    <definedName name="VIN_TRANS">'Load Switch'!$AV$221</definedName>
    <definedName name="VO_MAX">'Load Switch'!$AE$69</definedName>
    <definedName name="VO_MEAS">'Load Switch'!$D$60:$F$62</definedName>
    <definedName name="VO_MIN">'Load Switch'!$A$69</definedName>
    <definedName name="VO_TDC">'Load Switch'!$N$69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0" i="1" l="1"/>
  <c r="L212" i="1" l="1"/>
  <c r="L211" i="1"/>
  <c r="L210" i="1"/>
  <c r="L209" i="1"/>
  <c r="M62" i="1"/>
  <c r="AJ13" i="1" s="1"/>
  <c r="M61" i="1"/>
  <c r="AJ12" i="1" s="1"/>
  <c r="AJ11" i="1"/>
  <c r="H29" i="1" l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28" i="1"/>
  <c r="G35" i="1"/>
  <c r="G36" i="1"/>
  <c r="G51" i="1"/>
  <c r="G52" i="1"/>
  <c r="G53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G41" i="1" s="1"/>
  <c r="F42" i="1"/>
  <c r="G42" i="1" s="1"/>
  <c r="F43" i="1"/>
  <c r="G43" i="1" s="1"/>
  <c r="F44" i="1"/>
  <c r="F45" i="1"/>
  <c r="F46" i="1"/>
  <c r="F47" i="1"/>
  <c r="F48" i="1"/>
  <c r="F49" i="1"/>
  <c r="F50" i="1"/>
  <c r="F51" i="1"/>
  <c r="F52" i="1"/>
  <c r="F53" i="1"/>
  <c r="F28" i="1"/>
  <c r="E29" i="1"/>
  <c r="G29" i="1" s="1"/>
  <c r="E30" i="1"/>
  <c r="G30" i="1" s="1"/>
  <c r="E31" i="1"/>
  <c r="G31" i="1" s="1"/>
  <c r="E32" i="1"/>
  <c r="G32" i="1" s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G45" i="1" s="1"/>
  <c r="E46" i="1"/>
  <c r="E47" i="1"/>
  <c r="E48" i="1"/>
  <c r="G48" i="1" s="1"/>
  <c r="E49" i="1"/>
  <c r="E50" i="1"/>
  <c r="E51" i="1"/>
  <c r="E52" i="1"/>
  <c r="E53" i="1"/>
  <c r="E28" i="1"/>
  <c r="G28" i="1" l="1"/>
  <c r="G37" i="1"/>
  <c r="G50" i="1"/>
  <c r="G34" i="1"/>
  <c r="G33" i="1"/>
  <c r="AJ10" i="1"/>
  <c r="G47" i="1"/>
  <c r="G49" i="1"/>
  <c r="G46" i="1"/>
  <c r="G44" i="1"/>
  <c r="G40" i="1"/>
  <c r="G39" i="1"/>
  <c r="G38" i="1"/>
  <c r="AJ9" i="1"/>
  <c r="AN9" i="1"/>
  <c r="AN31" i="1" l="1"/>
  <c r="AN30" i="1"/>
  <c r="AJ31" i="1"/>
  <c r="AJ30" i="1"/>
  <c r="AJ29" i="1"/>
  <c r="AJ28" i="1"/>
  <c r="AJ6" i="1" l="1"/>
  <c r="AJ5" i="1"/>
  <c r="AN27" i="1" l="1"/>
  <c r="AJ24" i="1"/>
  <c r="AJ25" i="1"/>
  <c r="AJ26" i="1"/>
  <c r="F209" i="1"/>
  <c r="AJ23" i="1"/>
  <c r="AN26" i="1"/>
  <c r="AN25" i="1"/>
  <c r="AN24" i="1"/>
  <c r="AN23" i="1"/>
  <c r="AJ27" i="1"/>
  <c r="AJ4" i="1"/>
  <c r="AJ21" i="1"/>
  <c r="AJ20" i="1"/>
  <c r="AJ19" i="1"/>
  <c r="AJ17" i="1"/>
  <c r="AJ16" i="1"/>
  <c r="AJ15" i="1"/>
  <c r="AJ3" i="1" l="1"/>
  <c r="F210" i="1" l="1"/>
  <c r="H210" i="1" s="1"/>
  <c r="J210" i="1" s="1"/>
  <c r="G210" i="1"/>
  <c r="I210" i="1" s="1"/>
  <c r="K210" i="1" s="1"/>
  <c r="F211" i="1"/>
  <c r="H211" i="1" s="1"/>
  <c r="J211" i="1" s="1"/>
  <c r="G211" i="1"/>
  <c r="I211" i="1" s="1"/>
  <c r="K211" i="1" s="1"/>
  <c r="F212" i="1"/>
  <c r="H212" i="1" s="1"/>
  <c r="J212" i="1" s="1"/>
  <c r="G212" i="1"/>
  <c r="I212" i="1" s="1"/>
  <c r="K212" i="1" s="1"/>
  <c r="G209" i="1"/>
  <c r="I209" i="1" s="1"/>
  <c r="K209" i="1" s="1"/>
  <c r="H209" i="1"/>
  <c r="J209" i="1" s="1"/>
  <c r="C25" i="1" l="1"/>
  <c r="E8" i="1"/>
  <c r="E7" i="1"/>
  <c r="H60" i="1" s="1"/>
  <c r="AJ8" i="1" l="1"/>
  <c r="AN13" i="1"/>
  <c r="AN11" i="1"/>
  <c r="AN12" i="1"/>
  <c r="AN20" i="1"/>
  <c r="AN21" i="1"/>
  <c r="AN16" i="1"/>
  <c r="AN19" i="1"/>
  <c r="AN17" i="1"/>
  <c r="AN15" i="1"/>
  <c r="G62" i="1"/>
  <c r="I62" i="1" s="1"/>
  <c r="K62" i="1" s="1"/>
  <c r="J60" i="1"/>
  <c r="L60" i="1" s="1"/>
  <c r="G116" i="1"/>
  <c r="I116" i="1" s="1"/>
  <c r="K116" i="1" s="1"/>
  <c r="H116" i="1"/>
  <c r="J116" i="1" s="1"/>
  <c r="L116" i="1" s="1"/>
  <c r="G113" i="1"/>
  <c r="I113" i="1" s="1"/>
  <c r="K113" i="1" s="1"/>
  <c r="G118" i="1"/>
  <c r="I118" i="1" s="1"/>
  <c r="K118" i="1" s="1"/>
  <c r="H113" i="1"/>
  <c r="J113" i="1" s="1"/>
  <c r="L113" i="1" s="1"/>
  <c r="H118" i="1"/>
  <c r="J118" i="1" s="1"/>
  <c r="L118" i="1" s="1"/>
  <c r="G112" i="1"/>
  <c r="I112" i="1" s="1"/>
  <c r="K112" i="1" s="1"/>
  <c r="G114" i="1"/>
  <c r="I114" i="1" s="1"/>
  <c r="K114" i="1" s="1"/>
  <c r="G117" i="1"/>
  <c r="I117" i="1" s="1"/>
  <c r="K117" i="1" s="1"/>
  <c r="H112" i="1"/>
  <c r="J112" i="1" s="1"/>
  <c r="L112" i="1" s="1"/>
  <c r="H114" i="1"/>
  <c r="J114" i="1" s="1"/>
  <c r="L114" i="1" s="1"/>
  <c r="H117" i="1"/>
  <c r="J117" i="1" s="1"/>
  <c r="L117" i="1" s="1"/>
  <c r="H61" i="1"/>
  <c r="G61" i="1"/>
  <c r="G60" i="1"/>
  <c r="I60" i="1" s="1"/>
  <c r="K60" i="1" s="1"/>
  <c r="H62" i="1"/>
  <c r="J62" i="1" l="1"/>
  <c r="L62" i="1" s="1"/>
  <c r="J61" i="1"/>
  <c r="L61" i="1" s="1"/>
  <c r="I61" i="1"/>
  <c r="K61" i="1" s="1"/>
</calcChain>
</file>

<file path=xl/sharedStrings.xml><?xml version="1.0" encoding="utf-8"?>
<sst xmlns="http://schemas.openxmlformats.org/spreadsheetml/2006/main" count="252" uniqueCount="154">
  <si>
    <t>Output Net Name:</t>
  </si>
  <si>
    <t>Tests Performed</t>
  </si>
  <si>
    <t xml:space="preserve">NOTES &amp; CHANGES:
</t>
  </si>
  <si>
    <t>Voltage vs Current</t>
  </si>
  <si>
    <t>Motherboard Rev:</t>
  </si>
  <si>
    <t>Output Voltage:</t>
  </si>
  <si>
    <t>V</t>
  </si>
  <si>
    <t>Output Maximum Limit:</t>
  </si>
  <si>
    <t>Output Ripple Voltage</t>
  </si>
  <si>
    <t>Output Minimum Limit:</t>
  </si>
  <si>
    <t>Transient Response</t>
  </si>
  <si>
    <t>Overcurrent Testing</t>
  </si>
  <si>
    <t>Turn-On Response Testing</t>
  </si>
  <si>
    <t>Turn-Off Response Testing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</si>
  <si>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</si>
  <si>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</si>
  <si>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</si>
  <si>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</si>
  <si>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</si>
  <si>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</si>
  <si>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</si>
  <si>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</si>
  <si>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t>Cap V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</si>
  <si>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</si>
  <si>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</si>
  <si>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</si>
  <si>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</si>
  <si>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</si>
  <si>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</si>
  <si>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</si>
  <si>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</si>
  <si>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</si>
  <si>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</si>
  <si>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</si>
  <si>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</si>
  <si>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</si>
  <si>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</si>
  <si>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</si>
  <si>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</si>
  <si>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</si>
  <si>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</si>
  <si>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</si>
  <si>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</si>
  <si>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</si>
  <si>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</si>
  <si>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</si>
  <si>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Max Load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</si>
  <si>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</si>
  <si>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</si>
  <si>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</si>
  <si>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</si>
  <si>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</si>
  <si>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</si>
  <si>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</si>
  <si>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</si>
  <si>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</si>
  <si>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</si>
  <si>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</si>
  <si>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</si>
  <si>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</si>
  <si>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</si>
  <si>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</si>
  <si>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</si>
  <si>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</si>
  <si>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</si>
  <si>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</si>
  <si>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</si>
  <si>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</si>
  <si>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</si>
  <si>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</si>
  <si>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</si>
  <si>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</si>
  <si>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</si>
  <si>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</si>
  <si>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</si>
  <si>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</si>
  <si>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</si>
  <si>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</si>
  <si>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</si>
  <si>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</si>
  <si>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</si>
  <si>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</si>
  <si>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</si>
  <si>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</si>
  <si>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</si>
  <si>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SUMMARY</t>
  </si>
  <si>
    <t>Regulator</t>
  </si>
  <si>
    <t>Specification</t>
  </si>
  <si>
    <t>Test Conditions</t>
  </si>
  <si>
    <t>Test items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</si>
  <si>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</si>
  <si>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</si>
  <si>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</si>
  <si>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Test Result</t>
  </si>
  <si>
    <t>1. Output Ripple Voltage @ Min Load</t>
  </si>
  <si>
    <t xml:space="preserve">    Output Ripple Voltage @ TDC Load</t>
  </si>
  <si>
    <t xml:space="preserve">    50%~100%</t>
  </si>
  <si>
    <t>3.Turn-On Response Testing</t>
  </si>
  <si>
    <t xml:space="preserve">    Output Ripple Voltage @ Max Load</t>
  </si>
  <si>
    <t>Spec</t>
  </si>
  <si>
    <t>IN SPEC</t>
  </si>
  <si>
    <t>1. Voltage vs Current</t>
  </si>
  <si>
    <t>2. Output Ripple Voltage @ Min Load</t>
  </si>
  <si>
    <t>3.  0%~50%</t>
  </si>
  <si>
    <t>4. Input ripple Voltage</t>
  </si>
  <si>
    <t xml:space="preserve">    Min Load</t>
  </si>
  <si>
    <t xml:space="preserve">    TDC Load</t>
  </si>
  <si>
    <t xml:space="preserve">    Max Load</t>
  </si>
  <si>
    <t xml:space="preserve">    Transient @ output</t>
  </si>
  <si>
    <t>5. Overcurrent Testing</t>
  </si>
  <si>
    <t>6. Rise time (Min)</t>
  </si>
  <si>
    <t>7. Rise time (TDC)</t>
  </si>
  <si>
    <t>8. Output Low level (power button)</t>
  </si>
  <si>
    <t>9.  Output low level (AC Power)</t>
  </si>
  <si>
    <t>Load switch IC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</si>
  <si>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</si>
  <si>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</si>
  <si>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</si>
  <si>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</si>
  <si>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</si>
  <si>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</si>
  <si>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</si>
  <si>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</si>
  <si>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</si>
  <si>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</si>
  <si>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</si>
  <si>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</si>
  <si>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</si>
  <si>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</si>
  <si>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</si>
  <si>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r>
      <t>V</t>
    </r>
    <r>
      <rPr>
        <b/>
        <vertAlign val="subscript"/>
        <sz val="10"/>
        <color rgb="FF000000"/>
        <rFont val="Arial1"/>
      </rPr>
      <t>INPUT</t>
    </r>
  </si>
  <si>
    <t>Load switch R</t>
  </si>
  <si>
    <t>mOhm</t>
  </si>
  <si>
    <t>to input (mOhm)</t>
  </si>
  <si>
    <t>to output (mOhm)</t>
  </si>
  <si>
    <t>Limit</t>
  </si>
  <si>
    <t>Load Switch max DC resistance (mOhm)</t>
  </si>
  <si>
    <t>[Project xxx]
Load Switch Evaluation</t>
  </si>
  <si>
    <t>Load switch</t>
  </si>
  <si>
    <t>Vdrop (%)</t>
  </si>
  <si>
    <t>ICC MAX (A):</t>
  </si>
  <si>
    <t>TDC Load(A):</t>
  </si>
  <si>
    <t>Transient Current(A):</t>
  </si>
  <si>
    <t>Transient Slew Rate(A/us):</t>
  </si>
  <si>
    <t>Load Switch Resistance @TDC</t>
  </si>
  <si>
    <t>Load switch voltage drop @ TDC</t>
  </si>
  <si>
    <t>HDO6104A</t>
  </si>
  <si>
    <t>Load Switch Test instructions V1.0</t>
  </si>
  <si>
    <t>Ripple (%)</t>
  </si>
  <si>
    <t>Ripple (% Vin)</t>
  </si>
  <si>
    <t>&lt;2%</t>
  </si>
  <si>
    <t>DC resistance</t>
  </si>
  <si>
    <t>V1.2</t>
  </si>
  <si>
    <t>eff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</si>
</sst>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28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i/>
      <sz val="10"/>
      <color rgb="FF003366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22"/>
      <color theme="1"/>
      <name val="Arial"/>
      <family val="2"/>
    </font>
    <font>
      <sz val="14"/>
      <color theme="1"/>
      <name val="Arial1"/>
    </font>
    <font>
      <sz val="18"/>
      <color theme="1"/>
      <name val="Arial"/>
      <family val="2"/>
    </font>
    <font>
      <sz val="12"/>
      <color rgb="FF0070C0"/>
      <name val="Arial1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b/>
      <vertAlign val="subscript"/>
      <sz val="10"/>
      <color rgb="FF000000"/>
      <name val="Arial1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</fonts>
  <fills count="20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DDDDDD"/>
      </patternFill>
    </fill>
    <fill>
      <patternFill patternType="solid">
        <fgColor theme="2" tint="-9.9978637043366805E-2"/>
        <bgColor rgb="FFDDDDDD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  <fill>
      <patternFill patternType="solid">
        <fgColor rgb="FF99CC00"/>
        <bgColor rgb="FF99CC00"/>
      </patternFill>
    </fill>
  </fills>
  <borders count="4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0" fillId="0" borderId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8" fillId="0" borderId="0" xfId="0" applyNumberFormat="1" applyFont="1" applyAlignment="1">
      <alignment horizontal="center"/>
    </xf>
    <xf numFmtId="0" fontId="9" fillId="6" borderId="3" xfId="0" applyFont="1" applyFill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/>
    </xf>
    <xf numFmtId="165" fontId="10" fillId="0" borderId="1" xfId="0" applyNumberFormat="1" applyFont="1" applyBorder="1" applyAlignment="1">
      <alignment horizont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/>
    </xf>
    <xf numFmtId="0" fontId="11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left" vertical="center"/>
    </xf>
    <xf numFmtId="0" fontId="1" fillId="11" borderId="7" xfId="0" applyFont="1" applyFill="1" applyBorder="1" applyAlignment="1">
      <alignment horizontal="left" vertical="center"/>
    </xf>
    <xf numFmtId="0" fontId="1" fillId="11" borderId="7" xfId="0" applyFont="1" applyFill="1" applyBorder="1" applyAlignment="1">
      <alignment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vertical="center"/>
    </xf>
    <xf numFmtId="2" fontId="1" fillId="0" borderId="7" xfId="0" applyNumberFormat="1" applyFont="1" applyBorder="1" applyAlignment="1">
      <alignment vertical="center"/>
    </xf>
    <xf numFmtId="0" fontId="0" fillId="0" borderId="7" xfId="0" applyBorder="1" applyAlignment="1">
      <alignment horizontal="center"/>
    </xf>
    <xf numFmtId="0" fontId="0" fillId="10" borderId="7" xfId="0" applyFill="1" applyBorder="1"/>
    <xf numFmtId="0" fontId="0" fillId="10" borderId="10" xfId="0" applyFill="1" applyBorder="1" applyAlignment="1"/>
    <xf numFmtId="0" fontId="0" fillId="10" borderId="0" xfId="0" applyFill="1" applyBorder="1" applyAlignment="1"/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7" xfId="0" applyBorder="1" applyAlignment="1">
      <alignment horizontal="center" vertical="center" wrapText="1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15" borderId="22" xfId="0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8" fillId="0" borderId="0" xfId="0" applyFont="1" applyBorder="1" applyAlignment="1">
      <alignment horizontal="center" vertical="center" wrapText="1"/>
    </xf>
    <xf numFmtId="0" fontId="20" fillId="0" borderId="0" xfId="1" applyFont="1" applyAlignment="1"/>
    <xf numFmtId="0" fontId="9" fillId="19" borderId="3" xfId="0" applyFont="1" applyFill="1" applyBorder="1" applyAlignment="1">
      <alignment horizontal="center" vertical="center"/>
    </xf>
    <xf numFmtId="0" fontId="9" fillId="19" borderId="6" xfId="0" applyFont="1" applyFill="1" applyBorder="1" applyAlignment="1">
      <alignment horizontal="center" vertical="center"/>
    </xf>
    <xf numFmtId="10" fontId="10" fillId="0" borderId="1" xfId="2" applyNumberFormat="1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21" fillId="0" borderId="33" xfId="1" applyFont="1" applyBorder="1" applyAlignment="1">
      <alignment horizontal="left"/>
    </xf>
    <xf numFmtId="0" fontId="23" fillId="0" borderId="34" xfId="1" applyFont="1" applyBorder="1"/>
    <xf numFmtId="0" fontId="23" fillId="0" borderId="35" xfId="1" applyFont="1" applyBorder="1"/>
    <xf numFmtId="0" fontId="21" fillId="0" borderId="36" xfId="1" applyFont="1" applyBorder="1" applyAlignment="1">
      <alignment horizontal="left"/>
    </xf>
    <xf numFmtId="0" fontId="23" fillId="0" borderId="37" xfId="1" applyFont="1" applyBorder="1"/>
    <xf numFmtId="0" fontId="21" fillId="0" borderId="38" xfId="1" applyFont="1" applyBorder="1" applyAlignment="1">
      <alignment horizontal="left"/>
    </xf>
    <xf numFmtId="0" fontId="20" fillId="0" borderId="0" xfId="1" applyFont="1" applyAlignment="1"/>
    <xf numFmtId="0" fontId="21" fillId="0" borderId="0" xfId="1" applyFont="1" applyAlignment="1">
      <alignment horizontal="left"/>
    </xf>
    <xf numFmtId="0" fontId="23" fillId="0" borderId="39" xfId="1" applyFont="1" applyBorder="1"/>
    <xf numFmtId="0" fontId="21" fillId="0" borderId="40" xfId="1" applyFont="1" applyBorder="1" applyAlignment="1">
      <alignment horizontal="left"/>
    </xf>
    <xf numFmtId="0" fontId="23" fillId="0" borderId="41" xfId="1" applyFont="1" applyBorder="1"/>
    <xf numFmtId="0" fontId="23" fillId="0" borderId="42" xfId="1" applyFont="1" applyBorder="1"/>
    <xf numFmtId="0" fontId="21" fillId="0" borderId="43" xfId="1" applyFont="1" applyBorder="1" applyAlignment="1">
      <alignment horizontal="left" wrapText="1"/>
    </xf>
    <xf numFmtId="0" fontId="23" fillId="0" borderId="41" xfId="1" applyFont="1" applyBorder="1" applyAlignment="1">
      <alignment wrapText="1"/>
    </xf>
    <xf numFmtId="0" fontId="23" fillId="0" borderId="44" xfId="1" applyFont="1" applyBorder="1" applyAlignment="1">
      <alignment wrapText="1"/>
    </xf>
    <xf numFmtId="0" fontId="21" fillId="0" borderId="26" xfId="1" applyFont="1" applyBorder="1" applyAlignment="1">
      <alignment horizontal="left"/>
    </xf>
    <xf numFmtId="0" fontId="23" fillId="0" borderId="27" xfId="1" applyFont="1" applyBorder="1"/>
    <xf numFmtId="0" fontId="23" fillId="0" borderId="28" xfId="1" applyFont="1" applyBorder="1"/>
    <xf numFmtId="0" fontId="21" fillId="0" borderId="29" xfId="1" applyFont="1" applyBorder="1" applyAlignment="1">
      <alignment horizontal="left"/>
    </xf>
    <xf numFmtId="0" fontId="23" fillId="0" borderId="30" xfId="1" applyFont="1" applyBorder="1"/>
    <xf numFmtId="0" fontId="27" fillId="0" borderId="31" xfId="1" applyFont="1" applyBorder="1" applyAlignment="1">
      <alignment horizontal="center"/>
    </xf>
    <xf numFmtId="0" fontId="23" fillId="0" borderId="19" xfId="1" applyFont="1" applyBorder="1" applyAlignment="1">
      <alignment horizontal="center"/>
    </xf>
    <xf numFmtId="0" fontId="23" fillId="0" borderId="8" xfId="1" applyFont="1" applyBorder="1" applyAlignment="1">
      <alignment horizontal="center"/>
    </xf>
    <xf numFmtId="14" fontId="21" fillId="0" borderId="17" xfId="1" applyNumberFormat="1" applyFont="1" applyBorder="1" applyAlignment="1">
      <alignment horizontal="left"/>
    </xf>
    <xf numFmtId="0" fontId="23" fillId="0" borderId="18" xfId="1" applyFont="1" applyBorder="1"/>
    <xf numFmtId="0" fontId="23" fillId="0" borderId="46" xfId="1" applyFont="1" applyBorder="1"/>
    <xf numFmtId="0" fontId="27" fillId="0" borderId="33" xfId="1" applyFont="1" applyBorder="1" applyAlignment="1">
      <alignment horizontal="center"/>
    </xf>
    <xf numFmtId="0" fontId="23" fillId="0" borderId="34" xfId="1" applyFont="1" applyBorder="1" applyAlignment="1">
      <alignment horizontal="center"/>
    </xf>
    <xf numFmtId="0" fontId="23" fillId="0" borderId="35" xfId="1" applyFont="1" applyBorder="1" applyAlignment="1">
      <alignment horizontal="center"/>
    </xf>
    <xf numFmtId="0" fontId="23" fillId="0" borderId="38" xfId="1" applyFont="1" applyBorder="1"/>
    <xf numFmtId="0" fontId="27" fillId="0" borderId="45" xfId="1" applyFont="1" applyBorder="1" applyAlignment="1">
      <alignment horizontal="center"/>
    </xf>
    <xf numFmtId="0" fontId="23" fillId="0" borderId="18" xfId="1" applyFont="1" applyBorder="1" applyAlignment="1">
      <alignment horizontal="center"/>
    </xf>
    <xf numFmtId="0" fontId="23" fillId="0" borderId="25" xfId="1" applyFont="1" applyBorder="1" applyAlignment="1">
      <alignment horizontal="center"/>
    </xf>
    <xf numFmtId="0" fontId="21" fillId="0" borderId="43" xfId="1" applyFont="1" applyBorder="1" applyAlignment="1">
      <alignment horizontal="left"/>
    </xf>
    <xf numFmtId="0" fontId="23" fillId="0" borderId="44" xfId="1" applyFont="1" applyBorder="1"/>
    <xf numFmtId="0" fontId="21" fillId="0" borderId="31" xfId="1" applyFont="1" applyBorder="1" applyAlignment="1">
      <alignment horizontal="left"/>
    </xf>
    <xf numFmtId="0" fontId="23" fillId="0" borderId="19" xfId="1" applyFont="1" applyBorder="1"/>
    <xf numFmtId="0" fontId="23" fillId="0" borderId="8" xfId="1" applyFont="1" applyBorder="1"/>
    <xf numFmtId="0" fontId="21" fillId="0" borderId="5" xfId="1" applyFont="1" applyBorder="1" applyAlignment="1">
      <alignment horizontal="left"/>
    </xf>
    <xf numFmtId="0" fontId="23" fillId="0" borderId="32" xfId="1" applyFont="1" applyBorder="1"/>
    <xf numFmtId="0" fontId="21" fillId="0" borderId="33" xfId="1" applyFont="1" applyBorder="1" applyAlignment="1">
      <alignment horizontal="left" wrapText="1"/>
    </xf>
    <xf numFmtId="0" fontId="26" fillId="0" borderId="29" xfId="3" applyBorder="1" applyAlignment="1">
      <alignment horizontal="left"/>
    </xf>
    <xf numFmtId="0" fontId="26" fillId="0" borderId="27" xfId="3" applyBorder="1"/>
    <xf numFmtId="0" fontId="26" fillId="0" borderId="30" xfId="3" applyBorder="1"/>
    <xf numFmtId="0" fontId="21" fillId="17" borderId="0" xfId="1" applyFont="1" applyFill="1" applyAlignment="1">
      <alignment horizontal="right"/>
    </xf>
    <xf numFmtId="0" fontId="22" fillId="18" borderId="20" xfId="1" applyFont="1" applyFill="1" applyBorder="1" applyAlignment="1">
      <alignment horizontal="center" vertical="center" wrapText="1"/>
    </xf>
    <xf numFmtId="0" fontId="23" fillId="0" borderId="21" xfId="1" applyFont="1" applyBorder="1"/>
    <xf numFmtId="0" fontId="23" fillId="0" borderId="24" xfId="1" applyFont="1" applyBorder="1"/>
    <xf numFmtId="0" fontId="23" fillId="0" borderId="9" xfId="1" applyFont="1" applyBorder="1"/>
    <xf numFmtId="0" fontId="23" fillId="0" borderId="2" xfId="1" applyFont="1" applyBorder="1"/>
    <xf numFmtId="0" fontId="23" fillId="0" borderId="17" xfId="1" applyFont="1" applyBorder="1"/>
    <xf numFmtId="0" fontId="23" fillId="0" borderId="25" xfId="1" applyFont="1" applyBorder="1"/>
    <xf numFmtId="14" fontId="21" fillId="0" borderId="5" xfId="1" applyNumberFormat="1" applyFont="1" applyBorder="1" applyAlignment="1">
      <alignment horizontal="left"/>
    </xf>
    <xf numFmtId="0" fontId="1" fillId="15" borderId="5" xfId="0" applyFont="1" applyFill="1" applyBorder="1" applyAlignment="1">
      <alignment horizontal="left" vertical="top"/>
    </xf>
    <xf numFmtId="0" fontId="1" fillId="15" borderId="19" xfId="0" applyFont="1" applyFill="1" applyBorder="1" applyAlignment="1">
      <alignment horizontal="left" vertical="top"/>
    </xf>
    <xf numFmtId="0" fontId="1" fillId="15" borderId="22" xfId="0" applyFont="1" applyFill="1" applyBorder="1" applyAlignment="1">
      <alignment horizontal="left" vertical="top"/>
    </xf>
    <xf numFmtId="0" fontId="0" fillId="0" borderId="7" xfId="0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14" borderId="12" xfId="0" applyFont="1" applyFill="1" applyBorder="1" applyAlignment="1">
      <alignment horizontal="center"/>
    </xf>
    <xf numFmtId="0" fontId="16" fillId="14" borderId="14" xfId="0" applyFont="1" applyFill="1" applyBorder="1" applyAlignment="1">
      <alignment horizontal="center"/>
    </xf>
    <xf numFmtId="0" fontId="16" fillId="14" borderId="15" xfId="0" applyFon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3" borderId="1" xfId="0" applyFont="1" applyFill="1" applyBorder="1" applyAlignment="1">
      <alignment horizontal="left" vertical="center"/>
    </xf>
    <xf numFmtId="0" fontId="0" fillId="0" borderId="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16" fillId="14" borderId="13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 vertical="center"/>
    </xf>
    <xf numFmtId="0" fontId="17" fillId="4" borderId="21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top"/>
    </xf>
    <xf numFmtId="0" fontId="1" fillId="15" borderId="19" xfId="0" applyFont="1" applyFill="1" applyBorder="1" applyAlignment="1">
      <alignment horizontal="center" vertical="top"/>
    </xf>
    <xf numFmtId="0" fontId="1" fillId="15" borderId="22" xfId="0" applyFont="1" applyFill="1" applyBorder="1" applyAlignment="1">
      <alignment horizontal="center" vertical="top"/>
    </xf>
    <xf numFmtId="165" fontId="0" fillId="0" borderId="7" xfId="0" applyNumberForma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1" xfId="0" applyFont="1" applyFill="1" applyBorder="1" applyAlignment="1">
      <alignment horizontal="left" vertical="center"/>
    </xf>
    <xf numFmtId="0" fontId="0" fillId="4" borderId="1" xfId="0" applyFill="1" applyBorder="1"/>
    <xf numFmtId="0" fontId="14" fillId="13" borderId="0" xfId="0" applyFont="1" applyFill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2" fontId="0" fillId="0" borderId="5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6" fillId="5" borderId="4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1" fillId="0" borderId="47" xfId="0" applyNumberFormat="1" applyFont="1" applyBorder="1" applyAlignment="1">
      <alignment horizontal="center" vertical="center"/>
    </xf>
    <xf numFmtId="2" fontId="1" fillId="0" borderId="48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2" fillId="8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2" fillId="9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9" fillId="16" borderId="5" xfId="0" applyFont="1" applyFill="1" applyBorder="1" applyAlignment="1">
      <alignment horizontal="left" vertical="top"/>
    </xf>
    <xf numFmtId="0" fontId="19" fillId="16" borderId="19" xfId="0" applyFont="1" applyFill="1" applyBorder="1" applyAlignment="1">
      <alignment horizontal="left" vertical="top"/>
    </xf>
    <xf numFmtId="0" fontId="19" fillId="16" borderId="22" xfId="0" applyFont="1" applyFill="1" applyBorder="1" applyAlignment="1">
      <alignment horizontal="left" vertical="top"/>
    </xf>
  </cellXfs>
  <cellStyles count="4">
    <cellStyle name="Hyperlink" xfId="3" builtinId="8"/>
    <cellStyle name="Normal" xfId="0" builtinId="0"/>
    <cellStyle name="Normal 2" xfId="1" xr:uid="{B35DF52A-F4D0-4F8D-965F-29B833BE0F6C}"/>
    <cellStyle name="Percent" xfId="2" builtinId="5"/>
  </cellStyles>
  <dxfs count="38"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</xdr:row>
          <xdr:rowOff>47625</xdr:rowOff>
        </xdr:from>
        <xdr:to>
          <xdr:col>25</xdr:col>
          <xdr:colOff>333375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document/d/14ijuyp_-7v5W2Wax7lqf51DtUV4r_BT5b-faWsQVVYI/edit" TargetMode="External"/><Relationship Id="rId1" Type="http://schemas.openxmlformats.org/officeDocument/2006/relationships/hyperlink" Target="https://docs.google.com/document/d/14ijuyp_-7v5W2Wax7lqf51DtUV4r_BT5b-faWsQVVYI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99A1-1631-41CD-9666-8FB774AA0734}">
  <sheetPr codeName="Sheet2">
    <outlinePr summaryBelow="0" summaryRight="0"/>
  </sheetPr>
  <dimension ref="A1:H37"/>
  <sheetViews>
    <sheetView topLeftCell="A4" workbookViewId="0">
      <selection activeCell="J13" sqref="J13"/>
    </sheetView>
  </sheetViews>
  <sheetFormatPr defaultColWidth="12.625" defaultRowHeight="15.75" customHeight="1"/>
  <cols>
    <col min="1" max="1" width="17.375" style="43" customWidth="1"/>
    <col min="2" max="2" width="9.25" style="43" customWidth="1"/>
    <col min="3" max="4" width="5.875" style="43" customWidth="1"/>
    <col min="5" max="5" width="17.125" style="43" customWidth="1"/>
    <col min="6" max="6" width="15.75" style="43" customWidth="1"/>
    <col min="7" max="7" width="16.375" style="43" customWidth="1"/>
    <col min="8" max="8" width="19.625" style="43" customWidth="1"/>
    <col min="9" max="16384" width="12.625" style="43"/>
  </cols>
  <sheetData>
    <row r="1" spans="1:8" ht="12.75">
      <c r="A1" s="93" t="s">
        <v>115</v>
      </c>
      <c r="B1" s="55"/>
      <c r="C1" s="55"/>
      <c r="D1" s="55"/>
      <c r="E1" s="55"/>
      <c r="F1" s="55"/>
      <c r="G1" s="55"/>
      <c r="H1" s="55"/>
    </row>
    <row r="2" spans="1:8" ht="15.75" customHeight="1">
      <c r="A2" s="55"/>
      <c r="B2" s="55"/>
      <c r="C2" s="55"/>
      <c r="D2" s="55"/>
      <c r="E2" s="55"/>
      <c r="F2" s="55"/>
      <c r="G2" s="55"/>
      <c r="H2" s="55"/>
    </row>
    <row r="3" spans="1:8" ht="15.75" customHeight="1">
      <c r="A3" s="55"/>
      <c r="B3" s="55"/>
      <c r="C3" s="55"/>
      <c r="D3" s="55"/>
      <c r="E3" s="55"/>
      <c r="F3" s="55"/>
      <c r="G3" s="55"/>
      <c r="H3" s="55"/>
    </row>
    <row r="4" spans="1:8" ht="15.75" customHeight="1">
      <c r="A4" s="55"/>
      <c r="B4" s="55"/>
      <c r="C4" s="55"/>
      <c r="D4" s="55"/>
      <c r="E4" s="55"/>
      <c r="F4" s="55"/>
      <c r="G4" s="55"/>
      <c r="H4" s="55"/>
    </row>
    <row r="5" spans="1:8" ht="12.75">
      <c r="A5" s="94" t="s">
        <v>137</v>
      </c>
      <c r="B5" s="95"/>
      <c r="C5" s="95"/>
      <c r="D5" s="95"/>
      <c r="E5" s="95"/>
      <c r="F5" s="95"/>
      <c r="G5" s="95"/>
      <c r="H5" s="96"/>
    </row>
    <row r="6" spans="1:8" ht="12.75">
      <c r="A6" s="97"/>
      <c r="B6" s="55"/>
      <c r="C6" s="55"/>
      <c r="D6" s="55"/>
      <c r="E6" s="55"/>
      <c r="F6" s="55"/>
      <c r="G6" s="55"/>
      <c r="H6" s="98"/>
    </row>
    <row r="7" spans="1:8" ht="12.75">
      <c r="A7" s="97"/>
      <c r="B7" s="55"/>
      <c r="C7" s="55"/>
      <c r="D7" s="55"/>
      <c r="E7" s="55"/>
      <c r="F7" s="55"/>
      <c r="G7" s="55"/>
      <c r="H7" s="98"/>
    </row>
    <row r="8" spans="1:8" ht="12.75">
      <c r="A8" s="97"/>
      <c r="B8" s="55"/>
      <c r="C8" s="55"/>
      <c r="D8" s="55"/>
      <c r="E8" s="55"/>
      <c r="F8" s="55"/>
      <c r="G8" s="55"/>
      <c r="H8" s="98"/>
    </row>
    <row r="9" spans="1:8" ht="13.5" thickBot="1">
      <c r="A9" s="99"/>
      <c r="B9" s="73"/>
      <c r="C9" s="73"/>
      <c r="D9" s="73"/>
      <c r="E9" s="73"/>
      <c r="F9" s="73"/>
      <c r="G9" s="73"/>
      <c r="H9" s="100"/>
    </row>
    <row r="10" spans="1:8" ht="18">
      <c r="A10" s="64" t="s">
        <v>116</v>
      </c>
      <c r="B10" s="65"/>
      <c r="C10" s="65"/>
      <c r="D10" s="66"/>
      <c r="E10" s="67"/>
      <c r="F10" s="65"/>
      <c r="G10" s="65"/>
      <c r="H10" s="68"/>
    </row>
    <row r="11" spans="1:8" ht="18">
      <c r="A11" s="84" t="s">
        <v>117</v>
      </c>
      <c r="B11" s="85"/>
      <c r="C11" s="85"/>
      <c r="D11" s="86"/>
      <c r="E11" s="101"/>
      <c r="F11" s="85"/>
      <c r="G11" s="85"/>
      <c r="H11" s="88"/>
    </row>
    <row r="12" spans="1:8" ht="18">
      <c r="A12" s="84" t="s">
        <v>118</v>
      </c>
      <c r="B12" s="85"/>
      <c r="C12" s="85"/>
      <c r="D12" s="86"/>
      <c r="E12" s="87"/>
      <c r="F12" s="85"/>
      <c r="G12" s="85"/>
      <c r="H12" s="88"/>
    </row>
    <row r="13" spans="1:8" ht="36.75" customHeight="1" thickBot="1">
      <c r="A13" s="89" t="s">
        <v>119</v>
      </c>
      <c r="B13" s="50"/>
      <c r="C13" s="50"/>
      <c r="D13" s="51"/>
      <c r="E13" s="52"/>
      <c r="F13" s="50"/>
      <c r="G13" s="50"/>
      <c r="H13" s="53"/>
    </row>
    <row r="14" spans="1:8" ht="18.75" thickBot="1">
      <c r="A14" s="54"/>
      <c r="B14" s="55"/>
      <c r="C14" s="55"/>
      <c r="D14" s="55"/>
      <c r="E14" s="56"/>
      <c r="F14" s="55"/>
      <c r="G14" s="55"/>
      <c r="H14" s="57"/>
    </row>
    <row r="15" spans="1:8" ht="18">
      <c r="A15" s="64" t="s">
        <v>120</v>
      </c>
      <c r="B15" s="65"/>
      <c r="C15" s="65"/>
      <c r="D15" s="66"/>
      <c r="E15" s="90" t="s">
        <v>147</v>
      </c>
      <c r="F15" s="91"/>
      <c r="G15" s="91"/>
      <c r="H15" s="92"/>
    </row>
    <row r="16" spans="1:8" ht="18.75" thickBot="1">
      <c r="A16" s="49" t="s">
        <v>121</v>
      </c>
      <c r="B16" s="50"/>
      <c r="C16" s="50"/>
      <c r="D16" s="51"/>
      <c r="E16" s="52" t="s">
        <v>152</v>
      </c>
      <c r="F16" s="50"/>
      <c r="G16" s="50"/>
      <c r="H16" s="53"/>
    </row>
    <row r="17" spans="1:8" ht="12.75">
      <c r="A17" s="54"/>
      <c r="B17" s="55"/>
      <c r="C17" s="55"/>
      <c r="D17" s="55"/>
      <c r="E17" s="55"/>
      <c r="F17" s="55"/>
      <c r="G17" s="55"/>
      <c r="H17" s="57"/>
    </row>
    <row r="18" spans="1:8" ht="13.5" thickBot="1">
      <c r="A18" s="78"/>
      <c r="B18" s="55"/>
      <c r="C18" s="55"/>
      <c r="D18" s="55"/>
      <c r="E18" s="55"/>
      <c r="F18" s="55"/>
      <c r="G18" s="55"/>
      <c r="H18" s="57"/>
    </row>
    <row r="19" spans="1:8" ht="18.75" thickBot="1">
      <c r="A19" s="58" t="s">
        <v>122</v>
      </c>
      <c r="B19" s="59"/>
      <c r="C19" s="59"/>
      <c r="D19" s="60"/>
      <c r="E19" s="82" t="s">
        <v>123</v>
      </c>
      <c r="F19" s="59"/>
      <c r="G19" s="59"/>
      <c r="H19" s="83"/>
    </row>
    <row r="20" spans="1:8" ht="18">
      <c r="A20" s="79" t="s">
        <v>146</v>
      </c>
      <c r="B20" s="80"/>
      <c r="C20" s="80"/>
      <c r="D20" s="81"/>
      <c r="E20" s="72"/>
      <c r="F20" s="73"/>
      <c r="G20" s="73"/>
      <c r="H20" s="74"/>
    </row>
    <row r="21" spans="1:8" ht="18">
      <c r="A21" s="69"/>
      <c r="B21" s="70"/>
      <c r="C21" s="70"/>
      <c r="D21" s="71"/>
      <c r="E21" s="72"/>
      <c r="F21" s="73"/>
      <c r="G21" s="73"/>
      <c r="H21" s="74"/>
    </row>
    <row r="22" spans="1:8" ht="18">
      <c r="A22" s="69"/>
      <c r="B22" s="70"/>
      <c r="C22" s="70"/>
      <c r="D22" s="71"/>
      <c r="E22" s="72"/>
      <c r="F22" s="73"/>
      <c r="G22" s="73"/>
      <c r="H22" s="74"/>
    </row>
    <row r="23" spans="1:8" ht="18">
      <c r="A23" s="69"/>
      <c r="B23" s="70"/>
      <c r="C23" s="70"/>
      <c r="D23" s="71"/>
      <c r="E23" s="72"/>
      <c r="F23" s="73"/>
      <c r="G23" s="73"/>
      <c r="H23" s="74"/>
    </row>
    <row r="24" spans="1:8" ht="18">
      <c r="A24" s="69"/>
      <c r="B24" s="70"/>
      <c r="C24" s="70"/>
      <c r="D24" s="71"/>
      <c r="E24" s="72"/>
      <c r="F24" s="73"/>
      <c r="G24" s="73"/>
      <c r="H24" s="74"/>
    </row>
    <row r="25" spans="1:8" ht="18">
      <c r="A25" s="69"/>
      <c r="B25" s="70"/>
      <c r="C25" s="70"/>
      <c r="D25" s="71"/>
      <c r="E25" s="72"/>
      <c r="F25" s="73"/>
      <c r="G25" s="73"/>
      <c r="H25" s="74"/>
    </row>
    <row r="26" spans="1:8" ht="18">
      <c r="A26" s="69"/>
      <c r="B26" s="70"/>
      <c r="C26" s="70"/>
      <c r="D26" s="71"/>
      <c r="E26" s="72"/>
      <c r="F26" s="73"/>
      <c r="G26" s="73"/>
      <c r="H26" s="74"/>
    </row>
    <row r="27" spans="1:8" ht="18.75" thickBot="1">
      <c r="A27" s="75"/>
      <c r="B27" s="76"/>
      <c r="C27" s="76"/>
      <c r="D27" s="77"/>
      <c r="E27" s="72"/>
      <c r="F27" s="73"/>
      <c r="G27" s="73"/>
      <c r="H27" s="74"/>
    </row>
    <row r="28" spans="1:8" ht="12.75">
      <c r="A28" s="54"/>
      <c r="B28" s="55"/>
      <c r="C28" s="55"/>
      <c r="D28" s="55"/>
      <c r="E28" s="55"/>
      <c r="F28" s="55"/>
      <c r="G28" s="55"/>
      <c r="H28" s="57"/>
    </row>
    <row r="29" spans="1:8" ht="13.5" thickBot="1">
      <c r="A29" s="78"/>
      <c r="B29" s="55"/>
      <c r="C29" s="55"/>
      <c r="D29" s="55"/>
      <c r="E29" s="55"/>
      <c r="F29" s="55"/>
      <c r="G29" s="55"/>
      <c r="H29" s="57"/>
    </row>
    <row r="30" spans="1:8" ht="60" customHeight="1" thickBot="1">
      <c r="A30" s="58" t="s">
        <v>124</v>
      </c>
      <c r="B30" s="59"/>
      <c r="C30" s="59"/>
      <c r="D30" s="60"/>
      <c r="E30" s="61"/>
      <c r="F30" s="62"/>
      <c r="G30" s="62"/>
      <c r="H30" s="63"/>
    </row>
    <row r="31" spans="1:8" ht="18.75" thickBot="1">
      <c r="A31" s="54"/>
      <c r="B31" s="55"/>
      <c r="C31" s="55"/>
      <c r="D31" s="55"/>
      <c r="E31" s="56"/>
      <c r="F31" s="55"/>
      <c r="G31" s="55"/>
      <c r="H31" s="57"/>
    </row>
    <row r="32" spans="1:8" ht="57" customHeight="1" thickBot="1">
      <c r="A32" s="58" t="s">
        <v>125</v>
      </c>
      <c r="B32" s="59"/>
      <c r="C32" s="59"/>
      <c r="D32" s="60"/>
      <c r="E32" s="61"/>
      <c r="F32" s="62"/>
      <c r="G32" s="62"/>
      <c r="H32" s="63"/>
    </row>
    <row r="33" spans="1:8" ht="18.75" thickBot="1">
      <c r="A33" s="54"/>
      <c r="B33" s="55"/>
      <c r="C33" s="55"/>
      <c r="D33" s="55"/>
      <c r="E33" s="56"/>
      <c r="F33" s="55"/>
      <c r="G33" s="55"/>
      <c r="H33" s="57"/>
    </row>
    <row r="34" spans="1:8" ht="53.25" customHeight="1" thickBot="1">
      <c r="A34" s="58" t="s">
        <v>126</v>
      </c>
      <c r="B34" s="59"/>
      <c r="C34" s="59"/>
      <c r="D34" s="60"/>
      <c r="E34" s="61"/>
      <c r="F34" s="62"/>
      <c r="G34" s="62"/>
      <c r="H34" s="63"/>
    </row>
    <row r="35" spans="1:8" ht="18.75" thickBot="1">
      <c r="A35" s="54"/>
      <c r="B35" s="55"/>
      <c r="C35" s="55"/>
      <c r="D35" s="55"/>
      <c r="E35" s="55"/>
      <c r="F35" s="55"/>
      <c r="G35" s="55"/>
      <c r="H35" s="57"/>
    </row>
    <row r="36" spans="1:8" ht="18">
      <c r="A36" s="64" t="s">
        <v>127</v>
      </c>
      <c r="B36" s="65"/>
      <c r="C36" s="65"/>
      <c r="D36" s="66"/>
      <c r="E36" s="67" t="s">
        <v>128</v>
      </c>
      <c r="F36" s="65"/>
      <c r="G36" s="65"/>
      <c r="H36" s="68"/>
    </row>
    <row r="37" spans="1:8" ht="18.75" thickBot="1">
      <c r="A37" s="49" t="s">
        <v>129</v>
      </c>
      <c r="B37" s="50"/>
      <c r="C37" s="50"/>
      <c r="D37" s="51"/>
      <c r="E37" s="52" t="s">
        <v>128</v>
      </c>
      <c r="F37" s="50"/>
      <c r="G37" s="50"/>
      <c r="H37" s="53"/>
    </row>
  </sheetData>
  <mergeCells count="51">
    <mergeCell ref="A1:H4"/>
    <mergeCell ref="A5:H9"/>
    <mergeCell ref="A10:D10"/>
    <mergeCell ref="E10:H10"/>
    <mergeCell ref="A11:D11"/>
    <mergeCell ref="E11:H11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20:D20"/>
    <mergeCell ref="E20:H20"/>
    <mergeCell ref="A21:D21"/>
    <mergeCell ref="E21:H21"/>
    <mergeCell ref="A22:D22"/>
    <mergeCell ref="E22:H22"/>
    <mergeCell ref="A30:D30"/>
    <mergeCell ref="E30:H30"/>
    <mergeCell ref="A23:D23"/>
    <mergeCell ref="E23:H23"/>
    <mergeCell ref="A24:D24"/>
    <mergeCell ref="E24:H24"/>
    <mergeCell ref="A25:D25"/>
    <mergeCell ref="E25:H25"/>
    <mergeCell ref="A26:D26"/>
    <mergeCell ref="E26:H26"/>
    <mergeCell ref="A27:D27"/>
    <mergeCell ref="E27:H27"/>
    <mergeCell ref="A28:H29"/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</mergeCells>
  <conditionalFormatting sqref="E20:H27">
    <cfRule type="expression" dxfId="37" priority="1">
      <formula>AND(ISNUMBER(E20),TRUNC(E20)&lt;TODAY())</formula>
    </cfRule>
  </conditionalFormatting>
  <dataValidations count="1">
    <dataValidation type="list" allowBlank="1" sqref="E12" xr:uid="{9B0C2B3D-5E4D-48AE-B318-083869C304D9}">
      <formula1>"OnLogic US-VT,OnLogic US-NC,Onlogic TW,Onlogic MY"</formula1>
    </dataValidation>
  </dataValidations>
  <hyperlinks>
    <hyperlink ref="E15" r:id="rId1" display="https://docs.google.com/document/d/14ijuyp_-7v5W2Wax7lqf51DtUV4r_BT5b-faWsQVVYI/edit" xr:uid="{3D870765-2DC8-4C14-9EFF-BC3E9BC59873}"/>
    <hyperlink ref="E15:H15" r:id="rId2" display="Load Switch Test instructions" xr:uid="{34898AB4-6029-4845-8B38-EEB85B252B3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39"/>
  <sheetViews>
    <sheetView tabSelected="1" topLeftCell="A13" zoomScale="70" zoomScaleNormal="70" workbookViewId="0">
      <selection activeCell="B28" sqref="B28"/>
    </sheetView>
  </sheetViews>
  <sheetFormatPr defaultColWidth="0" defaultRowHeight="0" customHeight="1" zeroHeight="1"/>
  <cols>
    <col min="1" max="2" width="8.375" customWidth="1"/>
    <col min="3" max="3" width="17.125" customWidth="1"/>
    <col min="4" max="4" width="12.625" customWidth="1"/>
    <col min="5" max="5" width="16.375" bestFit="1" customWidth="1"/>
    <col min="6" max="6" width="17.75" bestFit="1" customWidth="1"/>
    <col min="7" max="7" width="16.37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6" width="8.375" customWidth="1"/>
    <col min="17" max="17" width="12.25" customWidth="1"/>
    <col min="18" max="31" width="8.375" customWidth="1"/>
    <col min="32" max="75" width="10.375" customWidth="1"/>
    <col min="76" max="713" width="10.375" hidden="1"/>
    <col min="714" max="16383" width="9" hidden="1"/>
  </cols>
  <sheetData>
    <row r="1" spans="1:43" ht="14.25" customHeight="1">
      <c r="A1" s="142"/>
      <c r="B1" s="142"/>
      <c r="C1" s="142"/>
      <c r="D1" s="142"/>
      <c r="E1" s="142"/>
      <c r="F1" s="142"/>
      <c r="G1" s="14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06" t="s">
        <v>85</v>
      </c>
      <c r="AF1" s="107"/>
      <c r="AG1" s="107"/>
      <c r="AH1" s="107"/>
      <c r="AI1" s="107"/>
      <c r="AJ1" s="107"/>
      <c r="AK1" s="107"/>
      <c r="AL1" s="107"/>
      <c r="AM1" s="126"/>
      <c r="AN1" s="106" t="s">
        <v>135</v>
      </c>
      <c r="AO1" s="107"/>
      <c r="AP1" s="107"/>
      <c r="AQ1" s="107"/>
    </row>
    <row r="2" spans="1:43" ht="18" customHeight="1">
      <c r="A2" s="143" t="s">
        <v>0</v>
      </c>
      <c r="B2" s="143"/>
      <c r="C2" s="143"/>
      <c r="D2" s="143"/>
      <c r="E2" s="114" t="s">
        <v>153</v>
      </c>
      <c r="F2" s="115"/>
      <c r="G2" s="1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08"/>
      <c r="AF2" s="109"/>
      <c r="AG2" s="109"/>
      <c r="AH2" s="109"/>
      <c r="AI2" s="109"/>
      <c r="AJ2" s="109"/>
      <c r="AK2" s="109"/>
      <c r="AL2" s="109"/>
      <c r="AM2" s="127"/>
      <c r="AN2" s="108" t="s">
        <v>99</v>
      </c>
      <c r="AO2" s="109"/>
      <c r="AP2" s="109"/>
      <c r="AQ2" s="109"/>
    </row>
    <row r="3" spans="1:43" ht="18" customHeight="1">
      <c r="A3" s="143"/>
      <c r="B3" s="143"/>
      <c r="C3" s="143"/>
      <c r="D3" s="143"/>
      <c r="E3" s="124"/>
      <c r="F3" s="124"/>
      <c r="G3" s="124"/>
      <c r="H3" s="146" t="s">
        <v>1</v>
      </c>
      <c r="I3" s="146"/>
      <c r="J3" s="146"/>
      <c r="K3" s="146"/>
      <c r="L3" s="146"/>
      <c r="M3" s="147" t="s">
        <v>2</v>
      </c>
      <c r="N3" s="147"/>
      <c r="O3" s="147"/>
      <c r="P3" s="147"/>
      <c r="Q3" s="147"/>
      <c r="R3" s="147"/>
      <c r="S3" s="1"/>
      <c r="T3" s="1"/>
      <c r="U3" s="145" t="s">
        <v>68</v>
      </c>
      <c r="V3" s="145"/>
      <c r="W3" s="145"/>
      <c r="X3" s="145"/>
      <c r="Y3" s="145"/>
      <c r="Z3" s="145"/>
      <c r="AA3" s="145"/>
      <c r="AB3" s="145"/>
      <c r="AC3" s="145"/>
      <c r="AD3" s="1"/>
      <c r="AE3" s="128" t="s">
        <v>86</v>
      </c>
      <c r="AF3" s="129"/>
      <c r="AG3" s="129"/>
      <c r="AH3" s="129"/>
      <c r="AI3" s="129"/>
      <c r="AJ3" s="105" t="str">
        <f>E2</f>
        <v>eff</v>
      </c>
      <c r="AK3" s="105"/>
      <c r="AL3" s="105"/>
      <c r="AM3" s="105"/>
      <c r="AN3" s="112"/>
      <c r="AO3" s="112"/>
      <c r="AP3" s="112"/>
      <c r="AQ3" s="112"/>
    </row>
    <row r="4" spans="1:43" ht="18" customHeight="1">
      <c r="A4" s="143"/>
      <c r="B4" s="143"/>
      <c r="C4" s="143"/>
      <c r="D4" s="143"/>
      <c r="E4" s="124"/>
      <c r="F4" s="124"/>
      <c r="G4" s="124"/>
      <c r="H4" s="123" t="s">
        <v>3</v>
      </c>
      <c r="I4" s="123"/>
      <c r="J4" s="123"/>
      <c r="K4" s="123"/>
      <c r="L4" s="123"/>
      <c r="M4" s="147"/>
      <c r="N4" s="147"/>
      <c r="O4" s="147"/>
      <c r="P4" s="147"/>
      <c r="Q4" s="147"/>
      <c r="R4" s="147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30" t="s">
        <v>87</v>
      </c>
      <c r="AF4" s="131"/>
      <c r="AG4" s="131"/>
      <c r="AH4" s="131"/>
      <c r="AI4" s="131"/>
      <c r="AJ4" s="105" t="str">
        <f>CONCATENATE("Voltage: ",DUT_VOUT,"V")</f>
        <v>Voltage: 5V</v>
      </c>
      <c r="AK4" s="105"/>
      <c r="AL4" s="105"/>
      <c r="AM4" s="105"/>
      <c r="AN4" s="112"/>
      <c r="AO4" s="112"/>
      <c r="AP4" s="112"/>
      <c r="AQ4" s="112"/>
    </row>
    <row r="5" spans="1:43" ht="18" customHeight="1">
      <c r="A5" s="143" t="s">
        <v>4</v>
      </c>
      <c r="B5" s="143"/>
      <c r="C5" s="143"/>
      <c r="D5" s="143"/>
      <c r="E5" s="124"/>
      <c r="F5" s="124"/>
      <c r="G5" s="124"/>
      <c r="H5" s="121" t="s">
        <v>8</v>
      </c>
      <c r="I5" s="122"/>
      <c r="J5" s="122"/>
      <c r="K5" s="122"/>
      <c r="L5" s="123"/>
      <c r="M5" s="147"/>
      <c r="N5" s="147"/>
      <c r="O5" s="147"/>
      <c r="P5" s="147"/>
      <c r="Q5" s="147"/>
      <c r="R5" s="147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32" t="s">
        <v>88</v>
      </c>
      <c r="AF5" s="133"/>
      <c r="AG5" s="133"/>
      <c r="AH5" s="133"/>
      <c r="AI5" s="133"/>
      <c r="AJ5" s="105" t="str">
        <f>CONCATENATE("MAX CURRENT: ",E11,"A")</f>
        <v>MAX CURRENT: 1A</v>
      </c>
      <c r="AK5" s="105"/>
      <c r="AL5" s="105"/>
      <c r="AM5" s="105"/>
      <c r="AN5" s="112"/>
      <c r="AO5" s="112"/>
      <c r="AP5" s="112"/>
      <c r="AQ5" s="112"/>
    </row>
    <row r="6" spans="1:43" ht="18" customHeight="1">
      <c r="A6" s="118" t="s">
        <v>5</v>
      </c>
      <c r="B6" s="118"/>
      <c r="C6" s="118"/>
      <c r="D6" s="118"/>
      <c r="E6" s="119">
        <v>5</v>
      </c>
      <c r="F6" s="120"/>
      <c r="G6" s="2" t="s">
        <v>6</v>
      </c>
      <c r="H6" s="121" t="s">
        <v>10</v>
      </c>
      <c r="I6" s="122"/>
      <c r="J6" s="122"/>
      <c r="K6" s="122"/>
      <c r="L6" s="123"/>
      <c r="M6" s="147"/>
      <c r="N6" s="147"/>
      <c r="O6" s="147"/>
      <c r="P6" s="147"/>
      <c r="Q6" s="147"/>
      <c r="R6" s="147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34"/>
      <c r="AF6" s="135"/>
      <c r="AG6" s="135"/>
      <c r="AH6" s="135"/>
      <c r="AI6" s="135"/>
      <c r="AJ6" s="105" t="str">
        <f>CONCATENATE("TDC  CURRENT: ",E12,"A")</f>
        <v>TDC  CURRENT: 1A</v>
      </c>
      <c r="AK6" s="105"/>
      <c r="AL6" s="105"/>
      <c r="AM6" s="105"/>
      <c r="AN6" s="112"/>
      <c r="AO6" s="112"/>
      <c r="AP6" s="112"/>
      <c r="AQ6" s="112"/>
    </row>
    <row r="7" spans="1:43" ht="18" customHeight="1">
      <c r="A7" s="113" t="s">
        <v>7</v>
      </c>
      <c r="B7" s="113"/>
      <c r="C7" s="113"/>
      <c r="D7" s="113"/>
      <c r="E7" s="141">
        <f>E6*1.05</f>
        <v>5.25</v>
      </c>
      <c r="F7" s="141"/>
      <c r="G7" s="2" t="s">
        <v>6</v>
      </c>
      <c r="H7" s="121" t="s">
        <v>67</v>
      </c>
      <c r="I7" s="122"/>
      <c r="J7" s="122"/>
      <c r="K7" s="122"/>
      <c r="L7" s="123"/>
      <c r="M7" s="147"/>
      <c r="N7" s="147"/>
      <c r="O7" s="147"/>
      <c r="P7" s="147"/>
      <c r="Q7" s="147"/>
      <c r="R7" s="147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36" t="s">
        <v>89</v>
      </c>
      <c r="AF7" s="137"/>
      <c r="AG7" s="137"/>
      <c r="AH7" s="137"/>
      <c r="AI7" s="138"/>
      <c r="AJ7" s="105"/>
      <c r="AK7" s="105"/>
      <c r="AL7" s="105"/>
      <c r="AM7" s="105"/>
      <c r="AN7" s="112"/>
      <c r="AO7" s="112"/>
      <c r="AP7" s="112"/>
      <c r="AQ7" s="112"/>
    </row>
    <row r="8" spans="1:43" ht="18" customHeight="1">
      <c r="A8" s="113" t="s">
        <v>9</v>
      </c>
      <c r="B8" s="113"/>
      <c r="C8" s="113"/>
      <c r="D8" s="113"/>
      <c r="E8" s="141">
        <f>E6*0.95</f>
        <v>4.75</v>
      </c>
      <c r="F8" s="141"/>
      <c r="G8" s="2" t="s">
        <v>6</v>
      </c>
      <c r="H8" s="121" t="s">
        <v>11</v>
      </c>
      <c r="I8" s="122"/>
      <c r="J8" s="122"/>
      <c r="K8" s="122"/>
      <c r="L8" s="123"/>
      <c r="M8" s="147"/>
      <c r="N8" s="147"/>
      <c r="O8" s="147"/>
      <c r="P8" s="147"/>
      <c r="Q8" s="147"/>
      <c r="R8" s="147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02" t="s">
        <v>101</v>
      </c>
      <c r="AF8" s="103"/>
      <c r="AG8" s="103"/>
      <c r="AH8" s="103"/>
      <c r="AI8" s="104"/>
      <c r="AJ8" s="139" t="str">
        <f>IF(AND(MIN(C27:C53)&gt;E8,MAX(C27:C53)&lt;E7),"WITH SPEC","OUT OF SPEC")</f>
        <v>OUT OF SPEC</v>
      </c>
      <c r="AK8" s="105"/>
      <c r="AL8" s="105"/>
      <c r="AM8" s="105"/>
      <c r="AN8" s="105" t="s">
        <v>100</v>
      </c>
      <c r="AO8" s="105"/>
      <c r="AP8" s="105"/>
      <c r="AQ8" s="105"/>
    </row>
    <row r="9" spans="1:43" ht="18" customHeight="1">
      <c r="A9" s="118" t="s">
        <v>66</v>
      </c>
      <c r="B9" s="118"/>
      <c r="C9" s="118"/>
      <c r="D9" s="118"/>
      <c r="E9" s="119">
        <v>5</v>
      </c>
      <c r="F9" s="120"/>
      <c r="G9" s="2" t="s">
        <v>6</v>
      </c>
      <c r="H9" s="121" t="s">
        <v>12</v>
      </c>
      <c r="I9" s="122"/>
      <c r="J9" s="122"/>
      <c r="K9" s="122"/>
      <c r="L9" s="123"/>
      <c r="M9" s="147"/>
      <c r="N9" s="147"/>
      <c r="O9" s="147"/>
      <c r="P9" s="147"/>
      <c r="Q9" s="147"/>
      <c r="R9" s="147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02" t="s">
        <v>144</v>
      </c>
      <c r="AF9" s="103"/>
      <c r="AG9" s="103"/>
      <c r="AH9" s="103"/>
      <c r="AI9" s="104"/>
      <c r="AJ9" s="105" t="e">
        <f>CONCATENATE(TEXT(VLOOKUP(E12,B27:H53,6),"0.00"),"mOhm")</f>
        <v>#N/A</v>
      </c>
      <c r="AK9" s="105"/>
      <c r="AL9" s="105"/>
      <c r="AM9" s="105"/>
      <c r="AN9" s="105" t="str">
        <f>CONCATENATE("&lt;",E19,"mOhm")</f>
        <v>&lt;mOhm</v>
      </c>
      <c r="AO9" s="105"/>
      <c r="AP9" s="105"/>
      <c r="AQ9" s="105"/>
    </row>
    <row r="10" spans="1:43" ht="18" customHeight="1">
      <c r="A10" s="140" t="s">
        <v>114</v>
      </c>
      <c r="B10" s="140"/>
      <c r="C10" s="140"/>
      <c r="D10" s="140"/>
      <c r="E10" s="144"/>
      <c r="F10" s="144"/>
      <c r="G10" s="144"/>
      <c r="H10" s="121" t="s">
        <v>13</v>
      </c>
      <c r="I10" s="122"/>
      <c r="J10" s="122"/>
      <c r="K10" s="122"/>
      <c r="L10" s="123"/>
      <c r="M10" s="147"/>
      <c r="N10" s="147"/>
      <c r="O10" s="147"/>
      <c r="P10" s="147"/>
      <c r="Q10" s="147"/>
      <c r="R10" s="147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02" t="s">
        <v>145</v>
      </c>
      <c r="AF10" s="103"/>
      <c r="AG10" s="103"/>
      <c r="AH10" s="103"/>
      <c r="AI10" s="104"/>
      <c r="AJ10" s="105" t="e">
        <f>CONCATENATE(TEXT((VLOOKUP(E12,B27:H54,7)*100),"0.00"),"%")</f>
        <v>#N/A</v>
      </c>
      <c r="AK10" s="105"/>
      <c r="AL10" s="105"/>
      <c r="AM10" s="105"/>
      <c r="AN10" s="105" t="s">
        <v>150</v>
      </c>
      <c r="AO10" s="105"/>
      <c r="AP10" s="105"/>
      <c r="AQ10" s="105"/>
    </row>
    <row r="11" spans="1:43" ht="18" customHeight="1">
      <c r="A11" s="140" t="s">
        <v>140</v>
      </c>
      <c r="B11" s="140"/>
      <c r="C11" s="140"/>
      <c r="D11" s="140"/>
      <c r="E11" s="148">
        <v>1</v>
      </c>
      <c r="F11" s="149"/>
      <c r="G11" s="150"/>
      <c r="H11" s="121"/>
      <c r="I11" s="122"/>
      <c r="J11" s="122"/>
      <c r="K11" s="122"/>
      <c r="L11" s="123"/>
      <c r="M11" s="147"/>
      <c r="N11" s="147"/>
      <c r="O11" s="147"/>
      <c r="P11" s="147"/>
      <c r="Q11" s="147"/>
      <c r="R11" s="147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02" t="s">
        <v>102</v>
      </c>
      <c r="AF11" s="103" t="s">
        <v>94</v>
      </c>
      <c r="AG11" s="103" t="s">
        <v>94</v>
      </c>
      <c r="AH11" s="103" t="s">
        <v>94</v>
      </c>
      <c r="AI11" s="104" t="s">
        <v>94</v>
      </c>
      <c r="AJ11" s="105" t="e">
        <f>CONCATENATE(F60,"V - ",D60,"V :", LEFT(M60,4), "% ripple")</f>
        <v>#DIV/0!</v>
      </c>
      <c r="AK11" s="105"/>
      <c r="AL11" s="105"/>
      <c r="AM11" s="105"/>
      <c r="AN11" s="105" t="str">
        <f>CONCATENATE(E$8,"V - ",E$7,"V")</f>
        <v>4.75V - 5.25V</v>
      </c>
      <c r="AO11" s="105"/>
      <c r="AP11" s="105"/>
      <c r="AQ11" s="105"/>
    </row>
    <row r="12" spans="1:43" ht="18" customHeight="1">
      <c r="A12" s="113" t="s">
        <v>141</v>
      </c>
      <c r="B12" s="113"/>
      <c r="C12" s="113"/>
      <c r="D12" s="113"/>
      <c r="E12" s="125">
        <v>1</v>
      </c>
      <c r="F12" s="125"/>
      <c r="G12" s="125"/>
      <c r="H12" s="117"/>
      <c r="I12" s="117"/>
      <c r="J12" s="117"/>
      <c r="K12" s="117"/>
      <c r="L12" s="117"/>
      <c r="M12" s="147"/>
      <c r="N12" s="147"/>
      <c r="O12" s="147"/>
      <c r="P12" s="147"/>
      <c r="Q12" s="147"/>
      <c r="R12" s="147"/>
      <c r="S12" s="1"/>
      <c r="T12" s="1"/>
      <c r="U12" s="1"/>
      <c r="V12" s="1"/>
      <c r="W12" s="1"/>
      <c r="X12" s="1"/>
      <c r="Y12" s="1"/>
      <c r="Z12" s="1"/>
      <c r="AA12" s="1"/>
      <c r="AE12" s="102" t="s">
        <v>95</v>
      </c>
      <c r="AF12" s="103" t="s">
        <v>95</v>
      </c>
      <c r="AG12" s="103" t="s">
        <v>95</v>
      </c>
      <c r="AH12" s="103" t="s">
        <v>95</v>
      </c>
      <c r="AI12" s="104" t="s">
        <v>95</v>
      </c>
      <c r="AJ12" s="105" t="e">
        <f t="shared" ref="AJ12:AJ13" si="0">CONCATENATE(F61,"V - ",D61,"V :", LEFT(M61,4), "% ripple")</f>
        <v>#DIV/0!</v>
      </c>
      <c r="AK12" s="105"/>
      <c r="AL12" s="105"/>
      <c r="AM12" s="105"/>
      <c r="AN12" s="105" t="str">
        <f t="shared" ref="AN12:AN13" si="1">CONCATENATE(E$8,"V - ",E$7,"V")</f>
        <v>4.75V - 5.25V</v>
      </c>
      <c r="AO12" s="105"/>
      <c r="AP12" s="105"/>
      <c r="AQ12" s="105"/>
    </row>
    <row r="13" spans="1:43" ht="18" customHeight="1">
      <c r="A13" s="113" t="s">
        <v>142</v>
      </c>
      <c r="B13" s="113"/>
      <c r="C13" s="113"/>
      <c r="D13" s="113"/>
      <c r="E13" s="114">
        <v>0.5</v>
      </c>
      <c r="F13" s="115"/>
      <c r="G13" s="116"/>
      <c r="H13" s="117"/>
      <c r="I13" s="117"/>
      <c r="J13" s="117"/>
      <c r="K13" s="117"/>
      <c r="L13" s="117"/>
      <c r="M13" s="147"/>
      <c r="N13" s="147"/>
      <c r="O13" s="147"/>
      <c r="P13" s="147"/>
      <c r="Q13" s="147"/>
      <c r="R13" s="147"/>
      <c r="S13" s="1"/>
      <c r="T13" s="1"/>
      <c r="U13" s="1"/>
      <c r="V13" s="1"/>
      <c r="W13" s="1"/>
      <c r="X13" s="1"/>
      <c r="Y13" s="1"/>
      <c r="Z13" s="1"/>
      <c r="AA13" s="1"/>
      <c r="AE13" s="102" t="s">
        <v>98</v>
      </c>
      <c r="AF13" s="103" t="s">
        <v>95</v>
      </c>
      <c r="AG13" s="103" t="s">
        <v>95</v>
      </c>
      <c r="AH13" s="103" t="s">
        <v>95</v>
      </c>
      <c r="AI13" s="104" t="s">
        <v>95</v>
      </c>
      <c r="AJ13" s="105" t="e">
        <f t="shared" si="0"/>
        <v>#DIV/0!</v>
      </c>
      <c r="AK13" s="105"/>
      <c r="AL13" s="105"/>
      <c r="AM13" s="105"/>
      <c r="AN13" s="105" t="str">
        <f t="shared" si="1"/>
        <v>4.75V - 5.25V</v>
      </c>
      <c r="AO13" s="105"/>
      <c r="AP13" s="105"/>
      <c r="AQ13" s="105"/>
    </row>
    <row r="14" spans="1:43" ht="18" customHeight="1">
      <c r="A14" s="113" t="s">
        <v>143</v>
      </c>
      <c r="B14" s="113"/>
      <c r="C14" s="113"/>
      <c r="D14" s="113"/>
      <c r="E14" s="114">
        <v>3</v>
      </c>
      <c r="F14" s="115"/>
      <c r="G14" s="116"/>
      <c r="H14" s="117"/>
      <c r="I14" s="117"/>
      <c r="J14" s="117"/>
      <c r="K14" s="117"/>
      <c r="L14" s="117"/>
      <c r="M14" s="147"/>
      <c r="N14" s="147"/>
      <c r="O14" s="147"/>
      <c r="P14" s="147"/>
      <c r="Q14" s="147"/>
      <c r="R14" s="147"/>
      <c r="S14" s="1"/>
      <c r="T14" s="1"/>
      <c r="U14" s="1"/>
      <c r="V14" s="1"/>
      <c r="W14" s="1"/>
      <c r="X14" s="1"/>
      <c r="Y14" s="1"/>
      <c r="Z14" s="1"/>
      <c r="AA14" s="1"/>
      <c r="AE14" s="102" t="s">
        <v>103</v>
      </c>
      <c r="AF14" s="103"/>
      <c r="AG14" s="103"/>
      <c r="AH14" s="103"/>
      <c r="AI14" s="104"/>
      <c r="AJ14" s="105"/>
      <c r="AK14" s="105"/>
      <c r="AL14" s="105"/>
      <c r="AM14" s="105"/>
      <c r="AN14" s="105"/>
      <c r="AO14" s="105"/>
      <c r="AP14" s="105"/>
      <c r="AQ14" s="105"/>
    </row>
    <row r="15" spans="1:43" ht="18" customHeight="1">
      <c r="A15" s="113" t="s">
        <v>14</v>
      </c>
      <c r="B15" s="113"/>
      <c r="C15" s="113"/>
      <c r="D15" s="113"/>
      <c r="E15" s="124"/>
      <c r="F15" s="124"/>
      <c r="G15" s="124"/>
      <c r="H15" s="117"/>
      <c r="I15" s="117"/>
      <c r="J15" s="117"/>
      <c r="K15" s="117"/>
      <c r="L15" s="117"/>
      <c r="M15" s="147"/>
      <c r="N15" s="147"/>
      <c r="O15" s="147"/>
      <c r="P15" s="147"/>
      <c r="Q15" s="147"/>
      <c r="R15" s="147"/>
      <c r="S15" s="1"/>
      <c r="T15" s="1"/>
      <c r="U15" s="1"/>
      <c r="V15" s="1"/>
      <c r="W15" s="1"/>
      <c r="X15" s="1"/>
      <c r="Y15" s="1"/>
      <c r="Z15" s="1"/>
      <c r="AA15" s="1"/>
      <c r="AE15" s="102" t="s">
        <v>90</v>
      </c>
      <c r="AF15" s="103" t="s">
        <v>90</v>
      </c>
      <c r="AG15" s="103" t="s">
        <v>90</v>
      </c>
      <c r="AH15" s="103" t="s">
        <v>90</v>
      </c>
      <c r="AI15" s="104" t="s">
        <v>90</v>
      </c>
      <c r="AJ15" s="105" t="str">
        <f>CONCATENATE(F112,"V - ",D112,"V")</f>
        <v>0V - 0V</v>
      </c>
      <c r="AK15" s="105"/>
      <c r="AL15" s="105"/>
      <c r="AM15" s="105"/>
      <c r="AN15" s="105" t="str">
        <f t="shared" ref="AN15" si="2">CONCATENATE(E$8,"V - ",E$7,"V")</f>
        <v>4.75V - 5.25V</v>
      </c>
      <c r="AO15" s="105"/>
      <c r="AP15" s="105"/>
      <c r="AQ15" s="105"/>
    </row>
    <row r="16" spans="1:43" ht="18" customHeight="1">
      <c r="A16" s="113" t="s">
        <v>15</v>
      </c>
      <c r="B16" s="113"/>
      <c r="C16" s="113"/>
      <c r="D16" s="113"/>
      <c r="E16" s="124"/>
      <c r="F16" s="124"/>
      <c r="G16" s="124"/>
      <c r="H16" s="117"/>
      <c r="I16" s="117"/>
      <c r="J16" s="117"/>
      <c r="K16" s="117"/>
      <c r="L16" s="117"/>
      <c r="M16" s="147"/>
      <c r="N16" s="147"/>
      <c r="O16" s="147"/>
      <c r="P16" s="147"/>
      <c r="Q16" s="147"/>
      <c r="R16" s="147"/>
      <c r="S16" s="1"/>
      <c r="T16" s="1"/>
      <c r="U16" s="1"/>
      <c r="V16" s="1"/>
      <c r="W16" s="1"/>
      <c r="X16" s="1"/>
      <c r="Y16" s="1"/>
      <c r="Z16" s="1"/>
      <c r="AA16" s="1"/>
      <c r="AE16" s="102" t="s">
        <v>91</v>
      </c>
      <c r="AF16" s="103" t="s">
        <v>91</v>
      </c>
      <c r="AG16" s="103" t="s">
        <v>91</v>
      </c>
      <c r="AH16" s="103" t="s">
        <v>91</v>
      </c>
      <c r="AI16" s="104" t="s">
        <v>91</v>
      </c>
      <c r="AJ16" s="105" t="str">
        <f>CONCATENATE(F113,"V - ",D113,"V")</f>
        <v>0V - 0V</v>
      </c>
      <c r="AK16" s="105"/>
      <c r="AL16" s="105"/>
      <c r="AM16" s="105"/>
      <c r="AN16" s="105" t="str">
        <f t="shared" ref="AN16:AN17" si="3">CONCATENATE(E$8,"V - ",E$7,"V")</f>
        <v>4.75V - 5.25V</v>
      </c>
      <c r="AO16" s="105"/>
      <c r="AP16" s="105"/>
      <c r="AQ16" s="105"/>
    </row>
    <row r="17" spans="1:43" ht="18" customHeight="1">
      <c r="A17" s="140" t="s">
        <v>16</v>
      </c>
      <c r="B17" s="140"/>
      <c r="C17" s="140"/>
      <c r="D17" s="140"/>
      <c r="E17" s="144"/>
      <c r="F17" s="144"/>
      <c r="G17" s="144"/>
      <c r="H17" s="117"/>
      <c r="I17" s="117"/>
      <c r="J17" s="117"/>
      <c r="K17" s="117"/>
      <c r="L17" s="117"/>
      <c r="M17" s="147"/>
      <c r="N17" s="147"/>
      <c r="O17" s="147"/>
      <c r="P17" s="147"/>
      <c r="Q17" s="147"/>
      <c r="R17" s="147"/>
      <c r="S17" s="1"/>
      <c r="T17" s="1"/>
      <c r="U17" s="1"/>
      <c r="V17" s="1"/>
      <c r="W17" s="1"/>
      <c r="X17" s="1"/>
      <c r="Y17" s="1"/>
      <c r="Z17" s="1"/>
      <c r="AA17" s="1"/>
      <c r="AE17" s="102" t="s">
        <v>92</v>
      </c>
      <c r="AF17" s="103" t="s">
        <v>92</v>
      </c>
      <c r="AG17" s="103" t="s">
        <v>92</v>
      </c>
      <c r="AH17" s="103" t="s">
        <v>92</v>
      </c>
      <c r="AI17" s="104" t="s">
        <v>92</v>
      </c>
      <c r="AJ17" s="105" t="str">
        <f>CONCATENATE(F114,"V - ",D114,"V")</f>
        <v>0V - 0V</v>
      </c>
      <c r="AK17" s="105"/>
      <c r="AL17" s="105"/>
      <c r="AM17" s="105"/>
      <c r="AN17" s="105" t="str">
        <f t="shared" si="3"/>
        <v>4.75V - 5.25V</v>
      </c>
      <c r="AO17" s="105"/>
      <c r="AP17" s="105"/>
      <c r="AQ17" s="105"/>
    </row>
    <row r="18" spans="1:43" ht="18" customHeight="1">
      <c r="A18" s="140" t="s">
        <v>17</v>
      </c>
      <c r="B18" s="140"/>
      <c r="C18" s="140"/>
      <c r="D18" s="140"/>
      <c r="E18" s="144"/>
      <c r="F18" s="144"/>
      <c r="G18" s="144"/>
      <c r="H18" s="1"/>
      <c r="I18" s="1"/>
      <c r="J18" s="1"/>
      <c r="K18" s="1"/>
      <c r="L18" s="1"/>
      <c r="M18" s="147"/>
      <c r="N18" s="147"/>
      <c r="O18" s="147"/>
      <c r="P18" s="147"/>
      <c r="Q18" s="147"/>
      <c r="R18" s="147"/>
      <c r="S18" s="1"/>
      <c r="T18" s="1"/>
      <c r="U18" s="1"/>
      <c r="V18" s="1"/>
      <c r="W18" s="1"/>
      <c r="X18" s="1"/>
      <c r="Y18" s="1"/>
      <c r="Z18" s="1"/>
      <c r="AA18" s="1"/>
      <c r="AE18" s="102" t="s">
        <v>96</v>
      </c>
      <c r="AF18" s="103" t="s">
        <v>96</v>
      </c>
      <c r="AG18" s="103" t="s">
        <v>96</v>
      </c>
      <c r="AH18" s="103" t="s">
        <v>96</v>
      </c>
      <c r="AI18" s="104" t="s">
        <v>96</v>
      </c>
      <c r="AJ18" s="105"/>
      <c r="AK18" s="105"/>
      <c r="AL18" s="105"/>
      <c r="AM18" s="105"/>
      <c r="AN18" s="105"/>
      <c r="AO18" s="105"/>
      <c r="AP18" s="105"/>
      <c r="AQ18" s="105"/>
    </row>
    <row r="19" spans="1:43" ht="15.75" customHeight="1">
      <c r="A19" s="113" t="s">
        <v>136</v>
      </c>
      <c r="B19" s="113"/>
      <c r="C19" s="113"/>
      <c r="D19" s="113"/>
      <c r="E19" s="124"/>
      <c r="F19" s="124"/>
      <c r="G19" s="124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02" t="s">
        <v>90</v>
      </c>
      <c r="AF19" s="103" t="s">
        <v>90</v>
      </c>
      <c r="AG19" s="103" t="s">
        <v>90</v>
      </c>
      <c r="AH19" s="103" t="s">
        <v>90</v>
      </c>
      <c r="AI19" s="104" t="s">
        <v>90</v>
      </c>
      <c r="AJ19" s="105" t="str">
        <f>CONCATENATE(F116,"V - ",D116,"V")</f>
        <v>0V - 0V</v>
      </c>
      <c r="AK19" s="105"/>
      <c r="AL19" s="105"/>
      <c r="AM19" s="105"/>
      <c r="AN19" s="105" t="str">
        <f t="shared" ref="AN19" si="4">CONCATENATE(E$8,"V - ",E$7,"V")</f>
        <v>4.75V - 5.25V</v>
      </c>
      <c r="AO19" s="105"/>
      <c r="AP19" s="105"/>
      <c r="AQ19" s="105"/>
    </row>
    <row r="20" spans="1:43" ht="15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02" t="s">
        <v>91</v>
      </c>
      <c r="AF20" s="103" t="s">
        <v>91</v>
      </c>
      <c r="AG20" s="103" t="s">
        <v>91</v>
      </c>
      <c r="AH20" s="103" t="s">
        <v>91</v>
      </c>
      <c r="AI20" s="104" t="s">
        <v>91</v>
      </c>
      <c r="AJ20" s="105" t="str">
        <f>CONCATENATE(F117,"V - ",D117,"V")</f>
        <v>0V - 0V</v>
      </c>
      <c r="AK20" s="105"/>
      <c r="AL20" s="105"/>
      <c r="AM20" s="105"/>
      <c r="AN20" s="105" t="str">
        <f t="shared" ref="AN20:AN21" si="5">CONCATENATE(E$8,"V - ",E$7,"V")</f>
        <v>4.75V - 5.25V</v>
      </c>
      <c r="AO20" s="105"/>
      <c r="AP20" s="105"/>
      <c r="AQ20" s="105"/>
    </row>
    <row r="21" spans="1:43" ht="20.25" customHeight="1" thickBot="1">
      <c r="A21" s="151" t="s">
        <v>18</v>
      </c>
      <c r="B21" s="151"/>
      <c r="C21" s="151"/>
      <c r="D21" s="151"/>
      <c r="E21" s="151"/>
      <c r="F21" s="3"/>
      <c r="G21" s="4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1"/>
      <c r="Z21" s="1"/>
      <c r="AA21" s="1"/>
      <c r="AB21" s="1"/>
      <c r="AC21" s="1"/>
      <c r="AD21" s="1"/>
      <c r="AE21" s="102" t="s">
        <v>92</v>
      </c>
      <c r="AF21" s="103" t="s">
        <v>92</v>
      </c>
      <c r="AG21" s="103" t="s">
        <v>92</v>
      </c>
      <c r="AH21" s="103" t="s">
        <v>92</v>
      </c>
      <c r="AI21" s="104" t="s">
        <v>92</v>
      </c>
      <c r="AJ21" s="105" t="str">
        <f>CONCATENATE(F118,"V - ",D118,"V")</f>
        <v>0V - 0V</v>
      </c>
      <c r="AK21" s="105"/>
      <c r="AL21" s="105"/>
      <c r="AM21" s="105"/>
      <c r="AN21" s="105" t="str">
        <f t="shared" si="5"/>
        <v>4.75V - 5.25V</v>
      </c>
      <c r="AO21" s="105"/>
      <c r="AP21" s="105"/>
      <c r="AQ21" s="105"/>
    </row>
    <row r="22" spans="1:43" ht="15.75" customHeight="1">
      <c r="A22" s="113" t="s">
        <v>19</v>
      </c>
      <c r="B22" s="113"/>
      <c r="C22" s="113"/>
      <c r="D22" s="113"/>
      <c r="E22" s="5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5" t="s">
        <v>104</v>
      </c>
      <c r="AF22" s="36"/>
      <c r="AG22" s="36"/>
      <c r="AH22" s="36"/>
      <c r="AI22" s="38"/>
      <c r="AJ22" s="105"/>
      <c r="AK22" s="105"/>
      <c r="AL22" s="105"/>
      <c r="AM22" s="105"/>
      <c r="AN22" s="105"/>
      <c r="AO22" s="105"/>
      <c r="AP22" s="105"/>
      <c r="AQ22" s="105"/>
    </row>
    <row r="23" spans="1:43" ht="15.75" customHeight="1">
      <c r="A23" s="113" t="s">
        <v>20</v>
      </c>
      <c r="B23" s="113"/>
      <c r="C23" s="113"/>
      <c r="D23" s="113"/>
      <c r="E23" s="5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02" t="s">
        <v>105</v>
      </c>
      <c r="AF23" s="103"/>
      <c r="AG23" s="103"/>
      <c r="AH23" s="103"/>
      <c r="AI23" s="104"/>
      <c r="AJ23" s="105" t="str">
        <f>CONCATENATE(E209,"V - ",D209,"V")</f>
        <v>0V - 0V</v>
      </c>
      <c r="AK23" s="105"/>
      <c r="AL23" s="105"/>
      <c r="AM23" s="105"/>
      <c r="AN23" s="105" t="str">
        <f>CONCATENATE(E$9*0.95,"V - ",E$9*1.05,"V")</f>
        <v>4.75V - 5.25V</v>
      </c>
      <c r="AO23" s="105"/>
      <c r="AP23" s="105"/>
      <c r="AQ23" s="105"/>
    </row>
    <row r="24" spans="1:43" ht="15.75" customHeight="1">
      <c r="A24" s="1"/>
      <c r="B24" s="1"/>
      <c r="C24" s="1"/>
      <c r="D24" s="1"/>
      <c r="E24" s="1"/>
      <c r="F24" s="1"/>
      <c r="G24" s="1"/>
      <c r="H24" s="1"/>
      <c r="I24" s="6"/>
      <c r="J24" s="7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02" t="s">
        <v>106</v>
      </c>
      <c r="AF24" s="103"/>
      <c r="AG24" s="103"/>
      <c r="AH24" s="103"/>
      <c r="AI24" s="104"/>
      <c r="AJ24" s="105" t="str">
        <f t="shared" ref="AJ24:AJ26" si="6">CONCATENATE(E210,"V - ",D210,"V")</f>
        <v>0V - 0V</v>
      </c>
      <c r="AK24" s="105"/>
      <c r="AL24" s="105"/>
      <c r="AM24" s="105"/>
      <c r="AN24" s="105" t="str">
        <f>CONCATENATE(E$9*0.95,"V - ",E$9*1.05,"V")</f>
        <v>4.75V - 5.25V</v>
      </c>
      <c r="AO24" s="105"/>
      <c r="AP24" s="105"/>
      <c r="AQ24" s="105"/>
    </row>
    <row r="25" spans="1:43" ht="15.75" customHeight="1">
      <c r="A25" s="1"/>
      <c r="B25" s="154" t="s">
        <v>21</v>
      </c>
      <c r="C25" s="8" t="str">
        <f>E2</f>
        <v>eff</v>
      </c>
      <c r="D25" s="154" t="s">
        <v>130</v>
      </c>
      <c r="E25" s="44" t="s">
        <v>151</v>
      </c>
      <c r="F25" s="44" t="s">
        <v>151</v>
      </c>
      <c r="G25" s="44" t="s">
        <v>131</v>
      </c>
      <c r="H25" s="44" t="s">
        <v>138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AE25" s="102" t="s">
        <v>107</v>
      </c>
      <c r="AF25" s="103"/>
      <c r="AG25" s="103"/>
      <c r="AH25" s="103"/>
      <c r="AI25" s="104"/>
      <c r="AJ25" s="105" t="str">
        <f t="shared" si="6"/>
        <v>0V - 0V</v>
      </c>
      <c r="AK25" s="105"/>
      <c r="AL25" s="105"/>
      <c r="AM25" s="105"/>
      <c r="AN25" s="105" t="str">
        <f>CONCATENATE(E$9*0.95,"V - ",E$9*1.05,"V")</f>
        <v>4.75V - 5.25V</v>
      </c>
      <c r="AO25" s="105"/>
      <c r="AP25" s="105"/>
      <c r="AQ25" s="105"/>
    </row>
    <row r="26" spans="1:43" ht="17.45" customHeight="1">
      <c r="A26" s="1"/>
      <c r="B26" s="154"/>
      <c r="C26" s="9" t="s">
        <v>22</v>
      </c>
      <c r="D26" s="154" t="s">
        <v>6</v>
      </c>
      <c r="E26" s="45" t="s">
        <v>133</v>
      </c>
      <c r="F26" s="45" t="s">
        <v>134</v>
      </c>
      <c r="G26" s="45" t="s">
        <v>132</v>
      </c>
      <c r="H26" s="45" t="s">
        <v>139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AE26" s="102" t="s">
        <v>108</v>
      </c>
      <c r="AF26" s="103"/>
      <c r="AG26" s="103"/>
      <c r="AH26" s="103"/>
      <c r="AI26" s="104"/>
      <c r="AJ26" s="105" t="str">
        <f t="shared" si="6"/>
        <v>0V - 0V</v>
      </c>
      <c r="AK26" s="105"/>
      <c r="AL26" s="105"/>
      <c r="AM26" s="105"/>
      <c r="AN26" s="105" t="str">
        <f>CONCATENATE(E$9*0.95,"V - ",E$9*1.05,"V")</f>
        <v>4.75V - 5.25V</v>
      </c>
      <c r="AO26" s="105"/>
      <c r="AP26" s="105"/>
      <c r="AQ26" s="105"/>
    </row>
    <row r="27" spans="1:43" ht="15.75" customHeight="1">
      <c r="A27" s="1"/>
      <c r="B27" s="10"/>
      <c r="C27" s="11"/>
      <c r="D27" s="11"/>
      <c r="E27" s="11"/>
      <c r="F27" s="11"/>
      <c r="G27" s="11"/>
      <c r="H27" s="1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AE27" s="102" t="s">
        <v>109</v>
      </c>
      <c r="AF27" s="103" t="s">
        <v>11</v>
      </c>
      <c r="AG27" s="103" t="s">
        <v>11</v>
      </c>
      <c r="AH27" s="103" t="s">
        <v>11</v>
      </c>
      <c r="AI27" s="104" t="s">
        <v>11</v>
      </c>
      <c r="AJ27" s="110" t="str">
        <f>CONCATENATE("TRIPS @ ",OCP_MEAS,"A")</f>
        <v>TRIPS @ 0A</v>
      </c>
      <c r="AK27" s="110"/>
      <c r="AL27" s="110"/>
      <c r="AM27" s="110"/>
      <c r="AN27" s="105" t="str">
        <f>CONCATENATE("&gt;",TEXT(E11*1.2,"0"))</f>
        <v>&gt;1</v>
      </c>
      <c r="AO27" s="105"/>
      <c r="AP27" s="105"/>
      <c r="AQ27" s="105"/>
    </row>
    <row r="28" spans="1:43" ht="15.75" customHeight="1">
      <c r="A28" s="1"/>
      <c r="B28" s="10"/>
      <c r="C28" s="11"/>
      <c r="D28" s="11"/>
      <c r="E28" s="11" t="str">
        <f>IF(COUNT(C28:D28)=2,((D$27-D28)/B28)*1000,"")</f>
        <v/>
      </c>
      <c r="F28" s="11" t="str">
        <f>IF(COUNT(C28:D28)=2,((C$27-C28)/B28)*1000,"")</f>
        <v/>
      </c>
      <c r="G28" s="11" t="str">
        <f>IF(COUNT(C28:D28)=2,F28-E28,"")</f>
        <v/>
      </c>
      <c r="H28" s="46" t="str">
        <f>IF(COUNT(C28:D28)=2,((C$27-C28)/C$27),"")</f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AE28" s="102" t="s">
        <v>110</v>
      </c>
      <c r="AF28" s="103"/>
      <c r="AG28" s="103"/>
      <c r="AH28" s="103"/>
      <c r="AI28" s="104"/>
      <c r="AJ28" s="105">
        <f>D314</f>
        <v>0</v>
      </c>
      <c r="AK28" s="105"/>
      <c r="AL28" s="105"/>
      <c r="AM28" s="105"/>
      <c r="AN28" s="105"/>
      <c r="AO28" s="105"/>
      <c r="AP28" s="105"/>
      <c r="AQ28" s="105"/>
    </row>
    <row r="29" spans="1:43" ht="15.75" customHeight="1">
      <c r="A29" s="1"/>
      <c r="B29" s="10"/>
      <c r="C29" s="11"/>
      <c r="D29" s="11"/>
      <c r="E29" s="11" t="str">
        <f t="shared" ref="E29:E53" si="7">IF(COUNT(C29:D29)=2,((D$27-D29)/B29)*1000,"")</f>
        <v/>
      </c>
      <c r="F29" s="11" t="str">
        <f t="shared" ref="F29:F53" si="8">IF(COUNT(C29:D29)=2,((C$27-C29)/B29)*1000,"")</f>
        <v/>
      </c>
      <c r="G29" s="11" t="str">
        <f t="shared" ref="G29:G53" si="9">IF(COUNT(C29:D29)=2,F29-E29,"")</f>
        <v/>
      </c>
      <c r="H29" s="46" t="str">
        <f t="shared" ref="H29:H53" si="10">IF(COUNT(C29:D29)=2,((C$27-C29)/C$27),"")</f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AE29" s="102" t="s">
        <v>111</v>
      </c>
      <c r="AF29" s="103"/>
      <c r="AG29" s="103"/>
      <c r="AH29" s="103"/>
      <c r="AI29" s="104"/>
      <c r="AJ29" s="105">
        <f>D316</f>
        <v>0</v>
      </c>
      <c r="AK29" s="105"/>
      <c r="AL29" s="105"/>
      <c r="AM29" s="105"/>
      <c r="AN29" s="105"/>
      <c r="AO29" s="105"/>
      <c r="AP29" s="105"/>
      <c r="AQ29" s="105"/>
    </row>
    <row r="30" spans="1:43" ht="15.75" customHeight="1">
      <c r="A30" s="1"/>
      <c r="B30" s="10"/>
      <c r="C30" s="11"/>
      <c r="D30" s="11"/>
      <c r="E30" s="11" t="str">
        <f t="shared" si="7"/>
        <v/>
      </c>
      <c r="F30" s="11" t="str">
        <f t="shared" si="8"/>
        <v/>
      </c>
      <c r="G30" s="11" t="str">
        <f t="shared" si="9"/>
        <v/>
      </c>
      <c r="H30" s="46" t="str">
        <f t="shared" si="10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AE30" s="102" t="s">
        <v>112</v>
      </c>
      <c r="AF30" s="103" t="s">
        <v>97</v>
      </c>
      <c r="AG30" s="103" t="s">
        <v>97</v>
      </c>
      <c r="AH30" s="103" t="s">
        <v>97</v>
      </c>
      <c r="AI30" s="104" t="s">
        <v>97</v>
      </c>
      <c r="AJ30" s="111">
        <f>E406</f>
        <v>0</v>
      </c>
      <c r="AK30" s="111"/>
      <c r="AL30" s="111"/>
      <c r="AM30" s="111"/>
      <c r="AN30" s="111" t="str">
        <f>CONCATENATE("&lt;",0.1*DUT_VOUT)</f>
        <v>&lt;0.5</v>
      </c>
      <c r="AO30" s="111"/>
      <c r="AP30" s="111"/>
      <c r="AQ30" s="111"/>
    </row>
    <row r="31" spans="1:43" ht="15.75" customHeight="1">
      <c r="A31" s="1"/>
      <c r="B31" s="10"/>
      <c r="C31" s="11"/>
      <c r="D31" s="11"/>
      <c r="E31" s="11" t="str">
        <f t="shared" si="7"/>
        <v/>
      </c>
      <c r="F31" s="11" t="str">
        <f t="shared" si="8"/>
        <v/>
      </c>
      <c r="G31" s="11" t="str">
        <f t="shared" si="9"/>
        <v/>
      </c>
      <c r="H31" s="46" t="str">
        <f t="shared" si="10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AE31" s="102" t="s">
        <v>113</v>
      </c>
      <c r="AF31" s="103"/>
      <c r="AG31" s="103"/>
      <c r="AH31" s="103"/>
      <c r="AI31" s="104"/>
      <c r="AJ31" s="105">
        <f>E408</f>
        <v>0</v>
      </c>
      <c r="AK31" s="105"/>
      <c r="AL31" s="105"/>
      <c r="AM31" s="105"/>
      <c r="AN31" s="105" t="str">
        <f>CONCATENATE("&lt;",0.1*DUT_VOUT)</f>
        <v>&lt;0.5</v>
      </c>
      <c r="AO31" s="105"/>
      <c r="AP31" s="105"/>
      <c r="AQ31" s="105"/>
    </row>
    <row r="32" spans="1:43" ht="15.75" customHeight="1">
      <c r="A32" s="1"/>
      <c r="B32" s="10"/>
      <c r="C32" s="11"/>
      <c r="D32" s="11"/>
      <c r="E32" s="11" t="str">
        <f t="shared" si="7"/>
        <v/>
      </c>
      <c r="F32" s="11" t="str">
        <f t="shared" si="8"/>
        <v/>
      </c>
      <c r="G32" s="11" t="str">
        <f t="shared" si="9"/>
        <v/>
      </c>
      <c r="H32" s="46" t="str">
        <f t="shared" si="10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AE32" s="40"/>
      <c r="AF32" s="41"/>
      <c r="AG32" s="41"/>
      <c r="AH32" s="41"/>
      <c r="AI32" s="41"/>
      <c r="AJ32" s="39"/>
      <c r="AK32" s="39"/>
      <c r="AL32" s="39"/>
      <c r="AM32" s="39"/>
      <c r="AN32" s="39"/>
      <c r="AO32" s="39"/>
      <c r="AP32" s="39"/>
      <c r="AQ32" s="39"/>
    </row>
    <row r="33" spans="1:43" ht="15.75" customHeight="1">
      <c r="A33" s="1"/>
      <c r="B33" s="10"/>
      <c r="C33" s="11"/>
      <c r="D33" s="11"/>
      <c r="E33" s="11" t="str">
        <f t="shared" si="7"/>
        <v/>
      </c>
      <c r="F33" s="11" t="str">
        <f t="shared" si="8"/>
        <v/>
      </c>
      <c r="G33" s="11" t="str">
        <f t="shared" si="9"/>
        <v/>
      </c>
      <c r="H33" s="46" t="str">
        <f t="shared" si="10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AE33" s="170" t="s">
        <v>93</v>
      </c>
      <c r="AF33" s="171"/>
      <c r="AG33" s="171"/>
      <c r="AH33" s="171"/>
      <c r="AI33" s="172"/>
      <c r="AJ33" s="105"/>
      <c r="AK33" s="105"/>
      <c r="AL33" s="105"/>
      <c r="AM33" s="105"/>
      <c r="AN33" s="105"/>
      <c r="AO33" s="105"/>
      <c r="AP33" s="105"/>
      <c r="AQ33" s="105"/>
    </row>
    <row r="34" spans="1:43" ht="15.75" customHeight="1">
      <c r="A34" s="1"/>
      <c r="B34" s="10"/>
      <c r="C34" s="11"/>
      <c r="D34" s="11"/>
      <c r="E34" s="11" t="str">
        <f t="shared" si="7"/>
        <v/>
      </c>
      <c r="F34" s="11" t="str">
        <f t="shared" si="8"/>
        <v/>
      </c>
      <c r="G34" s="11" t="str">
        <f t="shared" si="9"/>
        <v/>
      </c>
      <c r="H34" s="46" t="str">
        <f t="shared" si="10"/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43" ht="15.75" customHeight="1">
      <c r="A35" s="1"/>
      <c r="B35" s="10"/>
      <c r="C35" s="11"/>
      <c r="D35" s="11"/>
      <c r="E35" s="11" t="str">
        <f t="shared" si="7"/>
        <v/>
      </c>
      <c r="F35" s="11" t="str">
        <f t="shared" si="8"/>
        <v/>
      </c>
      <c r="G35" s="11" t="str">
        <f t="shared" si="9"/>
        <v/>
      </c>
      <c r="H35" s="46" t="str">
        <f t="shared" si="10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AE35" s="42"/>
      <c r="AF35" s="42"/>
      <c r="AG35" s="42"/>
      <c r="AH35" s="42"/>
      <c r="AI35" s="42"/>
      <c r="AJ35" s="42"/>
      <c r="AK35" s="42"/>
      <c r="AL35" s="42"/>
      <c r="AM35" s="42"/>
    </row>
    <row r="36" spans="1:43" ht="15.75" customHeight="1">
      <c r="A36" s="1"/>
      <c r="B36" s="10"/>
      <c r="C36" s="11"/>
      <c r="D36" s="11"/>
      <c r="E36" s="11" t="str">
        <f t="shared" si="7"/>
        <v/>
      </c>
      <c r="F36" s="11" t="str">
        <f t="shared" si="8"/>
        <v/>
      </c>
      <c r="G36" s="11" t="str">
        <f t="shared" si="9"/>
        <v/>
      </c>
      <c r="H36" s="46" t="str">
        <f t="shared" si="10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AE36" s="42"/>
      <c r="AF36" s="42"/>
      <c r="AG36" s="42"/>
      <c r="AH36" s="42"/>
      <c r="AI36" s="42"/>
      <c r="AJ36" s="42"/>
      <c r="AK36" s="42"/>
      <c r="AL36" s="42"/>
      <c r="AM36" s="42"/>
    </row>
    <row r="37" spans="1:43" ht="15.75" customHeight="1">
      <c r="A37" s="1"/>
      <c r="B37" s="10"/>
      <c r="C37" s="11"/>
      <c r="D37" s="11"/>
      <c r="E37" s="11" t="str">
        <f t="shared" si="7"/>
        <v/>
      </c>
      <c r="F37" s="11" t="str">
        <f t="shared" si="8"/>
        <v/>
      </c>
      <c r="G37" s="11" t="str">
        <f t="shared" si="9"/>
        <v/>
      </c>
      <c r="H37" s="46" t="str">
        <f t="shared" si="10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AE37" s="42"/>
      <c r="AF37" s="42"/>
      <c r="AG37" s="42"/>
      <c r="AH37" s="42"/>
      <c r="AI37" s="42"/>
      <c r="AJ37" s="42"/>
      <c r="AK37" s="42"/>
      <c r="AL37" s="42"/>
      <c r="AM37" s="42"/>
    </row>
    <row r="38" spans="1:43" ht="15.75" customHeight="1">
      <c r="A38" s="1"/>
      <c r="B38" s="10"/>
      <c r="C38" s="11"/>
      <c r="D38" s="11"/>
      <c r="E38" s="11" t="str">
        <f t="shared" si="7"/>
        <v/>
      </c>
      <c r="F38" s="11" t="str">
        <f t="shared" si="8"/>
        <v/>
      </c>
      <c r="G38" s="11" t="str">
        <f t="shared" si="9"/>
        <v/>
      </c>
      <c r="H38" s="46" t="str">
        <f t="shared" si="10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AE38" s="42"/>
      <c r="AF38" s="42"/>
      <c r="AG38" s="42"/>
      <c r="AH38" s="42"/>
      <c r="AI38" s="42"/>
      <c r="AJ38" s="42"/>
      <c r="AK38" s="42"/>
      <c r="AL38" s="42"/>
      <c r="AM38" s="42"/>
    </row>
    <row r="39" spans="1:43" ht="15.75" customHeight="1">
      <c r="A39" s="1"/>
      <c r="B39" s="10"/>
      <c r="C39" s="11"/>
      <c r="D39" s="11"/>
      <c r="E39" s="11" t="str">
        <f t="shared" si="7"/>
        <v/>
      </c>
      <c r="F39" s="11" t="str">
        <f t="shared" si="8"/>
        <v/>
      </c>
      <c r="G39" s="11" t="str">
        <f t="shared" si="9"/>
        <v/>
      </c>
      <c r="H39" s="46" t="str">
        <f t="shared" si="10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AE39" s="42"/>
      <c r="AF39" s="42"/>
      <c r="AG39" s="42"/>
      <c r="AH39" s="42"/>
      <c r="AI39" s="42"/>
      <c r="AJ39" s="42"/>
      <c r="AK39" s="42"/>
      <c r="AL39" s="42"/>
      <c r="AM39" s="42"/>
    </row>
    <row r="40" spans="1:43" ht="15.75" customHeight="1">
      <c r="A40" s="1"/>
      <c r="B40" s="10"/>
      <c r="C40" s="11"/>
      <c r="D40" s="11"/>
      <c r="E40" s="11" t="str">
        <f t="shared" si="7"/>
        <v/>
      </c>
      <c r="F40" s="11" t="str">
        <f t="shared" si="8"/>
        <v/>
      </c>
      <c r="G40" s="11" t="str">
        <f t="shared" si="9"/>
        <v/>
      </c>
      <c r="H40" s="46" t="str">
        <f t="shared" si="10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AE40" s="19"/>
      <c r="AF40" s="19"/>
      <c r="AG40" s="19"/>
      <c r="AH40" s="19"/>
      <c r="AI40" s="19"/>
      <c r="AJ40" s="19"/>
      <c r="AK40" s="19"/>
      <c r="AL40" s="19"/>
      <c r="AM40" s="19"/>
    </row>
    <row r="41" spans="1:43" ht="15.75" customHeight="1">
      <c r="A41" s="1"/>
      <c r="B41" s="10"/>
      <c r="C41" s="11"/>
      <c r="D41" s="11"/>
      <c r="E41" s="11" t="str">
        <f t="shared" si="7"/>
        <v/>
      </c>
      <c r="F41" s="11" t="str">
        <f t="shared" si="8"/>
        <v/>
      </c>
      <c r="G41" s="11" t="str">
        <f t="shared" si="9"/>
        <v/>
      </c>
      <c r="H41" s="46" t="str">
        <f t="shared" si="10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43" ht="15.75" customHeight="1">
      <c r="A42" s="1"/>
      <c r="B42" s="10"/>
      <c r="C42" s="11"/>
      <c r="D42" s="11"/>
      <c r="E42" s="11" t="str">
        <f t="shared" si="7"/>
        <v/>
      </c>
      <c r="F42" s="11" t="str">
        <f t="shared" si="8"/>
        <v/>
      </c>
      <c r="G42" s="11" t="str">
        <f t="shared" si="9"/>
        <v/>
      </c>
      <c r="H42" s="46" t="str">
        <f t="shared" si="10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43" ht="15.75" customHeight="1">
      <c r="A43" s="1"/>
      <c r="B43" s="10"/>
      <c r="C43" s="11"/>
      <c r="D43" s="11"/>
      <c r="E43" s="11" t="str">
        <f t="shared" si="7"/>
        <v/>
      </c>
      <c r="F43" s="11" t="str">
        <f t="shared" si="8"/>
        <v/>
      </c>
      <c r="G43" s="11" t="str">
        <f t="shared" si="9"/>
        <v/>
      </c>
      <c r="H43" s="46" t="str">
        <f t="shared" si="10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43" ht="15.75" customHeight="1">
      <c r="A44" s="1"/>
      <c r="B44" s="10"/>
      <c r="C44" s="11"/>
      <c r="D44" s="11"/>
      <c r="E44" s="11" t="str">
        <f t="shared" si="7"/>
        <v/>
      </c>
      <c r="F44" s="11" t="str">
        <f t="shared" si="8"/>
        <v/>
      </c>
      <c r="G44" s="11" t="str">
        <f t="shared" si="9"/>
        <v/>
      </c>
      <c r="H44" s="46" t="str">
        <f t="shared" si="10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43" ht="15.75" customHeight="1">
      <c r="A45" s="1"/>
      <c r="B45" s="10"/>
      <c r="C45" s="11"/>
      <c r="D45" s="11"/>
      <c r="E45" s="11" t="str">
        <f t="shared" si="7"/>
        <v/>
      </c>
      <c r="F45" s="11" t="str">
        <f t="shared" si="8"/>
        <v/>
      </c>
      <c r="G45" s="11" t="str">
        <f t="shared" si="9"/>
        <v/>
      </c>
      <c r="H45" s="46" t="str">
        <f t="shared" si="10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43" ht="15.75" customHeight="1">
      <c r="A46" s="1"/>
      <c r="B46" s="10"/>
      <c r="C46" s="11"/>
      <c r="D46" s="11"/>
      <c r="E46" s="11" t="str">
        <f t="shared" si="7"/>
        <v/>
      </c>
      <c r="F46" s="11" t="str">
        <f t="shared" si="8"/>
        <v/>
      </c>
      <c r="G46" s="11" t="str">
        <f t="shared" si="9"/>
        <v/>
      </c>
      <c r="H46" s="46" t="str">
        <f t="shared" si="10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43" ht="15.75" customHeight="1">
      <c r="A47" s="1"/>
      <c r="B47" s="10"/>
      <c r="C47" s="11"/>
      <c r="D47" s="11"/>
      <c r="E47" s="11" t="str">
        <f t="shared" si="7"/>
        <v/>
      </c>
      <c r="F47" s="11" t="str">
        <f t="shared" si="8"/>
        <v/>
      </c>
      <c r="G47" s="11" t="str">
        <f t="shared" si="9"/>
        <v/>
      </c>
      <c r="H47" s="46" t="str">
        <f t="shared" si="10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43" ht="15.75" customHeight="1">
      <c r="A48" s="1"/>
      <c r="B48" s="10"/>
      <c r="C48" s="11"/>
      <c r="D48" s="11"/>
      <c r="E48" s="11" t="str">
        <f t="shared" si="7"/>
        <v/>
      </c>
      <c r="F48" s="11" t="str">
        <f t="shared" si="8"/>
        <v/>
      </c>
      <c r="G48" s="11" t="str">
        <f t="shared" si="9"/>
        <v/>
      </c>
      <c r="H48" s="46" t="str">
        <f t="shared" si="10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31" ht="15.75" customHeight="1">
      <c r="A49" s="1"/>
      <c r="B49" s="10"/>
      <c r="C49" s="11"/>
      <c r="D49" s="11"/>
      <c r="E49" s="11" t="str">
        <f t="shared" si="7"/>
        <v/>
      </c>
      <c r="F49" s="11" t="str">
        <f t="shared" si="8"/>
        <v/>
      </c>
      <c r="G49" s="11" t="str">
        <f t="shared" si="9"/>
        <v/>
      </c>
      <c r="H49" s="46" t="str">
        <f t="shared" si="10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31" ht="15.75" customHeight="1">
      <c r="A50" s="1"/>
      <c r="B50" s="10"/>
      <c r="C50" s="11"/>
      <c r="D50" s="11"/>
      <c r="E50" s="11" t="str">
        <f t="shared" si="7"/>
        <v/>
      </c>
      <c r="F50" s="11" t="str">
        <f t="shared" si="8"/>
        <v/>
      </c>
      <c r="G50" s="11" t="str">
        <f t="shared" si="9"/>
        <v/>
      </c>
      <c r="H50" s="46" t="str">
        <f t="shared" si="10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31" ht="15.75" customHeight="1">
      <c r="A51" s="1"/>
      <c r="B51" s="10"/>
      <c r="C51" s="11"/>
      <c r="D51" s="11"/>
      <c r="E51" s="11" t="str">
        <f t="shared" si="7"/>
        <v/>
      </c>
      <c r="F51" s="11" t="str">
        <f t="shared" si="8"/>
        <v/>
      </c>
      <c r="G51" s="11" t="str">
        <f t="shared" si="9"/>
        <v/>
      </c>
      <c r="H51" s="46" t="str">
        <f t="shared" si="10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31" ht="15.75" customHeight="1">
      <c r="A52" s="1"/>
      <c r="B52" s="10"/>
      <c r="C52" s="11"/>
      <c r="D52" s="11"/>
      <c r="E52" s="11" t="str">
        <f t="shared" si="7"/>
        <v/>
      </c>
      <c r="F52" s="11" t="str">
        <f t="shared" si="8"/>
        <v/>
      </c>
      <c r="G52" s="11" t="str">
        <f t="shared" si="9"/>
        <v/>
      </c>
      <c r="H52" s="46" t="str">
        <f t="shared" si="10"/>
        <v/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31" ht="15.75" customHeight="1">
      <c r="A53" s="1"/>
      <c r="B53" s="10"/>
      <c r="C53" s="11"/>
      <c r="D53" s="11"/>
      <c r="E53" s="11" t="str">
        <f t="shared" si="7"/>
        <v/>
      </c>
      <c r="F53" s="11" t="str">
        <f t="shared" si="8"/>
        <v/>
      </c>
      <c r="G53" s="11" t="str">
        <f t="shared" si="9"/>
        <v/>
      </c>
      <c r="H53" s="46" t="str">
        <f t="shared" si="10"/>
        <v/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31" ht="15.75" customHeight="1">
      <c r="A54" s="1"/>
      <c r="B54" s="12"/>
      <c r="C54" s="13"/>
      <c r="D54" s="13"/>
      <c r="E54" s="13"/>
      <c r="F54" s="13"/>
      <c r="G54" s="1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1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1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1" ht="20.25" customHeight="1" thickBot="1">
      <c r="A57" s="151" t="s">
        <v>8</v>
      </c>
      <c r="B57" s="151"/>
      <c r="C57" s="151"/>
      <c r="D57" s="151"/>
      <c r="E57" s="151"/>
      <c r="F57" s="3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1"/>
      <c r="Z57" s="1"/>
      <c r="AA57" s="1"/>
      <c r="AB57" s="1"/>
      <c r="AC57" s="1"/>
      <c r="AD57" s="1"/>
    </row>
    <row r="58" spans="1:31" ht="20.25" customHeight="1">
      <c r="A58" s="18"/>
      <c r="B58" s="18"/>
      <c r="C58" s="18"/>
      <c r="D58" s="18"/>
      <c r="E58" s="18"/>
      <c r="F58" s="18"/>
      <c r="G58" s="20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"/>
      <c r="Z58" s="1"/>
      <c r="AA58" s="1"/>
      <c r="AB58" s="1"/>
      <c r="AC58" s="1"/>
      <c r="AD58" s="1"/>
    </row>
    <row r="59" spans="1:31" ht="20.25" customHeight="1">
      <c r="A59" s="153" t="s">
        <v>47</v>
      </c>
      <c r="B59" s="153"/>
      <c r="C59" s="153"/>
      <c r="D59" s="21" t="s">
        <v>50</v>
      </c>
      <c r="E59" s="21" t="s">
        <v>51</v>
      </c>
      <c r="F59" s="21" t="s">
        <v>48</v>
      </c>
      <c r="G59" s="22" t="s">
        <v>52</v>
      </c>
      <c r="H59" s="21" t="s">
        <v>53</v>
      </c>
      <c r="I59" s="21" t="s">
        <v>54</v>
      </c>
      <c r="J59" s="21" t="s">
        <v>55</v>
      </c>
      <c r="K59" s="21" t="s">
        <v>62</v>
      </c>
      <c r="L59" s="21" t="s">
        <v>63</v>
      </c>
      <c r="M59" s="155" t="s">
        <v>148</v>
      </c>
      <c r="N59" s="156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"/>
      <c r="Z59" s="1"/>
      <c r="AA59" s="1"/>
      <c r="AB59" s="1"/>
      <c r="AC59" s="1"/>
      <c r="AD59" s="1"/>
    </row>
    <row r="60" spans="1:31" ht="20.25" customHeight="1">
      <c r="A60" s="153" t="s">
        <v>48</v>
      </c>
      <c r="B60" s="153"/>
      <c r="C60" s="153"/>
      <c r="D60" s="29">
        <v>0</v>
      </c>
      <c r="E60" s="29">
        <v>0</v>
      </c>
      <c r="F60" s="29">
        <v>0</v>
      </c>
      <c r="G60" s="23">
        <f>E$8</f>
        <v>4.75</v>
      </c>
      <c r="H60" s="24">
        <f>E$7</f>
        <v>5.25</v>
      </c>
      <c r="I60" s="21">
        <f>F60-G60</f>
        <v>-4.75</v>
      </c>
      <c r="J60" s="21">
        <f>H60-D60</f>
        <v>5.25</v>
      </c>
      <c r="K60" s="27">
        <f t="shared" ref="K60:L62" si="11">I60/DUT_VOUT*100</f>
        <v>-95</v>
      </c>
      <c r="L60" s="27">
        <f t="shared" si="11"/>
        <v>105</v>
      </c>
      <c r="M60" s="157" t="e">
        <f>(ABS(D60-F60)/E60)*100</f>
        <v>#DIV/0!</v>
      </c>
      <c r="N60" s="15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"/>
      <c r="Z60" s="1"/>
      <c r="AA60" s="1"/>
      <c r="AB60" s="1"/>
      <c r="AC60" s="1"/>
      <c r="AD60" s="1"/>
      <c r="AE60" s="1"/>
    </row>
    <row r="61" spans="1:31" ht="20.25" customHeight="1">
      <c r="A61" s="153" t="s">
        <v>49</v>
      </c>
      <c r="B61" s="153"/>
      <c r="C61" s="153"/>
      <c r="D61" s="29">
        <v>0</v>
      </c>
      <c r="E61" s="29">
        <v>0</v>
      </c>
      <c r="F61" s="29">
        <v>0</v>
      </c>
      <c r="G61" s="23">
        <f t="shared" ref="G61:G62" si="12">E$8</f>
        <v>4.75</v>
      </c>
      <c r="H61" s="24">
        <f t="shared" ref="H61:H62" si="13">E$7</f>
        <v>5.25</v>
      </c>
      <c r="I61" s="21">
        <f t="shared" ref="I61:I62" si="14">F61-G61</f>
        <v>-4.75</v>
      </c>
      <c r="J61" s="21">
        <f t="shared" ref="J61:J62" si="15">H61-D61</f>
        <v>5.25</v>
      </c>
      <c r="K61" s="27">
        <f t="shared" si="11"/>
        <v>-95</v>
      </c>
      <c r="L61" s="27">
        <f t="shared" si="11"/>
        <v>105</v>
      </c>
      <c r="M61" s="157" t="e">
        <f t="shared" ref="M61:M62" si="16">(ABS(D61-F61)/E61)*100</f>
        <v>#DIV/0!</v>
      </c>
      <c r="N61" s="15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"/>
      <c r="Z61" s="1"/>
      <c r="AA61" s="1"/>
      <c r="AB61" s="1"/>
      <c r="AC61" s="1"/>
      <c r="AD61" s="1"/>
      <c r="AE61" s="1"/>
    </row>
    <row r="62" spans="1:31" ht="20.25" customHeight="1">
      <c r="A62" s="153" t="s">
        <v>50</v>
      </c>
      <c r="B62" s="153"/>
      <c r="C62" s="153"/>
      <c r="D62" s="29">
        <v>0</v>
      </c>
      <c r="E62" s="29">
        <v>0</v>
      </c>
      <c r="F62" s="29">
        <v>0</v>
      </c>
      <c r="G62" s="23">
        <f t="shared" si="12"/>
        <v>4.75</v>
      </c>
      <c r="H62" s="24">
        <f t="shared" si="13"/>
        <v>5.25</v>
      </c>
      <c r="I62" s="21">
        <f t="shared" si="14"/>
        <v>-4.75</v>
      </c>
      <c r="J62" s="21">
        <f t="shared" si="15"/>
        <v>5.25</v>
      </c>
      <c r="K62" s="27">
        <f t="shared" si="11"/>
        <v>-95</v>
      </c>
      <c r="L62" s="27">
        <f t="shared" si="11"/>
        <v>105</v>
      </c>
      <c r="M62" s="157" t="e">
        <f t="shared" si="16"/>
        <v>#DIV/0!</v>
      </c>
      <c r="N62" s="15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"/>
      <c r="Z62" s="1"/>
      <c r="AA62" s="1"/>
      <c r="AB62" s="1"/>
      <c r="AC62" s="1"/>
      <c r="AD62" s="1"/>
      <c r="AE62" s="1"/>
    </row>
    <row r="63" spans="1:31" ht="20.25" customHeight="1">
      <c r="A63" s="18"/>
      <c r="B63" s="18"/>
      <c r="C63" s="18"/>
      <c r="D63" s="18"/>
      <c r="E63" s="18"/>
      <c r="F63" s="18"/>
      <c r="G63" s="20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"/>
      <c r="Z63" s="1"/>
      <c r="AA63" s="1"/>
      <c r="AB63" s="1"/>
      <c r="AC63" s="1"/>
      <c r="AD63" s="1"/>
      <c r="AE63" s="1"/>
    </row>
    <row r="64" spans="1:31" ht="20.25" customHeight="1">
      <c r="A64" s="18"/>
      <c r="B64" s="18"/>
      <c r="C64" s="18"/>
      <c r="D64" s="18"/>
      <c r="E64" s="18"/>
      <c r="F64" s="18"/>
      <c r="G64" s="20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"/>
      <c r="Z64" s="1"/>
      <c r="AA64" s="1"/>
      <c r="AB64" s="1"/>
      <c r="AC64" s="1"/>
      <c r="AD64" s="1"/>
      <c r="AE64" s="1"/>
    </row>
    <row r="65" spans="1:43" ht="20.25" customHeight="1">
      <c r="A65" s="18"/>
      <c r="B65" s="18"/>
      <c r="C65" s="18"/>
      <c r="D65" s="18"/>
      <c r="E65" s="18"/>
      <c r="F65" s="18"/>
      <c r="G65" s="20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"/>
      <c r="Z65" s="1"/>
      <c r="AA65" s="1"/>
      <c r="AB65" s="1"/>
      <c r="AC65" s="1"/>
      <c r="AD65" s="1"/>
      <c r="AE65" s="1"/>
    </row>
    <row r="66" spans="1:43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43" ht="15.75" customHeight="1">
      <c r="A67" s="152" t="s">
        <v>23</v>
      </c>
      <c r="B67" s="152"/>
      <c r="C67" s="152"/>
      <c r="D67" s="1"/>
      <c r="E67" s="1"/>
      <c r="F67" s="1"/>
      <c r="G67" s="1"/>
      <c r="H67" s="1"/>
      <c r="I67" s="1"/>
      <c r="K67" s="14"/>
      <c r="L67" s="14"/>
      <c r="M67" s="1"/>
      <c r="N67" s="152" t="s">
        <v>24</v>
      </c>
      <c r="O67" s="152"/>
      <c r="P67" s="152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52" t="s">
        <v>46</v>
      </c>
      <c r="AF67" s="152"/>
      <c r="AG67" s="152"/>
    </row>
    <row r="68" spans="1:43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43" ht="15.75" customHeight="1">
      <c r="A69" s="159"/>
      <c r="B69" s="159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</row>
    <row r="70" spans="1:43" ht="15.75" customHeight="1">
      <c r="A70" s="159"/>
      <c r="B70" s="159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</row>
    <row r="71" spans="1:43" ht="15.75" customHeight="1">
      <c r="A71" s="159"/>
      <c r="B71" s="159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</row>
    <row r="72" spans="1:43" ht="15.75" customHeight="1">
      <c r="A72" s="159"/>
      <c r="B72" s="159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</row>
    <row r="73" spans="1:43" ht="15.75" customHeight="1">
      <c r="A73" s="159"/>
      <c r="B73" s="159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</row>
    <row r="74" spans="1:43" ht="15.75" customHeight="1">
      <c r="A74" s="159"/>
      <c r="B74" s="159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</row>
    <row r="75" spans="1:43" ht="15.75" customHeight="1">
      <c r="A75" s="159"/>
      <c r="B75" s="159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</row>
    <row r="76" spans="1:43" ht="15.75" customHeight="1">
      <c r="A76" s="159"/>
      <c r="B76" s="159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</row>
    <row r="77" spans="1:43" ht="15.75" customHeight="1">
      <c r="A77" s="159"/>
      <c r="B77" s="159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</row>
    <row r="78" spans="1:43" ht="15.75" customHeight="1">
      <c r="A78" s="159"/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</row>
    <row r="79" spans="1:43" ht="15.75" customHeight="1">
      <c r="A79" s="159"/>
      <c r="B79" s="159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</row>
    <row r="80" spans="1:43" ht="15.75" customHeight="1">
      <c r="A80" s="159"/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</row>
    <row r="81" spans="1:43" ht="15.75" customHeight="1">
      <c r="A81" s="159"/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</row>
    <row r="82" spans="1:43" ht="15.75" customHeight="1">
      <c r="A82" s="159"/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</row>
    <row r="83" spans="1:43" ht="15.75" customHeight="1">
      <c r="A83" s="159"/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</row>
    <row r="84" spans="1:43" ht="15.75" customHeight="1">
      <c r="A84" s="159"/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</row>
    <row r="85" spans="1:43" ht="15.75" customHeight="1">
      <c r="A85" s="159"/>
      <c r="B85" s="159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</row>
    <row r="86" spans="1:43" ht="15.75" customHeight="1">
      <c r="A86" s="159"/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</row>
    <row r="87" spans="1:43" ht="15.75" customHeight="1">
      <c r="A87" s="159"/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</row>
    <row r="88" spans="1:43" ht="15.75" customHeight="1">
      <c r="A88" s="159"/>
      <c r="B88" s="159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</row>
    <row r="89" spans="1:43" ht="15.75" customHeight="1">
      <c r="A89" s="159"/>
      <c r="B89" s="159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</row>
    <row r="90" spans="1:43" ht="15.75" customHeight="1">
      <c r="A90" s="159"/>
      <c r="B90" s="159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</row>
    <row r="91" spans="1:43" ht="15.75" customHeight="1">
      <c r="A91" s="159"/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</row>
    <row r="92" spans="1:43" ht="15.75" customHeight="1">
      <c r="A92" s="159"/>
      <c r="B92" s="159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</row>
    <row r="93" spans="1:43" ht="15.75" customHeight="1">
      <c r="A93" s="159"/>
      <c r="B93" s="159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</row>
    <row r="94" spans="1:43" ht="15.75" customHeight="1">
      <c r="A94" s="159"/>
      <c r="B94" s="159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</row>
    <row r="95" spans="1:43" ht="15.75" customHeight="1">
      <c r="A95" s="159"/>
      <c r="B95" s="159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</row>
    <row r="96" spans="1:43" ht="15.75" customHeight="1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</row>
    <row r="97" spans="1:43" ht="15.75" customHeight="1">
      <c r="A97" s="159"/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</row>
    <row r="98" spans="1:43" ht="15.75" customHeight="1">
      <c r="A98" s="159"/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</row>
    <row r="99" spans="1:43" ht="15.75" customHeight="1">
      <c r="A99" s="159"/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"/>
    </row>
    <row r="100" spans="1:43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43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43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4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43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43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43" ht="20.25" customHeight="1" thickBot="1">
      <c r="A106" s="151" t="s">
        <v>10</v>
      </c>
      <c r="B106" s="151"/>
      <c r="C106" s="151"/>
      <c r="D106" s="151"/>
      <c r="E106" s="151"/>
      <c r="F106" s="3"/>
      <c r="G106" s="4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1"/>
      <c r="Z106" s="1"/>
      <c r="AA106" s="1"/>
      <c r="AB106" s="1"/>
      <c r="AC106" s="1"/>
      <c r="AD106" s="1"/>
      <c r="AE106" s="1"/>
    </row>
    <row r="107" spans="1:43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43" ht="15.75" customHeight="1">
      <c r="A108" s="160" t="s">
        <v>25</v>
      </c>
      <c r="B108" s="160"/>
      <c r="C108" s="160"/>
      <c r="D108" s="160"/>
      <c r="E108" s="160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43" ht="15.75" customHeight="1">
      <c r="A109" s="161" t="s">
        <v>26</v>
      </c>
      <c r="B109" s="161"/>
      <c r="C109" s="161"/>
      <c r="D109" s="161"/>
      <c r="E109" s="16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43" ht="15.75" customHeight="1">
      <c r="A110" s="15"/>
      <c r="B110" s="15"/>
      <c r="C110" s="15"/>
      <c r="D110" s="15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43" ht="15.75" customHeight="1">
      <c r="A111" s="153" t="s">
        <v>47</v>
      </c>
      <c r="B111" s="153"/>
      <c r="C111" s="153"/>
      <c r="D111" s="21" t="s">
        <v>50</v>
      </c>
      <c r="E111" s="21" t="s">
        <v>51</v>
      </c>
      <c r="F111" s="21" t="s">
        <v>48</v>
      </c>
      <c r="G111" s="22" t="s">
        <v>52</v>
      </c>
      <c r="H111" s="21" t="s">
        <v>53</v>
      </c>
      <c r="I111" s="21" t="s">
        <v>54</v>
      </c>
      <c r="J111" s="21" t="s">
        <v>55</v>
      </c>
      <c r="K111" s="21" t="s">
        <v>62</v>
      </c>
      <c r="L111" s="21" t="s">
        <v>63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43" ht="15.75" customHeight="1">
      <c r="A112" s="153" t="s">
        <v>56</v>
      </c>
      <c r="B112" s="153"/>
      <c r="C112" s="153"/>
      <c r="D112" s="29">
        <v>0</v>
      </c>
      <c r="E112" s="29">
        <v>0</v>
      </c>
      <c r="F112" s="29">
        <v>0</v>
      </c>
      <c r="G112" s="23">
        <f>E$8</f>
        <v>4.75</v>
      </c>
      <c r="H112" s="24">
        <f>E$7</f>
        <v>5.25</v>
      </c>
      <c r="I112" s="21">
        <f>F112-G112</f>
        <v>-4.75</v>
      </c>
      <c r="J112" s="21">
        <f>H112-D112</f>
        <v>5.25</v>
      </c>
      <c r="K112" s="27">
        <f t="shared" ref="K112:L114" si="17">I112/DUT_VOUT*100</f>
        <v>-95</v>
      </c>
      <c r="L112" s="27">
        <f t="shared" si="17"/>
        <v>105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16073" ht="15.75" customHeight="1">
      <c r="A113" s="153" t="s">
        <v>57</v>
      </c>
      <c r="B113" s="153"/>
      <c r="C113" s="153"/>
      <c r="D113" s="29">
        <v>0</v>
      </c>
      <c r="E113" s="29">
        <v>0</v>
      </c>
      <c r="F113" s="29">
        <v>0</v>
      </c>
      <c r="G113" s="23">
        <f t="shared" ref="G113:G114" si="18">E$8</f>
        <v>4.75</v>
      </c>
      <c r="H113" s="24">
        <f t="shared" ref="H113:H114" si="19">E$7</f>
        <v>5.25</v>
      </c>
      <c r="I113" s="21">
        <f t="shared" ref="I113:I114" si="20">F113-G113</f>
        <v>-4.75</v>
      </c>
      <c r="J113" s="21">
        <f t="shared" ref="J113:J114" si="21">H113-D113</f>
        <v>5.25</v>
      </c>
      <c r="K113" s="27">
        <f t="shared" si="17"/>
        <v>-95</v>
      </c>
      <c r="L113" s="27">
        <f t="shared" si="17"/>
        <v>105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16073" ht="15.75" customHeight="1">
      <c r="A114" s="153" t="s">
        <v>58</v>
      </c>
      <c r="B114" s="153"/>
      <c r="C114" s="153"/>
      <c r="D114" s="29">
        <v>0</v>
      </c>
      <c r="E114" s="29">
        <v>0</v>
      </c>
      <c r="F114" s="29">
        <v>0</v>
      </c>
      <c r="G114" s="23">
        <f t="shared" si="18"/>
        <v>4.75</v>
      </c>
      <c r="H114" s="24">
        <f t="shared" si="19"/>
        <v>5.25</v>
      </c>
      <c r="I114" s="21">
        <f t="shared" si="20"/>
        <v>-4.75</v>
      </c>
      <c r="J114" s="21">
        <f t="shared" si="21"/>
        <v>5.25</v>
      </c>
      <c r="K114" s="27">
        <f t="shared" si="17"/>
        <v>-95</v>
      </c>
      <c r="L114" s="27">
        <f t="shared" si="17"/>
        <v>105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16073" ht="15.75" customHeight="1">
      <c r="A115" s="25"/>
      <c r="B115" s="25"/>
      <c r="C115" s="25"/>
      <c r="D115" s="25"/>
      <c r="E115" s="26"/>
      <c r="F115" s="26"/>
      <c r="G115" s="26"/>
      <c r="H115" s="26"/>
      <c r="I115" s="26"/>
      <c r="J115" s="26"/>
      <c r="K115" s="27"/>
      <c r="L115" s="27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16073" ht="15.75" customHeight="1">
      <c r="A116" s="153" t="s">
        <v>59</v>
      </c>
      <c r="B116" s="153"/>
      <c r="C116" s="153"/>
      <c r="D116" s="29">
        <v>0</v>
      </c>
      <c r="E116" s="29">
        <v>0</v>
      </c>
      <c r="F116" s="29">
        <v>0</v>
      </c>
      <c r="G116" s="23">
        <f>E$8</f>
        <v>4.75</v>
      </c>
      <c r="H116" s="24">
        <f>E$7</f>
        <v>5.25</v>
      </c>
      <c r="I116" s="21">
        <f>F116-G116</f>
        <v>-4.75</v>
      </c>
      <c r="J116" s="21">
        <f>H116-D116</f>
        <v>5.25</v>
      </c>
      <c r="K116" s="27">
        <f t="shared" ref="K116:L118" si="22">I116/DUT_VOUT*100</f>
        <v>-95</v>
      </c>
      <c r="L116" s="27">
        <f t="shared" si="22"/>
        <v>105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16073" ht="15.75" customHeight="1">
      <c r="A117" s="153" t="s">
        <v>60</v>
      </c>
      <c r="B117" s="153"/>
      <c r="C117" s="153"/>
      <c r="D117" s="29">
        <v>0</v>
      </c>
      <c r="E117" s="29">
        <v>0</v>
      </c>
      <c r="F117" s="29">
        <v>0</v>
      </c>
      <c r="G117" s="23">
        <f t="shared" ref="G117:G118" si="23">E$8</f>
        <v>4.75</v>
      </c>
      <c r="H117" s="24">
        <f t="shared" ref="H117:H118" si="24">E$7</f>
        <v>5.25</v>
      </c>
      <c r="I117" s="21">
        <f t="shared" ref="I117:I118" si="25">F117-G117</f>
        <v>-4.75</v>
      </c>
      <c r="J117" s="21">
        <f t="shared" ref="J117:J118" si="26">H117-D117</f>
        <v>5.25</v>
      </c>
      <c r="K117" s="27">
        <f t="shared" si="22"/>
        <v>-95</v>
      </c>
      <c r="L117" s="27">
        <f t="shared" si="22"/>
        <v>105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16073" ht="15.75" customHeight="1">
      <c r="A118" s="153" t="s">
        <v>61</v>
      </c>
      <c r="B118" s="153"/>
      <c r="C118" s="153"/>
      <c r="D118" s="29">
        <v>0</v>
      </c>
      <c r="E118" s="29">
        <v>0</v>
      </c>
      <c r="F118" s="29">
        <v>0</v>
      </c>
      <c r="G118" s="23">
        <f t="shared" si="23"/>
        <v>4.75</v>
      </c>
      <c r="H118" s="24">
        <f t="shared" si="24"/>
        <v>5.25</v>
      </c>
      <c r="I118" s="21">
        <f t="shared" si="25"/>
        <v>-4.75</v>
      </c>
      <c r="J118" s="21">
        <f t="shared" si="26"/>
        <v>5.25</v>
      </c>
      <c r="K118" s="27">
        <f t="shared" si="22"/>
        <v>-95</v>
      </c>
      <c r="L118" s="27">
        <f t="shared" si="22"/>
        <v>105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16073" ht="15.75" customHeight="1">
      <c r="A119" s="15"/>
      <c r="B119" s="15"/>
      <c r="C119" s="15"/>
      <c r="D119" s="15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16073" ht="15.75" customHeight="1">
      <c r="A120" s="15"/>
      <c r="B120" s="15"/>
      <c r="C120" s="15"/>
      <c r="D120" s="15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16073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</row>
    <row r="122" spans="1:16073" ht="15.75" customHeight="1">
      <c r="A122" s="142"/>
      <c r="B122" s="142"/>
      <c r="C122" s="142"/>
      <c r="D122" s="14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16073" ht="15.75" customHeight="1">
      <c r="A123" s="162" t="s">
        <v>27</v>
      </c>
      <c r="B123" s="162"/>
      <c r="C123" s="16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16073" ht="15.75" customHeight="1">
      <c r="A124" s="152" t="s">
        <v>28</v>
      </c>
      <c r="B124" s="152"/>
      <c r="C124" s="152"/>
      <c r="D124" s="1"/>
      <c r="E124" s="1"/>
      <c r="F124" s="1"/>
      <c r="G124" s="1"/>
      <c r="H124" s="1"/>
      <c r="I124" s="1"/>
      <c r="K124" s="14"/>
      <c r="L124" s="14"/>
      <c r="M124" s="1"/>
      <c r="O124" s="152" t="s">
        <v>29</v>
      </c>
      <c r="P124" s="152"/>
      <c r="Q124" s="152"/>
      <c r="T124" s="14"/>
      <c r="U124" s="1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G124" s="152" t="s">
        <v>30</v>
      </c>
      <c r="AH124" s="152"/>
      <c r="AI124" s="152"/>
    </row>
    <row r="125" spans="1:16073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16073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16073" ht="15.75" customHeight="1">
      <c r="A127" s="159"/>
      <c r="B127" s="159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"/>
      <c r="N127" s="1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"/>
      <c r="AF127" s="1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</row>
    <row r="128" spans="1:16073" ht="15.75" customHeight="1">
      <c r="A128" s="159"/>
      <c r="B128" s="159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"/>
      <c r="N128" s="1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</row>
    <row r="129" spans="1:45" ht="15.75" customHeight="1">
      <c r="A129" s="159"/>
      <c r="B129" s="159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"/>
      <c r="N129" s="1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</row>
    <row r="130" spans="1:45" ht="15.75" customHeight="1">
      <c r="A130" s="159"/>
      <c r="B130" s="159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"/>
      <c r="N130" s="1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</row>
    <row r="131" spans="1:45" ht="15.75" customHeight="1">
      <c r="A131" s="159"/>
      <c r="B131" s="159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"/>
      <c r="N131" s="1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</row>
    <row r="132" spans="1:45" ht="15.75" customHeight="1">
      <c r="A132" s="159"/>
      <c r="B132" s="159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"/>
      <c r="N132" s="1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</row>
    <row r="133" spans="1:45" ht="15.75" customHeight="1">
      <c r="A133" s="159"/>
      <c r="B133" s="159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"/>
      <c r="N133" s="1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</row>
    <row r="134" spans="1:45" ht="15.75" customHeight="1">
      <c r="A134" s="159"/>
      <c r="B134" s="159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"/>
      <c r="N134" s="1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</row>
    <row r="135" spans="1:45" ht="15.75" customHeight="1">
      <c r="A135" s="159"/>
      <c r="B135" s="159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"/>
      <c r="N135" s="1"/>
      <c r="O135" s="159"/>
      <c r="P135" s="159"/>
      <c r="Q135" s="159"/>
      <c r="R135" s="159"/>
      <c r="S135" s="159"/>
      <c r="T135" s="159"/>
      <c r="U135" s="159"/>
      <c r="V135" s="159"/>
      <c r="W135" s="159"/>
      <c r="X135" s="159"/>
      <c r="Y135" s="159"/>
      <c r="Z135" s="159"/>
      <c r="AA135" s="159"/>
      <c r="AB135" s="159"/>
      <c r="AC135" s="159"/>
      <c r="AD135" s="159"/>
      <c r="AE135" s="1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</row>
    <row r="136" spans="1:45" ht="15.75" customHeight="1">
      <c r="A136" s="159"/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"/>
      <c r="N136" s="1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"/>
      <c r="AG136" s="159"/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9"/>
      <c r="AR136" s="159"/>
      <c r="AS136" s="159"/>
    </row>
    <row r="137" spans="1:45" ht="15.75" customHeight="1">
      <c r="A137" s="159"/>
      <c r="B137" s="159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"/>
      <c r="N137" s="1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"/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</row>
    <row r="138" spans="1:45" ht="15.75" customHeight="1">
      <c r="A138" s="159"/>
      <c r="B138" s="159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"/>
      <c r="N138" s="1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"/>
      <c r="AG138" s="159"/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9"/>
      <c r="AR138" s="159"/>
      <c r="AS138" s="159"/>
    </row>
    <row r="139" spans="1:45" ht="15.75" customHeight="1">
      <c r="A139" s="159"/>
      <c r="B139" s="159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"/>
      <c r="N139" s="1"/>
      <c r="O139" s="159"/>
      <c r="P139" s="159"/>
      <c r="Q139" s="159"/>
      <c r="R139" s="159"/>
      <c r="S139" s="159"/>
      <c r="T139" s="159"/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9"/>
      <c r="AE139" s="1"/>
      <c r="AG139" s="159"/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9"/>
      <c r="AR139" s="159"/>
      <c r="AS139" s="159"/>
    </row>
    <row r="140" spans="1:45" ht="15.75" customHeight="1">
      <c r="A140" s="159"/>
      <c r="B140" s="159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"/>
      <c r="N140" s="1"/>
      <c r="O140" s="159"/>
      <c r="P140" s="159"/>
      <c r="Q140" s="15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</row>
    <row r="141" spans="1:45" ht="15.75" customHeight="1">
      <c r="A141" s="159"/>
      <c r="B141" s="159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"/>
      <c r="N141" s="1"/>
      <c r="O141" s="159"/>
      <c r="P141" s="159"/>
      <c r="Q141" s="159"/>
      <c r="R141" s="159"/>
      <c r="S141" s="159"/>
      <c r="T141" s="159"/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9"/>
      <c r="AE141" s="1"/>
      <c r="AG141" s="159"/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9"/>
      <c r="AR141" s="159"/>
      <c r="AS141" s="159"/>
    </row>
    <row r="142" spans="1:45" ht="15.75" customHeight="1">
      <c r="A142" s="159"/>
      <c r="B142" s="159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"/>
      <c r="N142" s="1"/>
      <c r="O142" s="159"/>
      <c r="P142" s="159"/>
      <c r="Q142" s="159"/>
      <c r="R142" s="159"/>
      <c r="S142" s="159"/>
      <c r="T142" s="159"/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9"/>
      <c r="AE142" s="1"/>
      <c r="AG142" s="159"/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9"/>
      <c r="AR142" s="159"/>
      <c r="AS142" s="159"/>
    </row>
    <row r="143" spans="1:45" ht="15.75" customHeight="1">
      <c r="A143" s="159"/>
      <c r="B143" s="159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"/>
      <c r="N143" s="1"/>
      <c r="O143" s="159"/>
      <c r="P143" s="159"/>
      <c r="Q143" s="159"/>
      <c r="R143" s="159"/>
      <c r="S143" s="159"/>
      <c r="T143" s="159"/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9"/>
      <c r="AE143" s="1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</row>
    <row r="144" spans="1:45" ht="15.75" customHeight="1">
      <c r="A144" s="159"/>
      <c r="B144" s="159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M144" s="1"/>
      <c r="N144" s="1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</row>
    <row r="145" spans="1:45" ht="15.75" customHeight="1">
      <c r="A145" s="159"/>
      <c r="B145" s="159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"/>
      <c r="N145" s="1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</row>
    <row r="146" spans="1:45" ht="15.75" customHeight="1">
      <c r="A146" s="159"/>
      <c r="B146" s="159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"/>
      <c r="N146" s="1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</row>
    <row r="147" spans="1:45" ht="15.75" customHeight="1">
      <c r="A147" s="159"/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"/>
      <c r="N147" s="1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</row>
    <row r="148" spans="1:45" ht="15.75" customHeight="1">
      <c r="A148" s="159"/>
      <c r="B148" s="159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"/>
      <c r="N148" s="1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</row>
    <row r="149" spans="1:45" ht="15.75" customHeight="1">
      <c r="A149" s="159"/>
      <c r="B149" s="159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"/>
      <c r="N149" s="1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</row>
    <row r="150" spans="1:45" ht="15.75" customHeight="1">
      <c r="A150" s="159"/>
      <c r="B150" s="159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M150" s="1"/>
      <c r="N150" s="1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</row>
    <row r="151" spans="1:45" ht="15.75" customHeight="1">
      <c r="A151" s="159"/>
      <c r="B151" s="159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"/>
      <c r="N151" s="1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</row>
    <row r="152" spans="1:45" ht="15.75" customHeight="1">
      <c r="A152" s="159"/>
      <c r="B152" s="159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"/>
      <c r="N152" s="1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</row>
    <row r="153" spans="1:45" ht="15.75" customHeight="1">
      <c r="A153" s="159"/>
      <c r="B153" s="159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"/>
      <c r="N153" s="1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</row>
    <row r="154" spans="1:45" ht="15.75" customHeight="1">
      <c r="A154" s="159"/>
      <c r="B154" s="159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"/>
      <c r="N154" s="1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</row>
    <row r="155" spans="1:45" ht="15.75" customHeight="1">
      <c r="A155" s="159"/>
      <c r="B155" s="159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"/>
      <c r="N155" s="1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</row>
    <row r="156" spans="1:45" ht="15.75" customHeight="1">
      <c r="A156" s="159"/>
      <c r="B156" s="159"/>
      <c r="C156" s="159"/>
      <c r="D156" s="159"/>
      <c r="E156" s="159"/>
      <c r="F156" s="159"/>
      <c r="G156" s="159"/>
      <c r="H156" s="159"/>
      <c r="I156" s="159"/>
      <c r="J156" s="159"/>
      <c r="K156" s="159"/>
      <c r="L156" s="159"/>
      <c r="M156" s="1"/>
      <c r="N156" s="1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</row>
    <row r="157" spans="1:45" ht="15.75" customHeight="1">
      <c r="A157" s="159"/>
      <c r="B157" s="159"/>
      <c r="C157" s="159"/>
      <c r="D157" s="159"/>
      <c r="E157" s="159"/>
      <c r="F157" s="159"/>
      <c r="G157" s="159"/>
      <c r="H157" s="159"/>
      <c r="I157" s="159"/>
      <c r="J157" s="159"/>
      <c r="K157" s="159"/>
      <c r="L157" s="159"/>
      <c r="M157" s="1"/>
      <c r="N157" s="1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</row>
    <row r="158" spans="1:45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</row>
    <row r="159" spans="1:45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</row>
    <row r="160" spans="1:45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</row>
    <row r="161" spans="1:45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</row>
    <row r="162" spans="1:45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</row>
    <row r="163" spans="1:45" ht="15.75" customHeight="1">
      <c r="A163" s="162" t="s">
        <v>31</v>
      </c>
      <c r="B163" s="162"/>
      <c r="C163" s="162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45" ht="15.75" customHeight="1">
      <c r="D164" s="1"/>
      <c r="E164" s="1"/>
      <c r="F164" s="1"/>
      <c r="G164" s="1"/>
      <c r="H164" s="1"/>
      <c r="I164" s="1"/>
      <c r="K164" s="14"/>
      <c r="L164" s="14"/>
      <c r="M164" s="1"/>
      <c r="O164" s="1"/>
      <c r="P164" s="1"/>
      <c r="T164" s="14"/>
      <c r="U164" s="14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45" ht="15.75" customHeight="1">
      <c r="A165" s="152" t="s">
        <v>28</v>
      </c>
      <c r="B165" s="152"/>
      <c r="C165" s="152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52" t="s">
        <v>29</v>
      </c>
      <c r="P165" s="152"/>
      <c r="Q165" s="152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G165" s="152" t="s">
        <v>30</v>
      </c>
      <c r="AH165" s="152"/>
      <c r="AI165" s="152"/>
    </row>
    <row r="166" spans="1:45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45" ht="15.75" customHeight="1">
      <c r="A167" s="159"/>
      <c r="B167" s="159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"/>
      <c r="N167" s="1"/>
      <c r="O167" s="159"/>
      <c r="P167" s="159"/>
      <c r="Q167" s="159"/>
      <c r="R167" s="159"/>
      <c r="S167" s="159"/>
      <c r="T167" s="159"/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9"/>
      <c r="AE167" s="1"/>
      <c r="AG167" s="159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</row>
    <row r="168" spans="1:45" ht="15.75" customHeight="1">
      <c r="A168" s="159"/>
      <c r="B168" s="159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"/>
      <c r="N168" s="1"/>
      <c r="O168" s="159"/>
      <c r="P168" s="159"/>
      <c r="Q168" s="159"/>
      <c r="R168" s="159"/>
      <c r="S168" s="159"/>
      <c r="T168" s="159"/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"/>
      <c r="AG168" s="159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</row>
    <row r="169" spans="1:45" ht="15.75" customHeight="1">
      <c r="A169" s="159"/>
      <c r="B169" s="159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"/>
      <c r="N169" s="1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"/>
      <c r="AG169" s="159"/>
      <c r="AH169" s="159"/>
      <c r="AI169" s="159"/>
      <c r="AJ169" s="159"/>
      <c r="AK169" s="159"/>
      <c r="AL169" s="159"/>
      <c r="AM169" s="159"/>
      <c r="AN169" s="159"/>
      <c r="AO169" s="159"/>
      <c r="AP169" s="159"/>
      <c r="AQ169" s="159"/>
      <c r="AR169" s="159"/>
      <c r="AS169" s="159"/>
    </row>
    <row r="170" spans="1:45" ht="15.75" customHeight="1">
      <c r="A170" s="159"/>
      <c r="B170" s="159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"/>
      <c r="N170" s="1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9"/>
      <c r="AR170" s="159"/>
      <c r="AS170" s="159"/>
    </row>
    <row r="171" spans="1:45" ht="15.75" customHeight="1">
      <c r="A171" s="159"/>
      <c r="B171" s="159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"/>
      <c r="N171" s="1"/>
      <c r="O171" s="159"/>
      <c r="P171" s="159"/>
      <c r="Q171" s="159"/>
      <c r="R171" s="159"/>
      <c r="S171" s="159"/>
      <c r="T171" s="159"/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9"/>
      <c r="AE171" s="1"/>
      <c r="AG171" s="159"/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9"/>
      <c r="AS171" s="159"/>
    </row>
    <row r="172" spans="1:45" ht="15.75" customHeight="1">
      <c r="A172" s="159"/>
      <c r="B172" s="159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"/>
      <c r="N172" s="1"/>
      <c r="O172" s="159"/>
      <c r="P172" s="159"/>
      <c r="Q172" s="159"/>
      <c r="R172" s="159"/>
      <c r="S172" s="159"/>
      <c r="T172" s="159"/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9"/>
      <c r="AE172" s="1"/>
      <c r="AG172" s="159"/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9"/>
      <c r="AR172" s="159"/>
      <c r="AS172" s="159"/>
    </row>
    <row r="173" spans="1:45" ht="15.75" customHeight="1">
      <c r="A173" s="159"/>
      <c r="B173" s="159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"/>
      <c r="N173" s="1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"/>
      <c r="AG173" s="159"/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9"/>
      <c r="AR173" s="159"/>
      <c r="AS173" s="159"/>
    </row>
    <row r="174" spans="1:45" ht="15.75" customHeight="1">
      <c r="A174" s="159"/>
      <c r="B174" s="159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"/>
      <c r="N174" s="1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"/>
      <c r="AG174" s="159"/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9"/>
      <c r="AR174" s="159"/>
      <c r="AS174" s="159"/>
    </row>
    <row r="175" spans="1:45" ht="15.75" customHeight="1">
      <c r="A175" s="159"/>
      <c r="B175" s="159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"/>
      <c r="N175" s="1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9"/>
      <c r="AE175" s="1"/>
      <c r="AG175" s="159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9"/>
      <c r="AR175" s="159"/>
      <c r="AS175" s="159"/>
    </row>
    <row r="176" spans="1:45" ht="15.75" customHeight="1">
      <c r="A176" s="159"/>
      <c r="B176" s="159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"/>
      <c r="N176" s="1"/>
      <c r="O176" s="159"/>
      <c r="P176" s="159"/>
      <c r="Q176" s="159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9"/>
      <c r="AE176" s="1"/>
      <c r="AG176" s="159"/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9"/>
      <c r="AR176" s="159"/>
      <c r="AS176" s="159"/>
    </row>
    <row r="177" spans="1:45" ht="15.75" customHeight="1">
      <c r="A177" s="159"/>
      <c r="B177" s="159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"/>
      <c r="N177" s="1"/>
      <c r="O177" s="159"/>
      <c r="P177" s="159"/>
      <c r="Q177" s="159"/>
      <c r="R177" s="159"/>
      <c r="S177" s="159"/>
      <c r="T177" s="159"/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9"/>
      <c r="AE177" s="1"/>
      <c r="AG177" s="159"/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9"/>
      <c r="AR177" s="159"/>
      <c r="AS177" s="159"/>
    </row>
    <row r="178" spans="1:45" ht="15.75" customHeight="1">
      <c r="A178" s="159"/>
      <c r="B178" s="159"/>
      <c r="C178" s="159"/>
      <c r="D178" s="159"/>
      <c r="E178" s="159"/>
      <c r="F178" s="159"/>
      <c r="G178" s="159"/>
      <c r="H178" s="159"/>
      <c r="I178" s="159"/>
      <c r="J178" s="159"/>
      <c r="K178" s="159"/>
      <c r="L178" s="159"/>
      <c r="M178" s="1"/>
      <c r="N178" s="1"/>
      <c r="O178" s="159"/>
      <c r="P178" s="159"/>
      <c r="Q178" s="159"/>
      <c r="R178" s="159"/>
      <c r="S178" s="159"/>
      <c r="T178" s="159"/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"/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</row>
    <row r="179" spans="1:45" ht="15.75" customHeight="1">
      <c r="A179" s="159"/>
      <c r="B179" s="159"/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"/>
      <c r="N179" s="1"/>
      <c r="O179" s="159"/>
      <c r="P179" s="159"/>
      <c r="Q179" s="159"/>
      <c r="R179" s="159"/>
      <c r="S179" s="159"/>
      <c r="T179" s="159"/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9"/>
      <c r="AE179" s="1"/>
      <c r="AG179" s="159"/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9"/>
      <c r="AR179" s="159"/>
      <c r="AS179" s="159"/>
    </row>
    <row r="180" spans="1:45" ht="15.75" customHeight="1">
      <c r="A180" s="159"/>
      <c r="B180" s="159"/>
      <c r="C180" s="159"/>
      <c r="D180" s="159"/>
      <c r="E180" s="159"/>
      <c r="F180" s="159"/>
      <c r="G180" s="159"/>
      <c r="H180" s="159"/>
      <c r="I180" s="159"/>
      <c r="J180" s="159"/>
      <c r="K180" s="159"/>
      <c r="L180" s="159"/>
      <c r="M180" s="1"/>
      <c r="N180" s="1"/>
      <c r="O180" s="159"/>
      <c r="P180" s="159"/>
      <c r="Q180" s="159"/>
      <c r="R180" s="159"/>
      <c r="S180" s="159"/>
      <c r="T180" s="159"/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9"/>
      <c r="AE180" s="1"/>
      <c r="AG180" s="159"/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9"/>
      <c r="AR180" s="159"/>
      <c r="AS180" s="159"/>
    </row>
    <row r="181" spans="1:45" ht="15.75" customHeight="1">
      <c r="A181" s="159"/>
      <c r="B181" s="159"/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"/>
      <c r="N181" s="1"/>
      <c r="O181" s="159"/>
      <c r="P181" s="159"/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"/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</row>
    <row r="182" spans="1:45" ht="15.75" customHeight="1">
      <c r="A182" s="159"/>
      <c r="B182" s="159"/>
      <c r="C182" s="159"/>
      <c r="D182" s="159"/>
      <c r="E182" s="159"/>
      <c r="F182" s="159"/>
      <c r="G182" s="159"/>
      <c r="H182" s="159"/>
      <c r="I182" s="159"/>
      <c r="J182" s="159"/>
      <c r="K182" s="159"/>
      <c r="L182" s="159"/>
      <c r="M182" s="1"/>
      <c r="N182" s="1"/>
      <c r="O182" s="159"/>
      <c r="P182" s="159"/>
      <c r="Q182" s="159"/>
      <c r="R182" s="159"/>
      <c r="S182" s="159"/>
      <c r="T182" s="159"/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9"/>
      <c r="AE182" s="1"/>
      <c r="AG182" s="159"/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9"/>
      <c r="AR182" s="159"/>
      <c r="AS182" s="159"/>
    </row>
    <row r="183" spans="1:45" ht="15.75" customHeight="1">
      <c r="A183" s="159"/>
      <c r="B183" s="159"/>
      <c r="C183" s="159"/>
      <c r="D183" s="159"/>
      <c r="E183" s="159"/>
      <c r="F183" s="159"/>
      <c r="G183" s="159"/>
      <c r="H183" s="159"/>
      <c r="I183" s="159"/>
      <c r="J183" s="159"/>
      <c r="K183" s="159"/>
      <c r="L183" s="159"/>
      <c r="M183" s="1"/>
      <c r="N183" s="1"/>
      <c r="O183" s="159"/>
      <c r="P183" s="159"/>
      <c r="Q183" s="15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"/>
      <c r="AG183" s="159"/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9"/>
      <c r="AR183" s="159"/>
      <c r="AS183" s="159"/>
    </row>
    <row r="184" spans="1:45" ht="15.75" customHeight="1">
      <c r="A184" s="159"/>
      <c r="B184" s="159"/>
      <c r="C184" s="159"/>
      <c r="D184" s="159"/>
      <c r="E184" s="159"/>
      <c r="F184" s="159"/>
      <c r="G184" s="159"/>
      <c r="H184" s="159"/>
      <c r="I184" s="159"/>
      <c r="J184" s="159"/>
      <c r="K184" s="159"/>
      <c r="L184" s="159"/>
      <c r="M184" s="1"/>
      <c r="N184" s="1"/>
      <c r="O184" s="159"/>
      <c r="P184" s="159"/>
      <c r="Q184" s="159"/>
      <c r="R184" s="159"/>
      <c r="S184" s="159"/>
      <c r="T184" s="159"/>
      <c r="U184" s="159"/>
      <c r="V184" s="159"/>
      <c r="W184" s="159"/>
      <c r="X184" s="159"/>
      <c r="Y184" s="159"/>
      <c r="Z184" s="159"/>
      <c r="AA184" s="159"/>
      <c r="AB184" s="159"/>
      <c r="AC184" s="159"/>
      <c r="AD184" s="159"/>
      <c r="AE184" s="1"/>
      <c r="AG184" s="159"/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9"/>
      <c r="AR184" s="159"/>
      <c r="AS184" s="159"/>
    </row>
    <row r="185" spans="1:45" ht="15.75" customHeight="1">
      <c r="A185" s="159"/>
      <c r="B185" s="159"/>
      <c r="C185" s="159"/>
      <c r="D185" s="159"/>
      <c r="E185" s="159"/>
      <c r="F185" s="159"/>
      <c r="G185" s="159"/>
      <c r="H185" s="159"/>
      <c r="I185" s="159"/>
      <c r="J185" s="159"/>
      <c r="K185" s="159"/>
      <c r="L185" s="159"/>
      <c r="M185" s="1"/>
      <c r="N185" s="1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"/>
      <c r="AG185" s="159"/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9"/>
      <c r="AR185" s="159"/>
      <c r="AS185" s="159"/>
    </row>
    <row r="186" spans="1:45" ht="15.75" customHeight="1">
      <c r="A186" s="159"/>
      <c r="B186" s="159"/>
      <c r="C186" s="159"/>
      <c r="D186" s="159"/>
      <c r="E186" s="159"/>
      <c r="F186" s="159"/>
      <c r="G186" s="159"/>
      <c r="H186" s="159"/>
      <c r="I186" s="159"/>
      <c r="J186" s="159"/>
      <c r="K186" s="159"/>
      <c r="L186" s="159"/>
      <c r="M186" s="1"/>
      <c r="N186" s="1"/>
      <c r="O186" s="159"/>
      <c r="P186" s="159"/>
      <c r="Q186" s="159"/>
      <c r="R186" s="159"/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"/>
      <c r="AG186" s="159"/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9"/>
      <c r="AR186" s="159"/>
      <c r="AS186" s="159"/>
    </row>
    <row r="187" spans="1:45" ht="15.75" customHeight="1">
      <c r="A187" s="159"/>
      <c r="B187" s="159"/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"/>
      <c r="N187" s="1"/>
      <c r="O187" s="159"/>
      <c r="P187" s="159"/>
      <c r="Q187" s="159"/>
      <c r="R187" s="159"/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"/>
      <c r="AG187" s="159"/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9"/>
      <c r="AR187" s="159"/>
      <c r="AS187" s="159"/>
    </row>
    <row r="188" spans="1:45" ht="15.75" customHeight="1">
      <c r="A188" s="159"/>
      <c r="B188" s="159"/>
      <c r="C188" s="159"/>
      <c r="D188" s="159"/>
      <c r="E188" s="159"/>
      <c r="F188" s="159"/>
      <c r="G188" s="159"/>
      <c r="H188" s="159"/>
      <c r="I188" s="159"/>
      <c r="J188" s="159"/>
      <c r="K188" s="159"/>
      <c r="L188" s="159"/>
      <c r="M188" s="1"/>
      <c r="N188" s="1"/>
      <c r="O188" s="159"/>
      <c r="P188" s="159"/>
      <c r="Q188" s="159"/>
      <c r="R188" s="159"/>
      <c r="S188" s="159"/>
      <c r="T188" s="159"/>
      <c r="U188" s="159"/>
      <c r="V188" s="159"/>
      <c r="W188" s="159"/>
      <c r="X188" s="159"/>
      <c r="Y188" s="159"/>
      <c r="Z188" s="159"/>
      <c r="AA188" s="159"/>
      <c r="AB188" s="159"/>
      <c r="AC188" s="159"/>
      <c r="AD188" s="159"/>
      <c r="AE188" s="1"/>
      <c r="AG188" s="159"/>
      <c r="AH188" s="159"/>
      <c r="AI188" s="159"/>
      <c r="AJ188" s="159"/>
      <c r="AK188" s="159"/>
      <c r="AL188" s="159"/>
      <c r="AM188" s="159"/>
      <c r="AN188" s="159"/>
      <c r="AO188" s="159"/>
      <c r="AP188" s="159"/>
      <c r="AQ188" s="159"/>
      <c r="AR188" s="159"/>
      <c r="AS188" s="159"/>
    </row>
    <row r="189" spans="1:45" ht="15.75" customHeight="1">
      <c r="A189" s="159"/>
      <c r="B189" s="159"/>
      <c r="C189" s="159"/>
      <c r="D189" s="159"/>
      <c r="E189" s="159"/>
      <c r="F189" s="159"/>
      <c r="G189" s="159"/>
      <c r="H189" s="159"/>
      <c r="I189" s="159"/>
      <c r="J189" s="159"/>
      <c r="K189" s="159"/>
      <c r="L189" s="159"/>
      <c r="M189" s="1"/>
      <c r="N189" s="1"/>
      <c r="O189" s="159"/>
      <c r="P189" s="159"/>
      <c r="Q189" s="159"/>
      <c r="R189" s="159"/>
      <c r="S189" s="159"/>
      <c r="T189" s="159"/>
      <c r="U189" s="159"/>
      <c r="V189" s="159"/>
      <c r="W189" s="159"/>
      <c r="X189" s="159"/>
      <c r="Y189" s="159"/>
      <c r="Z189" s="159"/>
      <c r="AA189" s="159"/>
      <c r="AB189" s="159"/>
      <c r="AC189" s="159"/>
      <c r="AD189" s="159"/>
      <c r="AE189" s="1"/>
      <c r="AG189" s="159"/>
      <c r="AH189" s="159"/>
      <c r="AI189" s="159"/>
      <c r="AJ189" s="159"/>
      <c r="AK189" s="159"/>
      <c r="AL189" s="159"/>
      <c r="AM189" s="159"/>
      <c r="AN189" s="159"/>
      <c r="AO189" s="159"/>
      <c r="AP189" s="159"/>
      <c r="AQ189" s="159"/>
      <c r="AR189" s="159"/>
      <c r="AS189" s="159"/>
    </row>
    <row r="190" spans="1:45" ht="15.75" customHeight="1">
      <c r="A190" s="159"/>
      <c r="B190" s="159"/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"/>
      <c r="N190" s="1"/>
      <c r="O190" s="159"/>
      <c r="P190" s="159"/>
      <c r="Q190" s="159"/>
      <c r="R190" s="159"/>
      <c r="S190" s="159"/>
      <c r="T190" s="159"/>
      <c r="U190" s="159"/>
      <c r="V190" s="159"/>
      <c r="W190" s="159"/>
      <c r="X190" s="159"/>
      <c r="Y190" s="159"/>
      <c r="Z190" s="159"/>
      <c r="AA190" s="159"/>
      <c r="AB190" s="159"/>
      <c r="AC190" s="159"/>
      <c r="AD190" s="159"/>
      <c r="AE190" s="1"/>
      <c r="AG190" s="159"/>
      <c r="AH190" s="159"/>
      <c r="AI190" s="159"/>
      <c r="AJ190" s="159"/>
      <c r="AK190" s="159"/>
      <c r="AL190" s="159"/>
      <c r="AM190" s="159"/>
      <c r="AN190" s="159"/>
      <c r="AO190" s="159"/>
      <c r="AP190" s="159"/>
      <c r="AQ190" s="159"/>
      <c r="AR190" s="159"/>
      <c r="AS190" s="159"/>
    </row>
    <row r="191" spans="1:45" ht="15.75" customHeight="1">
      <c r="A191" s="159"/>
      <c r="B191" s="159"/>
      <c r="C191" s="159"/>
      <c r="D191" s="159"/>
      <c r="E191" s="159"/>
      <c r="F191" s="159"/>
      <c r="G191" s="159"/>
      <c r="H191" s="159"/>
      <c r="I191" s="159"/>
      <c r="J191" s="159"/>
      <c r="K191" s="159"/>
      <c r="L191" s="159"/>
      <c r="M191" s="1"/>
      <c r="N191" s="1"/>
      <c r="O191" s="159"/>
      <c r="P191" s="159"/>
      <c r="Q191" s="159"/>
      <c r="R191" s="159"/>
      <c r="S191" s="159"/>
      <c r="T191" s="159"/>
      <c r="U191" s="159"/>
      <c r="V191" s="159"/>
      <c r="W191" s="159"/>
      <c r="X191" s="159"/>
      <c r="Y191" s="159"/>
      <c r="Z191" s="159"/>
      <c r="AA191" s="159"/>
      <c r="AB191" s="159"/>
      <c r="AC191" s="159"/>
      <c r="AD191" s="159"/>
      <c r="AE191" s="1"/>
      <c r="AG191" s="159"/>
      <c r="AH191" s="159"/>
      <c r="AI191" s="159"/>
      <c r="AJ191" s="159"/>
      <c r="AK191" s="159"/>
      <c r="AL191" s="159"/>
      <c r="AM191" s="159"/>
      <c r="AN191" s="159"/>
      <c r="AO191" s="159"/>
      <c r="AP191" s="159"/>
      <c r="AQ191" s="159"/>
      <c r="AR191" s="159"/>
      <c r="AS191" s="159"/>
    </row>
    <row r="192" spans="1:45" ht="15.75" customHeight="1">
      <c r="A192" s="159"/>
      <c r="B192" s="159"/>
      <c r="C192" s="159"/>
      <c r="D192" s="159"/>
      <c r="E192" s="159"/>
      <c r="F192" s="159"/>
      <c r="G192" s="159"/>
      <c r="H192" s="159"/>
      <c r="I192" s="159"/>
      <c r="J192" s="159"/>
      <c r="K192" s="159"/>
      <c r="L192" s="159"/>
      <c r="M192" s="1"/>
      <c r="N192" s="1"/>
      <c r="O192" s="159"/>
      <c r="P192" s="159"/>
      <c r="Q192" s="159"/>
      <c r="R192" s="159"/>
      <c r="S192" s="159"/>
      <c r="T192" s="159"/>
      <c r="U192" s="159"/>
      <c r="V192" s="159"/>
      <c r="W192" s="159"/>
      <c r="X192" s="159"/>
      <c r="Y192" s="159"/>
      <c r="Z192" s="159"/>
      <c r="AA192" s="159"/>
      <c r="AB192" s="159"/>
      <c r="AC192" s="159"/>
      <c r="AD192" s="159"/>
      <c r="AE192" s="1"/>
      <c r="AG192" s="159"/>
      <c r="AH192" s="159"/>
      <c r="AI192" s="159"/>
      <c r="AJ192" s="159"/>
      <c r="AK192" s="159"/>
      <c r="AL192" s="159"/>
      <c r="AM192" s="159"/>
      <c r="AN192" s="159"/>
      <c r="AO192" s="159"/>
      <c r="AP192" s="159"/>
      <c r="AQ192" s="159"/>
      <c r="AR192" s="159"/>
      <c r="AS192" s="159"/>
    </row>
    <row r="193" spans="1:45" ht="15.75" customHeight="1">
      <c r="A193" s="159"/>
      <c r="B193" s="159"/>
      <c r="C193" s="159"/>
      <c r="D193" s="159"/>
      <c r="E193" s="159"/>
      <c r="F193" s="159"/>
      <c r="G193" s="159"/>
      <c r="H193" s="159"/>
      <c r="I193" s="159"/>
      <c r="J193" s="159"/>
      <c r="K193" s="159"/>
      <c r="L193" s="159"/>
      <c r="M193" s="1"/>
      <c r="N193" s="1"/>
      <c r="O193" s="159"/>
      <c r="P193" s="159"/>
      <c r="Q193" s="159"/>
      <c r="R193" s="159"/>
      <c r="S193" s="159"/>
      <c r="T193" s="159"/>
      <c r="U193" s="159"/>
      <c r="V193" s="159"/>
      <c r="W193" s="159"/>
      <c r="X193" s="159"/>
      <c r="Y193" s="159"/>
      <c r="Z193" s="159"/>
      <c r="AA193" s="159"/>
      <c r="AB193" s="159"/>
      <c r="AC193" s="159"/>
      <c r="AD193" s="159"/>
      <c r="AE193" s="1"/>
      <c r="AG193" s="159"/>
      <c r="AH193" s="159"/>
      <c r="AI193" s="159"/>
      <c r="AJ193" s="159"/>
      <c r="AK193" s="159"/>
      <c r="AL193" s="159"/>
      <c r="AM193" s="159"/>
      <c r="AN193" s="159"/>
      <c r="AO193" s="159"/>
      <c r="AP193" s="159"/>
      <c r="AQ193" s="159"/>
      <c r="AR193" s="159"/>
      <c r="AS193" s="159"/>
    </row>
    <row r="194" spans="1:45" ht="15.75" customHeight="1">
      <c r="A194" s="159"/>
      <c r="B194" s="159"/>
      <c r="C194" s="159"/>
      <c r="D194" s="159"/>
      <c r="E194" s="159"/>
      <c r="F194" s="159"/>
      <c r="G194" s="159"/>
      <c r="H194" s="159"/>
      <c r="I194" s="159"/>
      <c r="J194" s="159"/>
      <c r="K194" s="159"/>
      <c r="L194" s="159"/>
      <c r="M194" s="1"/>
      <c r="N194" s="1"/>
      <c r="O194" s="159"/>
      <c r="P194" s="159"/>
      <c r="Q194" s="159"/>
      <c r="R194" s="159"/>
      <c r="S194" s="159"/>
      <c r="T194" s="159"/>
      <c r="U194" s="159"/>
      <c r="V194" s="159"/>
      <c r="W194" s="159"/>
      <c r="X194" s="159"/>
      <c r="Y194" s="159"/>
      <c r="Z194" s="159"/>
      <c r="AA194" s="159"/>
      <c r="AB194" s="159"/>
      <c r="AC194" s="159"/>
      <c r="AD194" s="159"/>
      <c r="AE194" s="1"/>
      <c r="AG194" s="159"/>
      <c r="AH194" s="159"/>
      <c r="AI194" s="159"/>
      <c r="AJ194" s="159"/>
      <c r="AK194" s="159"/>
      <c r="AL194" s="159"/>
      <c r="AM194" s="159"/>
      <c r="AN194" s="159"/>
      <c r="AO194" s="159"/>
      <c r="AP194" s="159"/>
      <c r="AQ194" s="159"/>
      <c r="AR194" s="159"/>
      <c r="AS194" s="159"/>
    </row>
    <row r="195" spans="1:45" ht="15.75" customHeight="1">
      <c r="A195" s="159"/>
      <c r="B195" s="159"/>
      <c r="C195" s="159"/>
      <c r="D195" s="159"/>
      <c r="E195" s="159"/>
      <c r="F195" s="159"/>
      <c r="G195" s="159"/>
      <c r="H195" s="159"/>
      <c r="I195" s="159"/>
      <c r="J195" s="159"/>
      <c r="K195" s="159"/>
      <c r="L195" s="159"/>
      <c r="M195" s="1"/>
      <c r="N195" s="1"/>
      <c r="O195" s="159"/>
      <c r="P195" s="159"/>
      <c r="Q195" s="159"/>
      <c r="R195" s="159"/>
      <c r="S195" s="159"/>
      <c r="T195" s="159"/>
      <c r="U195" s="159"/>
      <c r="V195" s="159"/>
      <c r="W195" s="159"/>
      <c r="X195" s="159"/>
      <c r="Y195" s="159"/>
      <c r="Z195" s="159"/>
      <c r="AA195" s="159"/>
      <c r="AB195" s="159"/>
      <c r="AC195" s="159"/>
      <c r="AD195" s="159"/>
      <c r="AE195" s="1"/>
      <c r="AG195" s="159"/>
      <c r="AH195" s="159"/>
      <c r="AI195" s="159"/>
      <c r="AJ195" s="159"/>
      <c r="AK195" s="159"/>
      <c r="AL195" s="159"/>
      <c r="AM195" s="159"/>
      <c r="AN195" s="159"/>
      <c r="AO195" s="159"/>
      <c r="AP195" s="159"/>
      <c r="AQ195" s="159"/>
      <c r="AR195" s="159"/>
      <c r="AS195" s="159"/>
    </row>
    <row r="196" spans="1:45" ht="15.75" customHeight="1">
      <c r="A196" s="159"/>
      <c r="B196" s="159"/>
      <c r="C196" s="159"/>
      <c r="D196" s="159"/>
      <c r="E196" s="159"/>
      <c r="F196" s="159"/>
      <c r="G196" s="159"/>
      <c r="H196" s="159"/>
      <c r="I196" s="159"/>
      <c r="J196" s="159"/>
      <c r="K196" s="159"/>
      <c r="L196" s="159"/>
      <c r="M196" s="1"/>
      <c r="N196" s="1"/>
      <c r="O196" s="159"/>
      <c r="P196" s="159"/>
      <c r="Q196" s="159"/>
      <c r="R196" s="159"/>
      <c r="S196" s="159"/>
      <c r="T196" s="159"/>
      <c r="U196" s="159"/>
      <c r="V196" s="159"/>
      <c r="W196" s="159"/>
      <c r="X196" s="159"/>
      <c r="Y196" s="159"/>
      <c r="Z196" s="159"/>
      <c r="AA196" s="159"/>
      <c r="AB196" s="159"/>
      <c r="AC196" s="159"/>
      <c r="AD196" s="159"/>
      <c r="AE196" s="1"/>
      <c r="AG196" s="159"/>
      <c r="AH196" s="159"/>
      <c r="AI196" s="159"/>
      <c r="AJ196" s="159"/>
      <c r="AK196" s="159"/>
      <c r="AL196" s="159"/>
      <c r="AM196" s="159"/>
      <c r="AN196" s="159"/>
      <c r="AO196" s="159"/>
      <c r="AP196" s="159"/>
      <c r="AQ196" s="159"/>
      <c r="AR196" s="159"/>
      <c r="AS196" s="159"/>
    </row>
    <row r="197" spans="1:45" ht="15.75" customHeight="1">
      <c r="A197" s="159"/>
      <c r="B197" s="159"/>
      <c r="C197" s="159"/>
      <c r="D197" s="159"/>
      <c r="E197" s="159"/>
      <c r="F197" s="159"/>
      <c r="G197" s="159"/>
      <c r="H197" s="159"/>
      <c r="I197" s="159"/>
      <c r="J197" s="159"/>
      <c r="K197" s="159"/>
      <c r="L197" s="159"/>
      <c r="M197" s="1"/>
      <c r="N197" s="1"/>
      <c r="O197" s="159"/>
      <c r="P197" s="159"/>
      <c r="Q197" s="159"/>
      <c r="R197" s="159"/>
      <c r="S197" s="159"/>
      <c r="T197" s="159"/>
      <c r="U197" s="159"/>
      <c r="V197" s="159"/>
      <c r="W197" s="159"/>
      <c r="X197" s="159"/>
      <c r="Y197" s="159"/>
      <c r="Z197" s="159"/>
      <c r="AA197" s="159"/>
      <c r="AB197" s="159"/>
      <c r="AC197" s="159"/>
      <c r="AD197" s="159"/>
      <c r="AE197" s="1"/>
      <c r="AG197" s="159"/>
      <c r="AH197" s="159"/>
      <c r="AI197" s="159"/>
      <c r="AJ197" s="159"/>
      <c r="AK197" s="159"/>
      <c r="AL197" s="159"/>
      <c r="AM197" s="159"/>
      <c r="AN197" s="159"/>
      <c r="AO197" s="159"/>
      <c r="AP197" s="159"/>
      <c r="AQ197" s="159"/>
      <c r="AR197" s="159"/>
      <c r="AS197" s="159"/>
    </row>
    <row r="198" spans="1:45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</row>
    <row r="199" spans="1:45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</row>
    <row r="200" spans="1:45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</row>
    <row r="201" spans="1:45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</row>
    <row r="202" spans="1:45" ht="15.75" customHeight="1" thickBot="1">
      <c r="A202" s="151" t="s">
        <v>32</v>
      </c>
      <c r="B202" s="151"/>
      <c r="C202" s="151"/>
      <c r="D202" s="151"/>
      <c r="E202" s="151"/>
      <c r="F202" s="3"/>
      <c r="G202" s="4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1"/>
      <c r="Z202" s="1"/>
      <c r="AA202" s="1"/>
      <c r="AB202" s="1"/>
      <c r="AC202" s="1"/>
      <c r="AD202" s="1"/>
      <c r="AE202" s="1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</row>
    <row r="203" spans="1:45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45" ht="15.75" customHeight="1">
      <c r="A204" s="162" t="s">
        <v>33</v>
      </c>
      <c r="B204" s="162"/>
      <c r="C204" s="162"/>
      <c r="D204" s="14"/>
      <c r="E204" s="14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45" ht="15.75" customHeight="1">
      <c r="A205" s="163" t="s">
        <v>34</v>
      </c>
      <c r="B205" s="163"/>
      <c r="C205" s="163"/>
      <c r="D205" s="14"/>
      <c r="E205" s="14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45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45" s="19" customFormat="1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AE207" s="1"/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5" ht="15.75" customHeight="1">
      <c r="A208" s="153" t="s">
        <v>64</v>
      </c>
      <c r="B208" s="153"/>
      <c r="C208" s="153"/>
      <c r="D208" s="28" t="s">
        <v>50</v>
      </c>
      <c r="E208" s="28" t="s">
        <v>48</v>
      </c>
      <c r="F208" s="22" t="s">
        <v>52</v>
      </c>
      <c r="G208" s="21" t="s">
        <v>53</v>
      </c>
      <c r="H208" s="21" t="s">
        <v>54</v>
      </c>
      <c r="I208" s="21" t="s">
        <v>55</v>
      </c>
      <c r="J208" s="21" t="s">
        <v>62</v>
      </c>
      <c r="K208" s="21" t="s">
        <v>63</v>
      </c>
      <c r="L208" s="47" t="s">
        <v>149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E208" s="1"/>
    </row>
    <row r="209" spans="1:60" ht="15.75" customHeight="1">
      <c r="A209" s="153" t="s">
        <v>48</v>
      </c>
      <c r="B209" s="153"/>
      <c r="C209" s="153"/>
      <c r="D209" s="29">
        <v>0</v>
      </c>
      <c r="E209" s="29">
        <v>0</v>
      </c>
      <c r="F209" s="23">
        <f>DUT_VIN*0.95</f>
        <v>4.75</v>
      </c>
      <c r="G209" s="23">
        <f>DUT_VIN*1.05</f>
        <v>5.25</v>
      </c>
      <c r="H209" s="21">
        <f>E209-F209</f>
        <v>-4.75</v>
      </c>
      <c r="I209" s="21">
        <f>G209-D209</f>
        <v>5.25</v>
      </c>
      <c r="J209" s="27">
        <f t="shared" ref="J209:K212" si="27">H209/DUT_VIN*100</f>
        <v>-95</v>
      </c>
      <c r="K209" s="27">
        <f t="shared" si="27"/>
        <v>105</v>
      </c>
      <c r="L209" s="48">
        <f>(ABS(D209-E209)/DUT_VIN)*100</f>
        <v>0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E209" s="1"/>
    </row>
    <row r="210" spans="1:60" ht="15.75" customHeight="1">
      <c r="A210" s="153" t="s">
        <v>49</v>
      </c>
      <c r="B210" s="153"/>
      <c r="C210" s="153"/>
      <c r="D210" s="29">
        <v>0</v>
      </c>
      <c r="E210" s="29">
        <v>0</v>
      </c>
      <c r="F210" s="23">
        <f>DUT_VIN*0.95</f>
        <v>4.75</v>
      </c>
      <c r="G210" s="23">
        <f>DUT_VIN*1.05</f>
        <v>5.25</v>
      </c>
      <c r="H210" s="21">
        <f t="shared" ref="H210:H212" si="28">E210-F210</f>
        <v>-4.75</v>
      </c>
      <c r="I210" s="21">
        <f t="shared" ref="I210:I212" si="29">G210-D210</f>
        <v>5.25</v>
      </c>
      <c r="J210" s="27">
        <f t="shared" si="27"/>
        <v>-95</v>
      </c>
      <c r="K210" s="27">
        <f t="shared" si="27"/>
        <v>105</v>
      </c>
      <c r="L210" s="48">
        <f>(ABS(D210-E210)/DUT_VIN)*100</f>
        <v>0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E210" s="1"/>
    </row>
    <row r="211" spans="1:60" ht="15.75" customHeight="1">
      <c r="A211" s="153" t="s">
        <v>50</v>
      </c>
      <c r="B211" s="153"/>
      <c r="C211" s="153"/>
      <c r="D211" s="29">
        <v>0</v>
      </c>
      <c r="E211" s="29">
        <v>0</v>
      </c>
      <c r="F211" s="23">
        <f>DUT_VIN*0.95</f>
        <v>4.75</v>
      </c>
      <c r="G211" s="23">
        <f>DUT_VIN*1.05</f>
        <v>5.25</v>
      </c>
      <c r="H211" s="21">
        <f t="shared" si="28"/>
        <v>-4.75</v>
      </c>
      <c r="I211" s="21">
        <f t="shared" si="29"/>
        <v>5.25</v>
      </c>
      <c r="J211" s="27">
        <f t="shared" si="27"/>
        <v>-95</v>
      </c>
      <c r="K211" s="27">
        <f t="shared" si="27"/>
        <v>105</v>
      </c>
      <c r="L211" s="48">
        <f>(ABS(D211-E211)/DUT_VIN)*100</f>
        <v>0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E211" s="1"/>
    </row>
    <row r="212" spans="1:60" ht="15.75" customHeight="1">
      <c r="A212" s="153" t="s">
        <v>65</v>
      </c>
      <c r="B212" s="153"/>
      <c r="C212" s="153"/>
      <c r="D212" s="29">
        <v>0</v>
      </c>
      <c r="E212" s="29">
        <v>0</v>
      </c>
      <c r="F212" s="23">
        <f>DUT_VIN*0.95</f>
        <v>4.75</v>
      </c>
      <c r="G212" s="23">
        <f>DUT_VIN*1.05</f>
        <v>5.25</v>
      </c>
      <c r="H212" s="21">
        <f t="shared" si="28"/>
        <v>-4.75</v>
      </c>
      <c r="I212" s="21">
        <f t="shared" si="29"/>
        <v>5.25</v>
      </c>
      <c r="J212" s="27">
        <f t="shared" si="27"/>
        <v>-95</v>
      </c>
      <c r="K212" s="27">
        <f t="shared" si="27"/>
        <v>105</v>
      </c>
      <c r="L212" s="48">
        <f>(ABS(D212-E212)/DUT_VIN)*100</f>
        <v>0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60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</row>
    <row r="214" spans="1:60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60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60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60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60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60" ht="15.75" customHeight="1">
      <c r="A219" s="152" t="s">
        <v>23</v>
      </c>
      <c r="B219" s="152"/>
      <c r="C219" s="152"/>
      <c r="D219" s="1"/>
      <c r="E219" s="1"/>
      <c r="F219" s="1"/>
      <c r="G219" s="1"/>
      <c r="H219" s="1"/>
      <c r="I219" s="1"/>
      <c r="K219" s="14"/>
      <c r="L219" s="14"/>
      <c r="M219" s="1"/>
      <c r="O219" s="152" t="s">
        <v>24</v>
      </c>
      <c r="P219" s="152"/>
      <c r="Q219" s="152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G219" s="152" t="s">
        <v>46</v>
      </c>
      <c r="AH219" s="152"/>
      <c r="AI219" s="152"/>
      <c r="AR219" s="1"/>
      <c r="AS219" s="1"/>
      <c r="AT219" s="1"/>
      <c r="AU219" s="1"/>
      <c r="AV219" s="152" t="s">
        <v>35</v>
      </c>
      <c r="AW219" s="152"/>
      <c r="AX219" s="152"/>
    </row>
    <row r="220" spans="1:6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R220" s="1"/>
      <c r="AS220" s="1"/>
      <c r="AT220" s="1"/>
      <c r="AU220" s="1"/>
      <c r="AV220" s="1"/>
    </row>
    <row r="221" spans="1:60" ht="15.75" customHeight="1">
      <c r="A221" s="159"/>
      <c r="B221" s="159"/>
      <c r="C221" s="159"/>
      <c r="D221" s="159"/>
      <c r="E221" s="159"/>
      <c r="F221" s="159"/>
      <c r="G221" s="159"/>
      <c r="H221" s="159"/>
      <c r="I221" s="159"/>
      <c r="J221" s="159"/>
      <c r="K221" s="159"/>
      <c r="L221" s="159"/>
      <c r="M221" s="1"/>
      <c r="N221" s="1"/>
      <c r="O221" s="159"/>
      <c r="P221" s="159"/>
      <c r="Q221" s="159"/>
      <c r="R221" s="159"/>
      <c r="S221" s="159"/>
      <c r="T221" s="159"/>
      <c r="U221" s="159"/>
      <c r="V221" s="159"/>
      <c r="W221" s="159"/>
      <c r="X221" s="159"/>
      <c r="Y221" s="159"/>
      <c r="Z221" s="159"/>
      <c r="AA221" s="159"/>
      <c r="AB221" s="159"/>
      <c r="AC221" s="159"/>
      <c r="AD221" s="159"/>
      <c r="AE221" s="1"/>
      <c r="AG221" s="159"/>
      <c r="AH221" s="159"/>
      <c r="AI221" s="159"/>
      <c r="AJ221" s="159"/>
      <c r="AK221" s="159"/>
      <c r="AL221" s="159"/>
      <c r="AM221" s="159"/>
      <c r="AN221" s="159"/>
      <c r="AO221" s="159"/>
      <c r="AP221" s="159"/>
      <c r="AQ221" s="159"/>
      <c r="AR221" s="159"/>
      <c r="AS221" s="159"/>
      <c r="AT221" s="1"/>
      <c r="AU221" s="1"/>
      <c r="AV221" s="159"/>
      <c r="AW221" s="159"/>
      <c r="AX221" s="159"/>
      <c r="AY221" s="159"/>
      <c r="AZ221" s="159"/>
      <c r="BA221" s="159"/>
      <c r="BB221" s="159"/>
      <c r="BC221" s="159"/>
      <c r="BD221" s="159"/>
      <c r="BE221" s="159"/>
      <c r="BF221" s="159"/>
      <c r="BG221" s="159"/>
      <c r="BH221" s="159"/>
    </row>
    <row r="222" spans="1:60" ht="15.75" customHeight="1">
      <c r="A222" s="159"/>
      <c r="B222" s="159"/>
      <c r="C222" s="159"/>
      <c r="D222" s="159"/>
      <c r="E222" s="159"/>
      <c r="F222" s="159"/>
      <c r="G222" s="159"/>
      <c r="H222" s="159"/>
      <c r="I222" s="159"/>
      <c r="J222" s="159"/>
      <c r="K222" s="159"/>
      <c r="L222" s="159"/>
      <c r="M222" s="1"/>
      <c r="N222" s="1"/>
      <c r="O222" s="159"/>
      <c r="P222" s="159"/>
      <c r="Q222" s="159"/>
      <c r="R222" s="159"/>
      <c r="S222" s="159"/>
      <c r="T222" s="159"/>
      <c r="U222" s="159"/>
      <c r="V222" s="159"/>
      <c r="W222" s="159"/>
      <c r="X222" s="159"/>
      <c r="Y222" s="159"/>
      <c r="Z222" s="159"/>
      <c r="AA222" s="159"/>
      <c r="AB222" s="159"/>
      <c r="AC222" s="159"/>
      <c r="AD222" s="159"/>
      <c r="AE222" s="1"/>
      <c r="AG222" s="159"/>
      <c r="AH222" s="159"/>
      <c r="AI222" s="159"/>
      <c r="AJ222" s="159"/>
      <c r="AK222" s="159"/>
      <c r="AL222" s="159"/>
      <c r="AM222" s="159"/>
      <c r="AN222" s="159"/>
      <c r="AO222" s="159"/>
      <c r="AP222" s="159"/>
      <c r="AQ222" s="159"/>
      <c r="AR222" s="159"/>
      <c r="AS222" s="159"/>
      <c r="AT222" s="1"/>
      <c r="AU222" s="1"/>
      <c r="AV222" s="159"/>
      <c r="AW222" s="159"/>
      <c r="AX222" s="159"/>
      <c r="AY222" s="159"/>
      <c r="AZ222" s="159"/>
      <c r="BA222" s="159"/>
      <c r="BB222" s="159"/>
      <c r="BC222" s="159"/>
      <c r="BD222" s="159"/>
      <c r="BE222" s="159"/>
      <c r="BF222" s="159"/>
      <c r="BG222" s="159"/>
      <c r="BH222" s="159"/>
    </row>
    <row r="223" spans="1:60" ht="15.75" customHeight="1">
      <c r="A223" s="159"/>
      <c r="B223" s="159"/>
      <c r="C223" s="159"/>
      <c r="D223" s="159"/>
      <c r="E223" s="159"/>
      <c r="F223" s="159"/>
      <c r="G223" s="159"/>
      <c r="H223" s="159"/>
      <c r="I223" s="159"/>
      <c r="J223" s="159"/>
      <c r="K223" s="159"/>
      <c r="L223" s="159"/>
      <c r="M223" s="1"/>
      <c r="N223" s="1"/>
      <c r="O223" s="159"/>
      <c r="P223" s="159"/>
      <c r="Q223" s="159"/>
      <c r="R223" s="159"/>
      <c r="S223" s="159"/>
      <c r="T223" s="159"/>
      <c r="U223" s="159"/>
      <c r="V223" s="159"/>
      <c r="W223" s="159"/>
      <c r="X223" s="159"/>
      <c r="Y223" s="159"/>
      <c r="Z223" s="159"/>
      <c r="AA223" s="159"/>
      <c r="AB223" s="159"/>
      <c r="AC223" s="159"/>
      <c r="AD223" s="159"/>
      <c r="AE223" s="1"/>
      <c r="AG223" s="159"/>
      <c r="AH223" s="159"/>
      <c r="AI223" s="159"/>
      <c r="AJ223" s="159"/>
      <c r="AK223" s="159"/>
      <c r="AL223" s="159"/>
      <c r="AM223" s="159"/>
      <c r="AN223" s="159"/>
      <c r="AO223" s="159"/>
      <c r="AP223" s="159"/>
      <c r="AQ223" s="159"/>
      <c r="AR223" s="159"/>
      <c r="AS223" s="159"/>
      <c r="AT223" s="1"/>
      <c r="AU223" s="1"/>
      <c r="AV223" s="159"/>
      <c r="AW223" s="159"/>
      <c r="AX223" s="159"/>
      <c r="AY223" s="159"/>
      <c r="AZ223" s="159"/>
      <c r="BA223" s="159"/>
      <c r="BB223" s="159"/>
      <c r="BC223" s="159"/>
      <c r="BD223" s="159"/>
      <c r="BE223" s="159"/>
      <c r="BF223" s="159"/>
      <c r="BG223" s="159"/>
      <c r="BH223" s="159"/>
    </row>
    <row r="224" spans="1:60" ht="15.75" customHeight="1">
      <c r="A224" s="159"/>
      <c r="B224" s="159"/>
      <c r="C224" s="159"/>
      <c r="D224" s="159"/>
      <c r="E224" s="159"/>
      <c r="F224" s="159"/>
      <c r="G224" s="159"/>
      <c r="H224" s="159"/>
      <c r="I224" s="159"/>
      <c r="J224" s="159"/>
      <c r="K224" s="159"/>
      <c r="L224" s="159"/>
      <c r="M224" s="1"/>
      <c r="N224" s="1"/>
      <c r="O224" s="159"/>
      <c r="P224" s="159"/>
      <c r="Q224" s="159"/>
      <c r="R224" s="159"/>
      <c r="S224" s="159"/>
      <c r="T224" s="159"/>
      <c r="U224" s="159"/>
      <c r="V224" s="159"/>
      <c r="W224" s="159"/>
      <c r="X224" s="159"/>
      <c r="Y224" s="159"/>
      <c r="Z224" s="159"/>
      <c r="AA224" s="159"/>
      <c r="AB224" s="159"/>
      <c r="AC224" s="159"/>
      <c r="AD224" s="159"/>
      <c r="AE224" s="1"/>
      <c r="AG224" s="159"/>
      <c r="AH224" s="159"/>
      <c r="AI224" s="159"/>
      <c r="AJ224" s="159"/>
      <c r="AK224" s="159"/>
      <c r="AL224" s="159"/>
      <c r="AM224" s="159"/>
      <c r="AN224" s="159"/>
      <c r="AO224" s="159"/>
      <c r="AP224" s="159"/>
      <c r="AQ224" s="159"/>
      <c r="AR224" s="159"/>
      <c r="AS224" s="159"/>
      <c r="AT224" s="1"/>
      <c r="AU224" s="1"/>
      <c r="AV224" s="159"/>
      <c r="AW224" s="159"/>
      <c r="AX224" s="159"/>
      <c r="AY224" s="159"/>
      <c r="AZ224" s="159"/>
      <c r="BA224" s="159"/>
      <c r="BB224" s="159"/>
      <c r="BC224" s="159"/>
      <c r="BD224" s="159"/>
      <c r="BE224" s="159"/>
      <c r="BF224" s="159"/>
      <c r="BG224" s="159"/>
      <c r="BH224" s="159"/>
    </row>
    <row r="225" spans="1:60" ht="15.75" customHeight="1">
      <c r="A225" s="159"/>
      <c r="B225" s="159"/>
      <c r="C225" s="159"/>
      <c r="D225" s="159"/>
      <c r="E225" s="159"/>
      <c r="F225" s="159"/>
      <c r="G225" s="159"/>
      <c r="H225" s="159"/>
      <c r="I225" s="159"/>
      <c r="J225" s="159"/>
      <c r="K225" s="159"/>
      <c r="L225" s="159"/>
      <c r="M225" s="1"/>
      <c r="N225" s="1"/>
      <c r="O225" s="159"/>
      <c r="P225" s="159"/>
      <c r="Q225" s="159"/>
      <c r="R225" s="159"/>
      <c r="S225" s="159"/>
      <c r="T225" s="159"/>
      <c r="U225" s="159"/>
      <c r="V225" s="159"/>
      <c r="W225" s="159"/>
      <c r="X225" s="159"/>
      <c r="Y225" s="159"/>
      <c r="Z225" s="159"/>
      <c r="AA225" s="159"/>
      <c r="AB225" s="159"/>
      <c r="AC225" s="159"/>
      <c r="AD225" s="159"/>
      <c r="AE225" s="1"/>
      <c r="AG225" s="159"/>
      <c r="AH225" s="159"/>
      <c r="AI225" s="159"/>
      <c r="AJ225" s="159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"/>
      <c r="AU225" s="1"/>
      <c r="AV225" s="159"/>
      <c r="AW225" s="159"/>
      <c r="AX225" s="159"/>
      <c r="AY225" s="159"/>
      <c r="AZ225" s="159"/>
      <c r="BA225" s="159"/>
      <c r="BB225" s="159"/>
      <c r="BC225" s="159"/>
      <c r="BD225" s="159"/>
      <c r="BE225" s="159"/>
      <c r="BF225" s="159"/>
      <c r="BG225" s="159"/>
      <c r="BH225" s="159"/>
    </row>
    <row r="226" spans="1:60" ht="15.75" customHeight="1">
      <c r="A226" s="159"/>
      <c r="B226" s="159"/>
      <c r="C226" s="159"/>
      <c r="D226" s="159"/>
      <c r="E226" s="159"/>
      <c r="F226" s="159"/>
      <c r="G226" s="159"/>
      <c r="H226" s="159"/>
      <c r="I226" s="159"/>
      <c r="J226" s="159"/>
      <c r="K226" s="159"/>
      <c r="L226" s="159"/>
      <c r="M226" s="1"/>
      <c r="N226" s="1"/>
      <c r="O226" s="159"/>
      <c r="P226" s="159"/>
      <c r="Q226" s="159"/>
      <c r="R226" s="159"/>
      <c r="S226" s="159"/>
      <c r="T226" s="159"/>
      <c r="U226" s="159"/>
      <c r="V226" s="159"/>
      <c r="W226" s="159"/>
      <c r="X226" s="159"/>
      <c r="Y226" s="159"/>
      <c r="Z226" s="159"/>
      <c r="AA226" s="159"/>
      <c r="AB226" s="159"/>
      <c r="AC226" s="159"/>
      <c r="AD226" s="159"/>
      <c r="AE226" s="1"/>
      <c r="AG226" s="159"/>
      <c r="AH226" s="159"/>
      <c r="AI226" s="159"/>
      <c r="AJ226" s="159"/>
      <c r="AK226" s="159"/>
      <c r="AL226" s="159"/>
      <c r="AM226" s="159"/>
      <c r="AN226" s="159"/>
      <c r="AO226" s="159"/>
      <c r="AP226" s="159"/>
      <c r="AQ226" s="159"/>
      <c r="AR226" s="159"/>
      <c r="AS226" s="159"/>
      <c r="AT226" s="1"/>
      <c r="AU226" s="1"/>
      <c r="AV226" s="159"/>
      <c r="AW226" s="159"/>
      <c r="AX226" s="159"/>
      <c r="AY226" s="159"/>
      <c r="AZ226" s="159"/>
      <c r="BA226" s="159"/>
      <c r="BB226" s="159"/>
      <c r="BC226" s="159"/>
      <c r="BD226" s="159"/>
      <c r="BE226" s="159"/>
      <c r="BF226" s="159"/>
      <c r="BG226" s="159"/>
      <c r="BH226" s="159"/>
    </row>
    <row r="227" spans="1:60" ht="15.75" customHeight="1">
      <c r="A227" s="159"/>
      <c r="B227" s="159"/>
      <c r="C227" s="159"/>
      <c r="D227" s="159"/>
      <c r="E227" s="159"/>
      <c r="F227" s="159"/>
      <c r="G227" s="159"/>
      <c r="H227" s="159"/>
      <c r="I227" s="159"/>
      <c r="J227" s="159"/>
      <c r="K227" s="159"/>
      <c r="L227" s="159"/>
      <c r="M227" s="1"/>
      <c r="N227" s="1"/>
      <c r="O227" s="159"/>
      <c r="P227" s="159"/>
      <c r="Q227" s="159"/>
      <c r="R227" s="159"/>
      <c r="S227" s="159"/>
      <c r="T227" s="159"/>
      <c r="U227" s="159"/>
      <c r="V227" s="159"/>
      <c r="W227" s="159"/>
      <c r="X227" s="159"/>
      <c r="Y227" s="159"/>
      <c r="Z227" s="159"/>
      <c r="AA227" s="159"/>
      <c r="AB227" s="159"/>
      <c r="AC227" s="159"/>
      <c r="AD227" s="159"/>
      <c r="AE227" s="1"/>
      <c r="AG227" s="159"/>
      <c r="AH227" s="159"/>
      <c r="AI227" s="159"/>
      <c r="AJ227" s="159"/>
      <c r="AK227" s="159"/>
      <c r="AL227" s="159"/>
      <c r="AM227" s="159"/>
      <c r="AN227" s="159"/>
      <c r="AO227" s="159"/>
      <c r="AP227" s="159"/>
      <c r="AQ227" s="159"/>
      <c r="AR227" s="159"/>
      <c r="AS227" s="159"/>
      <c r="AT227" s="1"/>
      <c r="AU227" s="1"/>
      <c r="AV227" s="159"/>
      <c r="AW227" s="159"/>
      <c r="AX227" s="159"/>
      <c r="AY227" s="159"/>
      <c r="AZ227" s="159"/>
      <c r="BA227" s="159"/>
      <c r="BB227" s="159"/>
      <c r="BC227" s="159"/>
      <c r="BD227" s="159"/>
      <c r="BE227" s="159"/>
      <c r="BF227" s="159"/>
      <c r="BG227" s="159"/>
      <c r="BH227" s="159"/>
    </row>
    <row r="228" spans="1:60" ht="15.75" customHeight="1">
      <c r="A228" s="159"/>
      <c r="B228" s="159"/>
      <c r="C228" s="159"/>
      <c r="D228" s="159"/>
      <c r="E228" s="159"/>
      <c r="F228" s="159"/>
      <c r="G228" s="159"/>
      <c r="H228" s="159"/>
      <c r="I228" s="159"/>
      <c r="J228" s="159"/>
      <c r="K228" s="159"/>
      <c r="L228" s="159"/>
      <c r="M228" s="1"/>
      <c r="N228" s="1"/>
      <c r="O228" s="159"/>
      <c r="P228" s="159"/>
      <c r="Q228" s="159"/>
      <c r="R228" s="159"/>
      <c r="S228" s="159"/>
      <c r="T228" s="159"/>
      <c r="U228" s="159"/>
      <c r="V228" s="159"/>
      <c r="W228" s="159"/>
      <c r="X228" s="159"/>
      <c r="Y228" s="159"/>
      <c r="Z228" s="159"/>
      <c r="AA228" s="159"/>
      <c r="AB228" s="159"/>
      <c r="AC228" s="159"/>
      <c r="AD228" s="159"/>
      <c r="AE228" s="1"/>
      <c r="AG228" s="159"/>
      <c r="AH228" s="159"/>
      <c r="AI228" s="159"/>
      <c r="AJ228" s="159"/>
      <c r="AK228" s="159"/>
      <c r="AL228" s="159"/>
      <c r="AM228" s="159"/>
      <c r="AN228" s="159"/>
      <c r="AO228" s="159"/>
      <c r="AP228" s="159"/>
      <c r="AQ228" s="159"/>
      <c r="AR228" s="159"/>
      <c r="AS228" s="159"/>
      <c r="AT228" s="1"/>
      <c r="AU228" s="1"/>
      <c r="AV228" s="159"/>
      <c r="AW228" s="159"/>
      <c r="AX228" s="159"/>
      <c r="AY228" s="159"/>
      <c r="AZ228" s="159"/>
      <c r="BA228" s="159"/>
      <c r="BB228" s="159"/>
      <c r="BC228" s="159"/>
      <c r="BD228" s="159"/>
      <c r="BE228" s="159"/>
      <c r="BF228" s="159"/>
      <c r="BG228" s="159"/>
      <c r="BH228" s="159"/>
    </row>
    <row r="229" spans="1:60" ht="15.75" customHeight="1">
      <c r="A229" s="159"/>
      <c r="B229" s="159"/>
      <c r="C229" s="159"/>
      <c r="D229" s="159"/>
      <c r="E229" s="159"/>
      <c r="F229" s="159"/>
      <c r="G229" s="159"/>
      <c r="H229" s="159"/>
      <c r="I229" s="159"/>
      <c r="J229" s="159"/>
      <c r="K229" s="159"/>
      <c r="L229" s="159"/>
      <c r="M229" s="1"/>
      <c r="N229" s="1"/>
      <c r="O229" s="159"/>
      <c r="P229" s="159"/>
      <c r="Q229" s="159"/>
      <c r="R229" s="159"/>
      <c r="S229" s="159"/>
      <c r="T229" s="159"/>
      <c r="U229" s="159"/>
      <c r="V229" s="159"/>
      <c r="W229" s="159"/>
      <c r="X229" s="159"/>
      <c r="Y229" s="159"/>
      <c r="Z229" s="159"/>
      <c r="AA229" s="159"/>
      <c r="AB229" s="159"/>
      <c r="AC229" s="159"/>
      <c r="AD229" s="159"/>
      <c r="AE229" s="1"/>
      <c r="AG229" s="159"/>
      <c r="AH229" s="159"/>
      <c r="AI229" s="159"/>
      <c r="AJ229" s="159"/>
      <c r="AK229" s="159"/>
      <c r="AL229" s="159"/>
      <c r="AM229" s="159"/>
      <c r="AN229" s="159"/>
      <c r="AO229" s="159"/>
      <c r="AP229" s="159"/>
      <c r="AQ229" s="159"/>
      <c r="AR229" s="159"/>
      <c r="AS229" s="159"/>
      <c r="AT229" s="1"/>
      <c r="AU229" s="1"/>
      <c r="AV229" s="159"/>
      <c r="AW229" s="159"/>
      <c r="AX229" s="159"/>
      <c r="AY229" s="159"/>
      <c r="AZ229" s="159"/>
      <c r="BA229" s="159"/>
      <c r="BB229" s="159"/>
      <c r="BC229" s="159"/>
      <c r="BD229" s="159"/>
      <c r="BE229" s="159"/>
      <c r="BF229" s="159"/>
      <c r="BG229" s="159"/>
      <c r="BH229" s="159"/>
    </row>
    <row r="230" spans="1:60" ht="15.75" customHeight="1">
      <c r="A230" s="159"/>
      <c r="B230" s="159"/>
      <c r="C230" s="159"/>
      <c r="D230" s="159"/>
      <c r="E230" s="159"/>
      <c r="F230" s="159"/>
      <c r="G230" s="159"/>
      <c r="H230" s="159"/>
      <c r="I230" s="159"/>
      <c r="J230" s="159"/>
      <c r="K230" s="159"/>
      <c r="L230" s="159"/>
      <c r="M230" s="1"/>
      <c r="N230" s="1"/>
      <c r="O230" s="159"/>
      <c r="P230" s="159"/>
      <c r="Q230" s="159"/>
      <c r="R230" s="159"/>
      <c r="S230" s="159"/>
      <c r="T230" s="159"/>
      <c r="U230" s="159"/>
      <c r="V230" s="159"/>
      <c r="W230" s="159"/>
      <c r="X230" s="159"/>
      <c r="Y230" s="159"/>
      <c r="Z230" s="159"/>
      <c r="AA230" s="159"/>
      <c r="AB230" s="159"/>
      <c r="AC230" s="159"/>
      <c r="AD230" s="159"/>
      <c r="AE230" s="1"/>
      <c r="AG230" s="159"/>
      <c r="AH230" s="159"/>
      <c r="AI230" s="159"/>
      <c r="AJ230" s="159"/>
      <c r="AK230" s="159"/>
      <c r="AL230" s="159"/>
      <c r="AM230" s="159"/>
      <c r="AN230" s="159"/>
      <c r="AO230" s="159"/>
      <c r="AP230" s="159"/>
      <c r="AQ230" s="159"/>
      <c r="AR230" s="159"/>
      <c r="AS230" s="159"/>
      <c r="AT230" s="1"/>
      <c r="AU230" s="1"/>
      <c r="AV230" s="159"/>
      <c r="AW230" s="159"/>
      <c r="AX230" s="159"/>
      <c r="AY230" s="159"/>
      <c r="AZ230" s="159"/>
      <c r="BA230" s="159"/>
      <c r="BB230" s="159"/>
      <c r="BC230" s="159"/>
      <c r="BD230" s="159"/>
      <c r="BE230" s="159"/>
      <c r="BF230" s="159"/>
      <c r="BG230" s="159"/>
      <c r="BH230" s="159"/>
    </row>
    <row r="231" spans="1:60" ht="15.75" customHeight="1">
      <c r="A231" s="159"/>
      <c r="B231" s="159"/>
      <c r="C231" s="159"/>
      <c r="D231" s="159"/>
      <c r="E231" s="159"/>
      <c r="F231" s="159"/>
      <c r="G231" s="159"/>
      <c r="H231" s="159"/>
      <c r="I231" s="159"/>
      <c r="J231" s="159"/>
      <c r="K231" s="159"/>
      <c r="L231" s="159"/>
      <c r="M231" s="1"/>
      <c r="N231" s="1"/>
      <c r="O231" s="159"/>
      <c r="P231" s="159"/>
      <c r="Q231" s="159"/>
      <c r="R231" s="159"/>
      <c r="S231" s="159"/>
      <c r="T231" s="159"/>
      <c r="U231" s="159"/>
      <c r="V231" s="159"/>
      <c r="W231" s="159"/>
      <c r="X231" s="159"/>
      <c r="Y231" s="159"/>
      <c r="Z231" s="159"/>
      <c r="AA231" s="159"/>
      <c r="AB231" s="159"/>
      <c r="AC231" s="159"/>
      <c r="AD231" s="159"/>
      <c r="AE231" s="1"/>
      <c r="AG231" s="159"/>
      <c r="AH231" s="159"/>
      <c r="AI231" s="159"/>
      <c r="AJ231" s="159"/>
      <c r="AK231" s="159"/>
      <c r="AL231" s="159"/>
      <c r="AM231" s="159"/>
      <c r="AN231" s="159"/>
      <c r="AO231" s="159"/>
      <c r="AP231" s="159"/>
      <c r="AQ231" s="159"/>
      <c r="AR231" s="159"/>
      <c r="AS231" s="159"/>
      <c r="AT231" s="1"/>
      <c r="AU231" s="1"/>
      <c r="AV231" s="159"/>
      <c r="AW231" s="159"/>
      <c r="AX231" s="159"/>
      <c r="AY231" s="159"/>
      <c r="AZ231" s="159"/>
      <c r="BA231" s="159"/>
      <c r="BB231" s="159"/>
      <c r="BC231" s="159"/>
      <c r="BD231" s="159"/>
      <c r="BE231" s="159"/>
      <c r="BF231" s="159"/>
      <c r="BG231" s="159"/>
      <c r="BH231" s="159"/>
    </row>
    <row r="232" spans="1:60" ht="15.75" customHeight="1">
      <c r="A232" s="159"/>
      <c r="B232" s="159"/>
      <c r="C232" s="159"/>
      <c r="D232" s="159"/>
      <c r="E232" s="159"/>
      <c r="F232" s="159"/>
      <c r="G232" s="159"/>
      <c r="H232" s="159"/>
      <c r="I232" s="159"/>
      <c r="J232" s="159"/>
      <c r="K232" s="159"/>
      <c r="L232" s="159"/>
      <c r="M232" s="1"/>
      <c r="N232" s="1"/>
      <c r="O232" s="159"/>
      <c r="P232" s="159"/>
      <c r="Q232" s="159"/>
      <c r="R232" s="159"/>
      <c r="S232" s="159"/>
      <c r="T232" s="159"/>
      <c r="U232" s="159"/>
      <c r="V232" s="159"/>
      <c r="W232" s="159"/>
      <c r="X232" s="159"/>
      <c r="Y232" s="159"/>
      <c r="Z232" s="159"/>
      <c r="AA232" s="159"/>
      <c r="AB232" s="159"/>
      <c r="AC232" s="159"/>
      <c r="AD232" s="159"/>
      <c r="AE232" s="1"/>
      <c r="AG232" s="159"/>
      <c r="AH232" s="159"/>
      <c r="AI232" s="159"/>
      <c r="AJ232" s="159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"/>
      <c r="AU232" s="1"/>
      <c r="AV232" s="159"/>
      <c r="AW232" s="159"/>
      <c r="AX232" s="159"/>
      <c r="AY232" s="159"/>
      <c r="AZ232" s="159"/>
      <c r="BA232" s="159"/>
      <c r="BB232" s="159"/>
      <c r="BC232" s="159"/>
      <c r="BD232" s="159"/>
      <c r="BE232" s="159"/>
      <c r="BF232" s="159"/>
      <c r="BG232" s="159"/>
      <c r="BH232" s="159"/>
    </row>
    <row r="233" spans="1:60" ht="15.75" customHeight="1">
      <c r="A233" s="159"/>
      <c r="B233" s="159"/>
      <c r="C233" s="159"/>
      <c r="D233" s="159"/>
      <c r="E233" s="159"/>
      <c r="F233" s="159"/>
      <c r="G233" s="159"/>
      <c r="H233" s="159"/>
      <c r="I233" s="159"/>
      <c r="J233" s="159"/>
      <c r="K233" s="159"/>
      <c r="L233" s="159"/>
      <c r="M233" s="1"/>
      <c r="N233" s="1"/>
      <c r="O233" s="159"/>
      <c r="P233" s="159"/>
      <c r="Q233" s="159"/>
      <c r="R233" s="159"/>
      <c r="S233" s="159"/>
      <c r="T233" s="159"/>
      <c r="U233" s="159"/>
      <c r="V233" s="159"/>
      <c r="W233" s="159"/>
      <c r="X233" s="159"/>
      <c r="Y233" s="159"/>
      <c r="Z233" s="159"/>
      <c r="AA233" s="159"/>
      <c r="AB233" s="159"/>
      <c r="AC233" s="159"/>
      <c r="AD233" s="159"/>
      <c r="AE233" s="1"/>
      <c r="AG233" s="159"/>
      <c r="AH233" s="159"/>
      <c r="AI233" s="159"/>
      <c r="AJ233" s="159"/>
      <c r="AK233" s="159"/>
      <c r="AL233" s="159"/>
      <c r="AM233" s="159"/>
      <c r="AN233" s="159"/>
      <c r="AO233" s="159"/>
      <c r="AP233" s="159"/>
      <c r="AQ233" s="159"/>
      <c r="AR233" s="159"/>
      <c r="AS233" s="159"/>
      <c r="AT233" s="1"/>
      <c r="AU233" s="1"/>
      <c r="AV233" s="159"/>
      <c r="AW233" s="159"/>
      <c r="AX233" s="159"/>
      <c r="AY233" s="159"/>
      <c r="AZ233" s="159"/>
      <c r="BA233" s="159"/>
      <c r="BB233" s="159"/>
      <c r="BC233" s="159"/>
      <c r="BD233" s="159"/>
      <c r="BE233" s="159"/>
      <c r="BF233" s="159"/>
      <c r="BG233" s="159"/>
      <c r="BH233" s="159"/>
    </row>
    <row r="234" spans="1:60" ht="15.75" customHeight="1">
      <c r="A234" s="159"/>
      <c r="B234" s="159"/>
      <c r="C234" s="159"/>
      <c r="D234" s="159"/>
      <c r="E234" s="159"/>
      <c r="F234" s="159"/>
      <c r="G234" s="159"/>
      <c r="H234" s="159"/>
      <c r="I234" s="159"/>
      <c r="J234" s="159"/>
      <c r="K234" s="159"/>
      <c r="L234" s="159"/>
      <c r="M234" s="1"/>
      <c r="N234" s="1"/>
      <c r="O234" s="159"/>
      <c r="P234" s="159"/>
      <c r="Q234" s="159"/>
      <c r="R234" s="159"/>
      <c r="S234" s="159"/>
      <c r="T234" s="159"/>
      <c r="U234" s="159"/>
      <c r="V234" s="159"/>
      <c r="W234" s="159"/>
      <c r="X234" s="159"/>
      <c r="Y234" s="159"/>
      <c r="Z234" s="159"/>
      <c r="AA234" s="159"/>
      <c r="AB234" s="159"/>
      <c r="AC234" s="159"/>
      <c r="AD234" s="159"/>
      <c r="AE234" s="1"/>
      <c r="AG234" s="159"/>
      <c r="AH234" s="159"/>
      <c r="AI234" s="159"/>
      <c r="AJ234" s="159"/>
      <c r="AK234" s="159"/>
      <c r="AL234" s="159"/>
      <c r="AM234" s="159"/>
      <c r="AN234" s="159"/>
      <c r="AO234" s="159"/>
      <c r="AP234" s="159"/>
      <c r="AQ234" s="159"/>
      <c r="AR234" s="159"/>
      <c r="AS234" s="159"/>
      <c r="AT234" s="1"/>
      <c r="AU234" s="1"/>
      <c r="AV234" s="159"/>
      <c r="AW234" s="159"/>
      <c r="AX234" s="159"/>
      <c r="AY234" s="159"/>
      <c r="AZ234" s="159"/>
      <c r="BA234" s="159"/>
      <c r="BB234" s="159"/>
      <c r="BC234" s="159"/>
      <c r="BD234" s="159"/>
      <c r="BE234" s="159"/>
      <c r="BF234" s="159"/>
      <c r="BG234" s="159"/>
      <c r="BH234" s="159"/>
    </row>
    <row r="235" spans="1:60" ht="15.75" customHeight="1">
      <c r="A235" s="159"/>
      <c r="B235" s="159"/>
      <c r="C235" s="159"/>
      <c r="D235" s="159"/>
      <c r="E235" s="159"/>
      <c r="F235" s="159"/>
      <c r="G235" s="159"/>
      <c r="H235" s="159"/>
      <c r="I235" s="159"/>
      <c r="J235" s="159"/>
      <c r="K235" s="159"/>
      <c r="L235" s="159"/>
      <c r="M235" s="1"/>
      <c r="N235" s="1"/>
      <c r="O235" s="159"/>
      <c r="P235" s="159"/>
      <c r="Q235" s="159"/>
      <c r="R235" s="159"/>
      <c r="S235" s="159"/>
      <c r="T235" s="159"/>
      <c r="U235" s="159"/>
      <c r="V235" s="159"/>
      <c r="W235" s="159"/>
      <c r="X235" s="159"/>
      <c r="Y235" s="159"/>
      <c r="Z235" s="159"/>
      <c r="AA235" s="159"/>
      <c r="AB235" s="159"/>
      <c r="AC235" s="159"/>
      <c r="AD235" s="159"/>
      <c r="AE235" s="1"/>
      <c r="AG235" s="159"/>
      <c r="AH235" s="159"/>
      <c r="AI235" s="159"/>
      <c r="AJ235" s="159"/>
      <c r="AK235" s="159"/>
      <c r="AL235" s="159"/>
      <c r="AM235" s="159"/>
      <c r="AN235" s="159"/>
      <c r="AO235" s="159"/>
      <c r="AP235" s="159"/>
      <c r="AQ235" s="159"/>
      <c r="AR235" s="159"/>
      <c r="AS235" s="159"/>
      <c r="AT235" s="1"/>
      <c r="AU235" s="1"/>
      <c r="AV235" s="159"/>
      <c r="AW235" s="159"/>
      <c r="AX235" s="159"/>
      <c r="AY235" s="159"/>
      <c r="AZ235" s="159"/>
      <c r="BA235" s="159"/>
      <c r="BB235" s="159"/>
      <c r="BC235" s="159"/>
      <c r="BD235" s="159"/>
      <c r="BE235" s="159"/>
      <c r="BF235" s="159"/>
      <c r="BG235" s="159"/>
      <c r="BH235" s="159"/>
    </row>
    <row r="236" spans="1:60" ht="15.75" customHeight="1">
      <c r="A236" s="159"/>
      <c r="B236" s="159"/>
      <c r="C236" s="159"/>
      <c r="D236" s="159"/>
      <c r="E236" s="159"/>
      <c r="F236" s="159"/>
      <c r="G236" s="159"/>
      <c r="H236" s="159"/>
      <c r="I236" s="159"/>
      <c r="J236" s="159"/>
      <c r="K236" s="159"/>
      <c r="L236" s="159"/>
      <c r="M236" s="1"/>
      <c r="N236" s="1"/>
      <c r="O236" s="159"/>
      <c r="P236" s="159"/>
      <c r="Q236" s="159"/>
      <c r="R236" s="159"/>
      <c r="S236" s="159"/>
      <c r="T236" s="159"/>
      <c r="U236" s="159"/>
      <c r="V236" s="159"/>
      <c r="W236" s="159"/>
      <c r="X236" s="159"/>
      <c r="Y236" s="159"/>
      <c r="Z236" s="159"/>
      <c r="AA236" s="159"/>
      <c r="AB236" s="159"/>
      <c r="AC236" s="159"/>
      <c r="AD236" s="159"/>
      <c r="AE236" s="1"/>
      <c r="AG236" s="159"/>
      <c r="AH236" s="159"/>
      <c r="AI236" s="159"/>
      <c r="AJ236" s="159"/>
      <c r="AK236" s="159"/>
      <c r="AL236" s="159"/>
      <c r="AM236" s="159"/>
      <c r="AN236" s="159"/>
      <c r="AO236" s="159"/>
      <c r="AP236" s="159"/>
      <c r="AQ236" s="159"/>
      <c r="AR236" s="159"/>
      <c r="AS236" s="159"/>
      <c r="AT236" s="1"/>
      <c r="AU236" s="1"/>
      <c r="AV236" s="159"/>
      <c r="AW236" s="159"/>
      <c r="AX236" s="159"/>
      <c r="AY236" s="159"/>
      <c r="AZ236" s="159"/>
      <c r="BA236" s="159"/>
      <c r="BB236" s="159"/>
      <c r="BC236" s="159"/>
      <c r="BD236" s="159"/>
      <c r="BE236" s="159"/>
      <c r="BF236" s="159"/>
      <c r="BG236" s="159"/>
      <c r="BH236" s="159"/>
    </row>
    <row r="237" spans="1:60" ht="15.75" customHeight="1">
      <c r="A237" s="159"/>
      <c r="B237" s="159"/>
      <c r="C237" s="159"/>
      <c r="D237" s="159"/>
      <c r="E237" s="159"/>
      <c r="F237" s="159"/>
      <c r="G237" s="159"/>
      <c r="H237" s="159"/>
      <c r="I237" s="159"/>
      <c r="J237" s="159"/>
      <c r="K237" s="159"/>
      <c r="L237" s="159"/>
      <c r="M237" s="1"/>
      <c r="N237" s="1"/>
      <c r="O237" s="159"/>
      <c r="P237" s="159"/>
      <c r="Q237" s="159"/>
      <c r="R237" s="159"/>
      <c r="S237" s="159"/>
      <c r="T237" s="159"/>
      <c r="U237" s="159"/>
      <c r="V237" s="159"/>
      <c r="W237" s="159"/>
      <c r="X237" s="159"/>
      <c r="Y237" s="159"/>
      <c r="Z237" s="159"/>
      <c r="AA237" s="159"/>
      <c r="AB237" s="159"/>
      <c r="AC237" s="159"/>
      <c r="AD237" s="159"/>
      <c r="AE237" s="1"/>
      <c r="AG237" s="159"/>
      <c r="AH237" s="159"/>
      <c r="AI237" s="159"/>
      <c r="AJ237" s="159"/>
      <c r="AK237" s="159"/>
      <c r="AL237" s="159"/>
      <c r="AM237" s="159"/>
      <c r="AN237" s="159"/>
      <c r="AO237" s="159"/>
      <c r="AP237" s="159"/>
      <c r="AQ237" s="159"/>
      <c r="AR237" s="159"/>
      <c r="AS237" s="159"/>
      <c r="AT237" s="1"/>
      <c r="AU237" s="1"/>
      <c r="AV237" s="159"/>
      <c r="AW237" s="159"/>
      <c r="AX237" s="159"/>
      <c r="AY237" s="159"/>
      <c r="AZ237" s="159"/>
      <c r="BA237" s="159"/>
      <c r="BB237" s="159"/>
      <c r="BC237" s="159"/>
      <c r="BD237" s="159"/>
      <c r="BE237" s="159"/>
      <c r="BF237" s="159"/>
      <c r="BG237" s="159"/>
      <c r="BH237" s="159"/>
    </row>
    <row r="238" spans="1:60" ht="15.75" customHeight="1">
      <c r="A238" s="159"/>
      <c r="B238" s="159"/>
      <c r="C238" s="159"/>
      <c r="D238" s="159"/>
      <c r="E238" s="159"/>
      <c r="F238" s="159"/>
      <c r="G238" s="159"/>
      <c r="H238" s="159"/>
      <c r="I238" s="159"/>
      <c r="J238" s="159"/>
      <c r="K238" s="159"/>
      <c r="L238" s="159"/>
      <c r="M238" s="1"/>
      <c r="N238" s="1"/>
      <c r="O238" s="159"/>
      <c r="P238" s="159"/>
      <c r="Q238" s="159"/>
      <c r="R238" s="159"/>
      <c r="S238" s="159"/>
      <c r="T238" s="159"/>
      <c r="U238" s="159"/>
      <c r="V238" s="159"/>
      <c r="W238" s="159"/>
      <c r="X238" s="159"/>
      <c r="Y238" s="159"/>
      <c r="Z238" s="159"/>
      <c r="AA238" s="159"/>
      <c r="AB238" s="159"/>
      <c r="AC238" s="159"/>
      <c r="AD238" s="159"/>
      <c r="AE238" s="1"/>
      <c r="AG238" s="159"/>
      <c r="AH238" s="159"/>
      <c r="AI238" s="159"/>
      <c r="AJ238" s="159"/>
      <c r="AK238" s="159"/>
      <c r="AL238" s="159"/>
      <c r="AM238" s="159"/>
      <c r="AN238" s="159"/>
      <c r="AO238" s="159"/>
      <c r="AP238" s="159"/>
      <c r="AQ238" s="159"/>
      <c r="AR238" s="159"/>
      <c r="AS238" s="159"/>
      <c r="AT238" s="1"/>
      <c r="AU238" s="1"/>
      <c r="AV238" s="159"/>
      <c r="AW238" s="159"/>
      <c r="AX238" s="159"/>
      <c r="AY238" s="159"/>
      <c r="AZ238" s="159"/>
      <c r="BA238" s="159"/>
      <c r="BB238" s="159"/>
      <c r="BC238" s="159"/>
      <c r="BD238" s="159"/>
      <c r="BE238" s="159"/>
      <c r="BF238" s="159"/>
      <c r="BG238" s="159"/>
      <c r="BH238" s="159"/>
    </row>
    <row r="239" spans="1:60" ht="15.75" customHeight="1">
      <c r="A239" s="159"/>
      <c r="B239" s="159"/>
      <c r="C239" s="159"/>
      <c r="D239" s="159"/>
      <c r="E239" s="159"/>
      <c r="F239" s="159"/>
      <c r="G239" s="159"/>
      <c r="H239" s="159"/>
      <c r="I239" s="159"/>
      <c r="J239" s="159"/>
      <c r="K239" s="159"/>
      <c r="L239" s="159"/>
      <c r="M239" s="1"/>
      <c r="N239" s="1"/>
      <c r="O239" s="159"/>
      <c r="P239" s="159"/>
      <c r="Q239" s="159"/>
      <c r="R239" s="159"/>
      <c r="S239" s="159"/>
      <c r="T239" s="159"/>
      <c r="U239" s="159"/>
      <c r="V239" s="159"/>
      <c r="W239" s="159"/>
      <c r="X239" s="159"/>
      <c r="Y239" s="159"/>
      <c r="Z239" s="159"/>
      <c r="AA239" s="159"/>
      <c r="AB239" s="159"/>
      <c r="AC239" s="159"/>
      <c r="AD239" s="159"/>
      <c r="AE239" s="1"/>
      <c r="AG239" s="159"/>
      <c r="AH239" s="159"/>
      <c r="AI239" s="159"/>
      <c r="AJ239" s="159"/>
      <c r="AK239" s="159"/>
      <c r="AL239" s="159"/>
      <c r="AM239" s="159"/>
      <c r="AN239" s="159"/>
      <c r="AO239" s="159"/>
      <c r="AP239" s="159"/>
      <c r="AQ239" s="159"/>
      <c r="AR239" s="159"/>
      <c r="AS239" s="159"/>
      <c r="AT239" s="1"/>
      <c r="AU239" s="1"/>
      <c r="AV239" s="159"/>
      <c r="AW239" s="159"/>
      <c r="AX239" s="159"/>
      <c r="AY239" s="159"/>
      <c r="AZ239" s="159"/>
      <c r="BA239" s="159"/>
      <c r="BB239" s="159"/>
      <c r="BC239" s="159"/>
      <c r="BD239" s="159"/>
      <c r="BE239" s="159"/>
      <c r="BF239" s="159"/>
      <c r="BG239" s="159"/>
      <c r="BH239" s="159"/>
    </row>
    <row r="240" spans="1:60" ht="15.75" customHeight="1">
      <c r="A240" s="159"/>
      <c r="B240" s="159"/>
      <c r="C240" s="159"/>
      <c r="D240" s="159"/>
      <c r="E240" s="159"/>
      <c r="F240" s="159"/>
      <c r="G240" s="159"/>
      <c r="H240" s="159"/>
      <c r="I240" s="159"/>
      <c r="J240" s="159"/>
      <c r="K240" s="159"/>
      <c r="L240" s="159"/>
      <c r="M240" s="1"/>
      <c r="N240" s="1"/>
      <c r="O240" s="159"/>
      <c r="P240" s="159"/>
      <c r="Q240" s="159"/>
      <c r="R240" s="159"/>
      <c r="S240" s="159"/>
      <c r="T240" s="159"/>
      <c r="U240" s="159"/>
      <c r="V240" s="159"/>
      <c r="W240" s="159"/>
      <c r="X240" s="159"/>
      <c r="Y240" s="159"/>
      <c r="Z240" s="159"/>
      <c r="AA240" s="159"/>
      <c r="AB240" s="159"/>
      <c r="AC240" s="159"/>
      <c r="AD240" s="159"/>
      <c r="AE240" s="1"/>
      <c r="AG240" s="159"/>
      <c r="AH240" s="159"/>
      <c r="AI240" s="159"/>
      <c r="AJ240" s="159"/>
      <c r="AK240" s="159"/>
      <c r="AL240" s="159"/>
      <c r="AM240" s="159"/>
      <c r="AN240" s="159"/>
      <c r="AO240" s="159"/>
      <c r="AP240" s="159"/>
      <c r="AQ240" s="159"/>
      <c r="AR240" s="159"/>
      <c r="AS240" s="159"/>
      <c r="AT240" s="1"/>
      <c r="AU240" s="1"/>
      <c r="AV240" s="159"/>
      <c r="AW240" s="159"/>
      <c r="AX240" s="159"/>
      <c r="AY240" s="159"/>
      <c r="AZ240" s="159"/>
      <c r="BA240" s="159"/>
      <c r="BB240" s="159"/>
      <c r="BC240" s="159"/>
      <c r="BD240" s="159"/>
      <c r="BE240" s="159"/>
      <c r="BF240" s="159"/>
      <c r="BG240" s="159"/>
      <c r="BH240" s="159"/>
    </row>
    <row r="241" spans="1:60" ht="15.75" customHeight="1">
      <c r="A241" s="159"/>
      <c r="B241" s="159"/>
      <c r="C241" s="159"/>
      <c r="D241" s="159"/>
      <c r="E241" s="159"/>
      <c r="F241" s="159"/>
      <c r="G241" s="159"/>
      <c r="H241" s="159"/>
      <c r="I241" s="159"/>
      <c r="J241" s="159"/>
      <c r="K241" s="159"/>
      <c r="L241" s="159"/>
      <c r="M241" s="1"/>
      <c r="N241" s="1"/>
      <c r="O241" s="159"/>
      <c r="P241" s="159"/>
      <c r="Q241" s="159"/>
      <c r="R241" s="159"/>
      <c r="S241" s="159"/>
      <c r="T241" s="159"/>
      <c r="U241" s="159"/>
      <c r="V241" s="159"/>
      <c r="W241" s="159"/>
      <c r="X241" s="159"/>
      <c r="Y241" s="159"/>
      <c r="Z241" s="159"/>
      <c r="AA241" s="159"/>
      <c r="AB241" s="159"/>
      <c r="AC241" s="159"/>
      <c r="AD241" s="159"/>
      <c r="AE241" s="1"/>
      <c r="AG241" s="159"/>
      <c r="AH241" s="159"/>
      <c r="AI241" s="159"/>
      <c r="AJ241" s="159"/>
      <c r="AK241" s="159"/>
      <c r="AL241" s="159"/>
      <c r="AM241" s="159"/>
      <c r="AN241" s="159"/>
      <c r="AO241" s="159"/>
      <c r="AP241" s="159"/>
      <c r="AQ241" s="159"/>
      <c r="AR241" s="159"/>
      <c r="AS241" s="159"/>
      <c r="AT241" s="1"/>
      <c r="AU241" s="1"/>
      <c r="AV241" s="159"/>
      <c r="AW241" s="159"/>
      <c r="AX241" s="159"/>
      <c r="AY241" s="159"/>
      <c r="AZ241" s="159"/>
      <c r="BA241" s="159"/>
      <c r="BB241" s="159"/>
      <c r="BC241" s="159"/>
      <c r="BD241" s="159"/>
      <c r="BE241" s="159"/>
      <c r="BF241" s="159"/>
      <c r="BG241" s="159"/>
      <c r="BH241" s="159"/>
    </row>
    <row r="242" spans="1:60" ht="15.75" customHeight="1">
      <c r="A242" s="159"/>
      <c r="B242" s="159"/>
      <c r="C242" s="159"/>
      <c r="D242" s="159"/>
      <c r="E242" s="159"/>
      <c r="F242" s="159"/>
      <c r="G242" s="159"/>
      <c r="H242" s="159"/>
      <c r="I242" s="159"/>
      <c r="J242" s="159"/>
      <c r="K242" s="159"/>
      <c r="L242" s="159"/>
      <c r="M242" s="1"/>
      <c r="N242" s="1"/>
      <c r="O242" s="159"/>
      <c r="P242" s="159"/>
      <c r="Q242" s="159"/>
      <c r="R242" s="159"/>
      <c r="S242" s="159"/>
      <c r="T242" s="159"/>
      <c r="U242" s="159"/>
      <c r="V242" s="159"/>
      <c r="W242" s="159"/>
      <c r="X242" s="159"/>
      <c r="Y242" s="159"/>
      <c r="Z242" s="159"/>
      <c r="AA242" s="159"/>
      <c r="AB242" s="159"/>
      <c r="AC242" s="159"/>
      <c r="AD242" s="159"/>
      <c r="AE242" s="1"/>
      <c r="AG242" s="159"/>
      <c r="AH242" s="159"/>
      <c r="AI242" s="159"/>
      <c r="AJ242" s="159"/>
      <c r="AK242" s="159"/>
      <c r="AL242" s="159"/>
      <c r="AM242" s="159"/>
      <c r="AN242" s="159"/>
      <c r="AO242" s="159"/>
      <c r="AP242" s="159"/>
      <c r="AQ242" s="159"/>
      <c r="AR242" s="159"/>
      <c r="AS242" s="159"/>
      <c r="AT242" s="1"/>
      <c r="AU242" s="1"/>
      <c r="AV242" s="159"/>
      <c r="AW242" s="159"/>
      <c r="AX242" s="159"/>
      <c r="AY242" s="159"/>
      <c r="AZ242" s="159"/>
      <c r="BA242" s="159"/>
      <c r="BB242" s="159"/>
      <c r="BC242" s="159"/>
      <c r="BD242" s="159"/>
      <c r="BE242" s="159"/>
      <c r="BF242" s="159"/>
      <c r="BG242" s="159"/>
      <c r="BH242" s="159"/>
    </row>
    <row r="243" spans="1:60" ht="15.75" customHeight="1">
      <c r="A243" s="159"/>
      <c r="B243" s="159"/>
      <c r="C243" s="159"/>
      <c r="D243" s="159"/>
      <c r="E243" s="159"/>
      <c r="F243" s="159"/>
      <c r="G243" s="159"/>
      <c r="H243" s="159"/>
      <c r="I243" s="159"/>
      <c r="J243" s="159"/>
      <c r="K243" s="159"/>
      <c r="L243" s="159"/>
      <c r="M243" s="1"/>
      <c r="N243" s="1"/>
      <c r="O243" s="159"/>
      <c r="P243" s="159"/>
      <c r="Q243" s="159"/>
      <c r="R243" s="159"/>
      <c r="S243" s="159"/>
      <c r="T243" s="159"/>
      <c r="U243" s="159"/>
      <c r="V243" s="159"/>
      <c r="W243" s="159"/>
      <c r="X243" s="159"/>
      <c r="Y243" s="159"/>
      <c r="Z243" s="159"/>
      <c r="AA243" s="159"/>
      <c r="AB243" s="159"/>
      <c r="AC243" s="159"/>
      <c r="AD243" s="159"/>
      <c r="AE243" s="1"/>
      <c r="AG243" s="159"/>
      <c r="AH243" s="159"/>
      <c r="AI243" s="159"/>
      <c r="AJ243" s="159"/>
      <c r="AK243" s="159"/>
      <c r="AL243" s="159"/>
      <c r="AM243" s="159"/>
      <c r="AN243" s="159"/>
      <c r="AO243" s="159"/>
      <c r="AP243" s="159"/>
      <c r="AQ243" s="159"/>
      <c r="AR243" s="159"/>
      <c r="AS243" s="159"/>
      <c r="AT243" s="1"/>
      <c r="AU243" s="1"/>
      <c r="AV243" s="159"/>
      <c r="AW243" s="159"/>
      <c r="AX243" s="159"/>
      <c r="AY243" s="159"/>
      <c r="AZ243" s="159"/>
      <c r="BA243" s="159"/>
      <c r="BB243" s="159"/>
      <c r="BC243" s="159"/>
      <c r="BD243" s="159"/>
      <c r="BE243" s="159"/>
      <c r="BF243" s="159"/>
      <c r="BG243" s="159"/>
      <c r="BH243" s="159"/>
    </row>
    <row r="244" spans="1:60" ht="15.75" customHeight="1">
      <c r="A244" s="159"/>
      <c r="B244" s="159"/>
      <c r="C244" s="159"/>
      <c r="D244" s="159"/>
      <c r="E244" s="159"/>
      <c r="F244" s="159"/>
      <c r="G244" s="159"/>
      <c r="H244" s="159"/>
      <c r="I244" s="159"/>
      <c r="J244" s="159"/>
      <c r="K244" s="159"/>
      <c r="L244" s="159"/>
      <c r="M244" s="1"/>
      <c r="N244" s="1"/>
      <c r="O244" s="159"/>
      <c r="P244" s="159"/>
      <c r="Q244" s="159"/>
      <c r="R244" s="159"/>
      <c r="S244" s="159"/>
      <c r="T244" s="159"/>
      <c r="U244" s="159"/>
      <c r="V244" s="159"/>
      <c r="W244" s="159"/>
      <c r="X244" s="159"/>
      <c r="Y244" s="159"/>
      <c r="Z244" s="159"/>
      <c r="AA244" s="159"/>
      <c r="AB244" s="159"/>
      <c r="AC244" s="159"/>
      <c r="AD244" s="159"/>
      <c r="AE244" s="1"/>
      <c r="AG244" s="159"/>
      <c r="AH244" s="159"/>
      <c r="AI244" s="159"/>
      <c r="AJ244" s="159"/>
      <c r="AK244" s="159"/>
      <c r="AL244" s="159"/>
      <c r="AM244" s="159"/>
      <c r="AN244" s="159"/>
      <c r="AO244" s="159"/>
      <c r="AP244" s="159"/>
      <c r="AQ244" s="159"/>
      <c r="AR244" s="159"/>
      <c r="AS244" s="159"/>
      <c r="AT244" s="1"/>
      <c r="AU244" s="1"/>
      <c r="AV244" s="159"/>
      <c r="AW244" s="159"/>
      <c r="AX244" s="159"/>
      <c r="AY244" s="159"/>
      <c r="AZ244" s="159"/>
      <c r="BA244" s="159"/>
      <c r="BB244" s="159"/>
      <c r="BC244" s="159"/>
      <c r="BD244" s="159"/>
      <c r="BE244" s="159"/>
      <c r="BF244" s="159"/>
      <c r="BG244" s="159"/>
      <c r="BH244" s="159"/>
    </row>
    <row r="245" spans="1:60" ht="15.75" customHeight="1">
      <c r="A245" s="159"/>
      <c r="B245" s="159"/>
      <c r="C245" s="159"/>
      <c r="D245" s="159"/>
      <c r="E245" s="159"/>
      <c r="F245" s="159"/>
      <c r="G245" s="159"/>
      <c r="H245" s="159"/>
      <c r="I245" s="159"/>
      <c r="J245" s="159"/>
      <c r="K245" s="159"/>
      <c r="L245" s="159"/>
      <c r="M245" s="1"/>
      <c r="N245" s="1"/>
      <c r="O245" s="159"/>
      <c r="P245" s="159"/>
      <c r="Q245" s="159"/>
      <c r="R245" s="159"/>
      <c r="S245" s="159"/>
      <c r="T245" s="159"/>
      <c r="U245" s="159"/>
      <c r="V245" s="159"/>
      <c r="W245" s="159"/>
      <c r="X245" s="159"/>
      <c r="Y245" s="159"/>
      <c r="Z245" s="159"/>
      <c r="AA245" s="159"/>
      <c r="AB245" s="159"/>
      <c r="AC245" s="159"/>
      <c r="AD245" s="159"/>
      <c r="AE245" s="1"/>
      <c r="AG245" s="159"/>
      <c r="AH245" s="159"/>
      <c r="AI245" s="159"/>
      <c r="AJ245" s="159"/>
      <c r="AK245" s="159"/>
      <c r="AL245" s="159"/>
      <c r="AM245" s="159"/>
      <c r="AN245" s="159"/>
      <c r="AO245" s="159"/>
      <c r="AP245" s="159"/>
      <c r="AQ245" s="159"/>
      <c r="AR245" s="159"/>
      <c r="AS245" s="159"/>
      <c r="AT245" s="1"/>
      <c r="AU245" s="1"/>
      <c r="AV245" s="159"/>
      <c r="AW245" s="159"/>
      <c r="AX245" s="159"/>
      <c r="AY245" s="159"/>
      <c r="AZ245" s="159"/>
      <c r="BA245" s="159"/>
      <c r="BB245" s="159"/>
      <c r="BC245" s="159"/>
      <c r="BD245" s="159"/>
      <c r="BE245" s="159"/>
      <c r="BF245" s="159"/>
      <c r="BG245" s="159"/>
      <c r="BH245" s="159"/>
    </row>
    <row r="246" spans="1:60" ht="15.75" customHeight="1">
      <c r="A246" s="159"/>
      <c r="B246" s="159"/>
      <c r="C246" s="159"/>
      <c r="D246" s="159"/>
      <c r="E246" s="159"/>
      <c r="F246" s="159"/>
      <c r="G246" s="159"/>
      <c r="H246" s="159"/>
      <c r="I246" s="159"/>
      <c r="J246" s="159"/>
      <c r="K246" s="159"/>
      <c r="L246" s="159"/>
      <c r="M246" s="1"/>
      <c r="N246" s="1"/>
      <c r="O246" s="159"/>
      <c r="P246" s="159"/>
      <c r="Q246" s="159"/>
      <c r="R246" s="159"/>
      <c r="S246" s="159"/>
      <c r="T246" s="159"/>
      <c r="U246" s="159"/>
      <c r="V246" s="159"/>
      <c r="W246" s="159"/>
      <c r="X246" s="159"/>
      <c r="Y246" s="159"/>
      <c r="Z246" s="159"/>
      <c r="AA246" s="159"/>
      <c r="AB246" s="159"/>
      <c r="AC246" s="159"/>
      <c r="AD246" s="159"/>
      <c r="AE246" s="1"/>
      <c r="AG246" s="159"/>
      <c r="AH246" s="159"/>
      <c r="AI246" s="159"/>
      <c r="AJ246" s="159"/>
      <c r="AK246" s="159"/>
      <c r="AL246" s="159"/>
      <c r="AM246" s="159"/>
      <c r="AN246" s="159"/>
      <c r="AO246" s="159"/>
      <c r="AP246" s="159"/>
      <c r="AQ246" s="159"/>
      <c r="AR246" s="159"/>
      <c r="AS246" s="159"/>
      <c r="AT246" s="1"/>
      <c r="AU246" s="1"/>
      <c r="AV246" s="159"/>
      <c r="AW246" s="159"/>
      <c r="AX246" s="159"/>
      <c r="AY246" s="159"/>
      <c r="AZ246" s="159"/>
      <c r="BA246" s="159"/>
      <c r="BB246" s="159"/>
      <c r="BC246" s="159"/>
      <c r="BD246" s="159"/>
      <c r="BE246" s="159"/>
      <c r="BF246" s="159"/>
      <c r="BG246" s="159"/>
      <c r="BH246" s="159"/>
    </row>
    <row r="247" spans="1:60" ht="15.75" customHeight="1">
      <c r="A247" s="159"/>
      <c r="B247" s="159"/>
      <c r="C247" s="159"/>
      <c r="D247" s="159"/>
      <c r="E247" s="159"/>
      <c r="F247" s="159"/>
      <c r="G247" s="159"/>
      <c r="H247" s="159"/>
      <c r="I247" s="159"/>
      <c r="J247" s="159"/>
      <c r="K247" s="159"/>
      <c r="L247" s="159"/>
      <c r="M247" s="1"/>
      <c r="N247" s="1"/>
      <c r="O247" s="159"/>
      <c r="P247" s="159"/>
      <c r="Q247" s="159"/>
      <c r="R247" s="159"/>
      <c r="S247" s="159"/>
      <c r="T247" s="159"/>
      <c r="U247" s="159"/>
      <c r="V247" s="159"/>
      <c r="W247" s="159"/>
      <c r="X247" s="159"/>
      <c r="Y247" s="159"/>
      <c r="Z247" s="159"/>
      <c r="AA247" s="159"/>
      <c r="AB247" s="159"/>
      <c r="AC247" s="159"/>
      <c r="AD247" s="159"/>
      <c r="AE247" s="1"/>
      <c r="AG247" s="159"/>
      <c r="AH247" s="159"/>
      <c r="AI247" s="159"/>
      <c r="AJ247" s="159"/>
      <c r="AK247" s="159"/>
      <c r="AL247" s="159"/>
      <c r="AM247" s="159"/>
      <c r="AN247" s="159"/>
      <c r="AO247" s="159"/>
      <c r="AP247" s="159"/>
      <c r="AQ247" s="159"/>
      <c r="AR247" s="159"/>
      <c r="AS247" s="159"/>
      <c r="AT247" s="1"/>
      <c r="AU247" s="1"/>
      <c r="AV247" s="159"/>
      <c r="AW247" s="159"/>
      <c r="AX247" s="159"/>
      <c r="AY247" s="159"/>
      <c r="AZ247" s="159"/>
      <c r="BA247" s="159"/>
      <c r="BB247" s="159"/>
      <c r="BC247" s="159"/>
      <c r="BD247" s="159"/>
      <c r="BE247" s="159"/>
      <c r="BF247" s="159"/>
      <c r="BG247" s="159"/>
      <c r="BH247" s="159"/>
    </row>
    <row r="248" spans="1:60" ht="15.75" customHeight="1">
      <c r="A248" s="159"/>
      <c r="B248" s="159"/>
      <c r="C248" s="159"/>
      <c r="D248" s="159"/>
      <c r="E248" s="159"/>
      <c r="F248" s="159"/>
      <c r="G248" s="159"/>
      <c r="H248" s="159"/>
      <c r="I248" s="159"/>
      <c r="J248" s="159"/>
      <c r="K248" s="159"/>
      <c r="L248" s="159"/>
      <c r="M248" s="1"/>
      <c r="N248" s="1"/>
      <c r="O248" s="159"/>
      <c r="P248" s="159"/>
      <c r="Q248" s="159"/>
      <c r="R248" s="159"/>
      <c r="S248" s="159"/>
      <c r="T248" s="159"/>
      <c r="U248" s="159"/>
      <c r="V248" s="159"/>
      <c r="W248" s="159"/>
      <c r="X248" s="159"/>
      <c r="Y248" s="159"/>
      <c r="Z248" s="159"/>
      <c r="AA248" s="159"/>
      <c r="AB248" s="159"/>
      <c r="AC248" s="159"/>
      <c r="AD248" s="159"/>
      <c r="AE248" s="1"/>
      <c r="AG248" s="159"/>
      <c r="AH248" s="159"/>
      <c r="AI248" s="159"/>
      <c r="AJ248" s="159"/>
      <c r="AK248" s="159"/>
      <c r="AL248" s="159"/>
      <c r="AM248" s="159"/>
      <c r="AN248" s="159"/>
      <c r="AO248" s="159"/>
      <c r="AP248" s="159"/>
      <c r="AQ248" s="159"/>
      <c r="AR248" s="159"/>
      <c r="AS248" s="159"/>
      <c r="AT248" s="1"/>
      <c r="AU248" s="1"/>
      <c r="AV248" s="159"/>
      <c r="AW248" s="159"/>
      <c r="AX248" s="159"/>
      <c r="AY248" s="159"/>
      <c r="AZ248" s="159"/>
      <c r="BA248" s="159"/>
      <c r="BB248" s="159"/>
      <c r="BC248" s="159"/>
      <c r="BD248" s="159"/>
      <c r="BE248" s="159"/>
      <c r="BF248" s="159"/>
      <c r="BG248" s="159"/>
      <c r="BH248" s="159"/>
    </row>
    <row r="249" spans="1:60" ht="15.75" customHeight="1">
      <c r="A249" s="159"/>
      <c r="B249" s="159"/>
      <c r="C249" s="159"/>
      <c r="D249" s="159"/>
      <c r="E249" s="159"/>
      <c r="F249" s="159"/>
      <c r="G249" s="159"/>
      <c r="H249" s="159"/>
      <c r="I249" s="159"/>
      <c r="J249" s="159"/>
      <c r="K249" s="159"/>
      <c r="L249" s="159"/>
      <c r="M249" s="1"/>
      <c r="N249" s="1"/>
      <c r="O249" s="159"/>
      <c r="P249" s="159"/>
      <c r="Q249" s="159"/>
      <c r="R249" s="159"/>
      <c r="S249" s="159"/>
      <c r="T249" s="159"/>
      <c r="U249" s="159"/>
      <c r="V249" s="159"/>
      <c r="W249" s="159"/>
      <c r="X249" s="159"/>
      <c r="Y249" s="159"/>
      <c r="Z249" s="159"/>
      <c r="AA249" s="159"/>
      <c r="AB249" s="159"/>
      <c r="AC249" s="159"/>
      <c r="AD249" s="159"/>
      <c r="AE249" s="1"/>
      <c r="AG249" s="159"/>
      <c r="AH249" s="159"/>
      <c r="AI249" s="159"/>
      <c r="AJ249" s="159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"/>
      <c r="AU249" s="1"/>
      <c r="AV249" s="159"/>
      <c r="AW249" s="159"/>
      <c r="AX249" s="159"/>
      <c r="AY249" s="159"/>
      <c r="AZ249" s="159"/>
      <c r="BA249" s="159"/>
      <c r="BB249" s="159"/>
      <c r="BC249" s="159"/>
      <c r="BD249" s="159"/>
      <c r="BE249" s="159"/>
      <c r="BF249" s="159"/>
      <c r="BG249" s="159"/>
      <c r="BH249" s="159"/>
    </row>
    <row r="250" spans="1:60" ht="15.75" customHeight="1">
      <c r="A250" s="159"/>
      <c r="B250" s="159"/>
      <c r="C250" s="159"/>
      <c r="D250" s="159"/>
      <c r="E250" s="159"/>
      <c r="F250" s="159"/>
      <c r="G250" s="159"/>
      <c r="H250" s="159"/>
      <c r="I250" s="159"/>
      <c r="J250" s="159"/>
      <c r="K250" s="159"/>
      <c r="L250" s="159"/>
      <c r="M250" s="1"/>
      <c r="N250" s="1"/>
      <c r="O250" s="159"/>
      <c r="P250" s="159"/>
      <c r="Q250" s="159"/>
      <c r="R250" s="159"/>
      <c r="S250" s="159"/>
      <c r="T250" s="159"/>
      <c r="U250" s="159"/>
      <c r="V250" s="159"/>
      <c r="W250" s="159"/>
      <c r="X250" s="159"/>
      <c r="Y250" s="159"/>
      <c r="Z250" s="159"/>
      <c r="AA250" s="159"/>
      <c r="AB250" s="159"/>
      <c r="AC250" s="159"/>
      <c r="AD250" s="159"/>
      <c r="AE250" s="1"/>
      <c r="AG250" s="159"/>
      <c r="AH250" s="159"/>
      <c r="AI250" s="159"/>
      <c r="AJ250" s="159"/>
      <c r="AK250" s="159"/>
      <c r="AL250" s="159"/>
      <c r="AM250" s="159"/>
      <c r="AN250" s="159"/>
      <c r="AO250" s="159"/>
      <c r="AP250" s="159"/>
      <c r="AQ250" s="159"/>
      <c r="AR250" s="159"/>
      <c r="AS250" s="159"/>
      <c r="AT250" s="1"/>
      <c r="AU250" s="1"/>
      <c r="AV250" s="159"/>
      <c r="AW250" s="159"/>
      <c r="AX250" s="159"/>
      <c r="AY250" s="159"/>
      <c r="AZ250" s="159"/>
      <c r="BA250" s="159"/>
      <c r="BB250" s="159"/>
      <c r="BC250" s="159"/>
      <c r="BD250" s="159"/>
      <c r="BE250" s="159"/>
      <c r="BF250" s="159"/>
      <c r="BG250" s="159"/>
      <c r="BH250" s="159"/>
    </row>
    <row r="251" spans="1:60" ht="15.75" customHeight="1">
      <c r="A251" s="159"/>
      <c r="B251" s="159"/>
      <c r="C251" s="159"/>
      <c r="D251" s="159"/>
      <c r="E251" s="159"/>
      <c r="F251" s="159"/>
      <c r="G251" s="159"/>
      <c r="H251" s="159"/>
      <c r="I251" s="159"/>
      <c r="J251" s="159"/>
      <c r="K251" s="159"/>
      <c r="L251" s="159"/>
      <c r="M251" s="1"/>
      <c r="N251" s="1"/>
      <c r="O251" s="159"/>
      <c r="P251" s="159"/>
      <c r="Q251" s="159"/>
      <c r="R251" s="159"/>
      <c r="S251" s="159"/>
      <c r="T251" s="159"/>
      <c r="U251" s="159"/>
      <c r="V251" s="159"/>
      <c r="W251" s="159"/>
      <c r="X251" s="159"/>
      <c r="Y251" s="159"/>
      <c r="Z251" s="159"/>
      <c r="AA251" s="159"/>
      <c r="AB251" s="159"/>
      <c r="AC251" s="159"/>
      <c r="AD251" s="159"/>
      <c r="AE251" s="1"/>
      <c r="AG251" s="159"/>
      <c r="AH251" s="159"/>
      <c r="AI251" s="159"/>
      <c r="AJ251" s="159"/>
      <c r="AK251" s="159"/>
      <c r="AL251" s="159"/>
      <c r="AM251" s="159"/>
      <c r="AN251" s="159"/>
      <c r="AO251" s="159"/>
      <c r="AP251" s="159"/>
      <c r="AQ251" s="159"/>
      <c r="AR251" s="159"/>
      <c r="AS251" s="159"/>
      <c r="AT251" s="1"/>
      <c r="AU251" s="1"/>
      <c r="AV251" s="1"/>
    </row>
    <row r="252" spans="1:60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1"/>
      <c r="AS252" s="1"/>
      <c r="AT252" s="1"/>
      <c r="AU252" s="1"/>
      <c r="AV252" s="1"/>
    </row>
    <row r="253" spans="1:60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1"/>
      <c r="AS253" s="1"/>
      <c r="AT253" s="1"/>
      <c r="AU253" s="1"/>
      <c r="AV253" s="1"/>
    </row>
    <row r="254" spans="1:60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1"/>
      <c r="AS254" s="1"/>
      <c r="AT254" s="1"/>
      <c r="AU254" s="1"/>
      <c r="AV254" s="1"/>
    </row>
    <row r="255" spans="1:60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</row>
    <row r="256" spans="1:60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</row>
    <row r="257" spans="1:43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 ht="20.25" customHeight="1" thickBot="1">
      <c r="A260" s="151" t="s">
        <v>11</v>
      </c>
      <c r="B260" s="151"/>
      <c r="C260" s="151"/>
      <c r="D260" s="151"/>
      <c r="E260" s="151"/>
      <c r="F260" s="3"/>
      <c r="G260" s="4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1"/>
      <c r="Z260" s="1"/>
      <c r="AA260" s="1"/>
      <c r="AB260" s="1"/>
      <c r="AC260" s="1"/>
      <c r="AD260" s="1"/>
      <c r="AE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 ht="14.25" customHeight="1">
      <c r="A261" s="16"/>
      <c r="B261" s="15"/>
      <c r="C261" s="15"/>
      <c r="D261" s="15"/>
      <c r="E261" s="15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43" ht="15.75" customHeight="1">
      <c r="A262" s="160" t="s">
        <v>36</v>
      </c>
      <c r="B262" s="160"/>
      <c r="C262" s="160"/>
      <c r="D262" s="160"/>
      <c r="E262" s="160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43" ht="15.75" customHeight="1">
      <c r="A263" s="161" t="s">
        <v>34</v>
      </c>
      <c r="B263" s="161"/>
      <c r="C263" s="161"/>
      <c r="D263" s="161"/>
      <c r="E263" s="16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43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43" ht="15.75" customHeight="1">
      <c r="A265" s="18"/>
      <c r="B265" s="18"/>
      <c r="C265" s="18"/>
      <c r="D265" s="164" t="s">
        <v>70</v>
      </c>
      <c r="E265" s="165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E265" s="1"/>
    </row>
    <row r="266" spans="1:43" ht="15.75" customHeight="1">
      <c r="A266" s="153" t="s">
        <v>69</v>
      </c>
      <c r="B266" s="153"/>
      <c r="C266" s="153"/>
      <c r="D266" s="166" t="s">
        <v>71</v>
      </c>
      <c r="E266" s="11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E266" s="1"/>
    </row>
    <row r="267" spans="1:43" ht="15.75" customHeight="1">
      <c r="A267" s="153" t="s">
        <v>72</v>
      </c>
      <c r="B267" s="153"/>
      <c r="C267" s="153"/>
      <c r="D267" s="30">
        <v>0</v>
      </c>
      <c r="E267" s="3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E267" s="1"/>
    </row>
    <row r="268" spans="1:43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43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43" ht="15.75" customHeight="1">
      <c r="A270" s="159"/>
      <c r="B270" s="159"/>
      <c r="C270" s="159"/>
      <c r="D270" s="159"/>
      <c r="E270" s="159"/>
      <c r="F270" s="159"/>
      <c r="G270" s="159"/>
      <c r="H270" s="159"/>
      <c r="I270" s="159"/>
      <c r="J270" s="159"/>
      <c r="K270" s="159"/>
      <c r="L270" s="159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43" ht="15.75" customHeight="1">
      <c r="A271" s="159"/>
      <c r="B271" s="159"/>
      <c r="C271" s="159"/>
      <c r="D271" s="159"/>
      <c r="E271" s="159"/>
      <c r="F271" s="159"/>
      <c r="G271" s="159"/>
      <c r="H271" s="159"/>
      <c r="I271" s="159"/>
      <c r="J271" s="159"/>
      <c r="K271" s="159"/>
      <c r="L271" s="159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43" ht="15.75" customHeight="1">
      <c r="A272" s="159"/>
      <c r="B272" s="159"/>
      <c r="C272" s="159"/>
      <c r="D272" s="159"/>
      <c r="E272" s="159"/>
      <c r="F272" s="159"/>
      <c r="G272" s="159"/>
      <c r="H272" s="159"/>
      <c r="I272" s="159"/>
      <c r="J272" s="159"/>
      <c r="K272" s="159"/>
      <c r="L272" s="159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1" ht="15.75" customHeight="1">
      <c r="A273" s="159"/>
      <c r="B273" s="159"/>
      <c r="C273" s="159"/>
      <c r="D273" s="159"/>
      <c r="E273" s="159"/>
      <c r="F273" s="159"/>
      <c r="G273" s="159"/>
      <c r="H273" s="159"/>
      <c r="I273" s="159"/>
      <c r="J273" s="159"/>
      <c r="K273" s="159"/>
      <c r="L273" s="159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1" ht="15.75" customHeight="1">
      <c r="A274" s="159"/>
      <c r="B274" s="159"/>
      <c r="C274" s="159"/>
      <c r="D274" s="159"/>
      <c r="E274" s="159"/>
      <c r="F274" s="159"/>
      <c r="G274" s="159"/>
      <c r="H274" s="159"/>
      <c r="I274" s="159"/>
      <c r="J274" s="159"/>
      <c r="K274" s="159"/>
      <c r="L274" s="159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t="15.75" customHeight="1">
      <c r="A275" s="159"/>
      <c r="B275" s="159"/>
      <c r="C275" s="159"/>
      <c r="D275" s="159"/>
      <c r="E275" s="159"/>
      <c r="F275" s="159"/>
      <c r="G275" s="159"/>
      <c r="H275" s="159"/>
      <c r="I275" s="159"/>
      <c r="J275" s="159"/>
      <c r="K275" s="159"/>
      <c r="L275" s="159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t="15.75" customHeight="1">
      <c r="A276" s="159"/>
      <c r="B276" s="159"/>
      <c r="C276" s="159"/>
      <c r="D276" s="159"/>
      <c r="E276" s="159"/>
      <c r="F276" s="159"/>
      <c r="G276" s="159"/>
      <c r="H276" s="159"/>
      <c r="I276" s="159"/>
      <c r="J276" s="159"/>
      <c r="K276" s="159"/>
      <c r="L276" s="159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t="15.75" customHeight="1">
      <c r="A277" s="159"/>
      <c r="B277" s="159"/>
      <c r="C277" s="159"/>
      <c r="D277" s="159"/>
      <c r="E277" s="159"/>
      <c r="F277" s="159"/>
      <c r="G277" s="159"/>
      <c r="H277" s="159"/>
      <c r="I277" s="159"/>
      <c r="J277" s="159"/>
      <c r="K277" s="159"/>
      <c r="L277" s="159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t="15.75" customHeight="1">
      <c r="A278" s="159"/>
      <c r="B278" s="159"/>
      <c r="C278" s="159"/>
      <c r="D278" s="159"/>
      <c r="E278" s="159"/>
      <c r="F278" s="159"/>
      <c r="G278" s="159"/>
      <c r="H278" s="159"/>
      <c r="I278" s="159"/>
      <c r="J278" s="159"/>
      <c r="K278" s="159"/>
      <c r="L278" s="159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t="15.75" customHeight="1">
      <c r="A279" s="159"/>
      <c r="B279" s="159"/>
      <c r="C279" s="159"/>
      <c r="D279" s="159"/>
      <c r="E279" s="159"/>
      <c r="F279" s="159"/>
      <c r="G279" s="159"/>
      <c r="H279" s="159"/>
      <c r="I279" s="159"/>
      <c r="J279" s="159"/>
      <c r="K279" s="159"/>
      <c r="L279" s="159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t="15.75" customHeight="1">
      <c r="A280" s="159"/>
      <c r="B280" s="159"/>
      <c r="C280" s="159"/>
      <c r="D280" s="159"/>
      <c r="E280" s="159"/>
      <c r="F280" s="159"/>
      <c r="G280" s="159"/>
      <c r="H280" s="159"/>
      <c r="I280" s="159"/>
      <c r="J280" s="159"/>
      <c r="K280" s="159"/>
      <c r="L280" s="159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t="15.75" customHeight="1">
      <c r="A281" s="159"/>
      <c r="B281" s="159"/>
      <c r="C281" s="159"/>
      <c r="D281" s="159"/>
      <c r="E281" s="159"/>
      <c r="F281" s="159"/>
      <c r="G281" s="159"/>
      <c r="H281" s="159"/>
      <c r="I281" s="159"/>
      <c r="J281" s="159"/>
      <c r="K281" s="159"/>
      <c r="L281" s="159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t="15.75" customHeight="1">
      <c r="A282" s="159"/>
      <c r="B282" s="159"/>
      <c r="C282" s="159"/>
      <c r="D282" s="159"/>
      <c r="E282" s="159"/>
      <c r="F282" s="159"/>
      <c r="G282" s="159"/>
      <c r="H282" s="159"/>
      <c r="I282" s="159"/>
      <c r="J282" s="159"/>
      <c r="K282" s="159"/>
      <c r="L282" s="159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t="15.75" customHeight="1">
      <c r="A283" s="159"/>
      <c r="B283" s="159"/>
      <c r="C283" s="159"/>
      <c r="D283" s="159"/>
      <c r="E283" s="159"/>
      <c r="F283" s="159"/>
      <c r="G283" s="159"/>
      <c r="H283" s="159"/>
      <c r="I283" s="159"/>
      <c r="J283" s="159"/>
      <c r="K283" s="159"/>
      <c r="L283" s="159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t="15.75" customHeight="1">
      <c r="A284" s="159"/>
      <c r="B284" s="159"/>
      <c r="C284" s="159"/>
      <c r="D284" s="159"/>
      <c r="E284" s="159"/>
      <c r="F284" s="159"/>
      <c r="G284" s="159"/>
      <c r="H284" s="159"/>
      <c r="I284" s="159"/>
      <c r="J284" s="159"/>
      <c r="K284" s="159"/>
      <c r="L284" s="159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t="15.75" customHeight="1">
      <c r="A285" s="159"/>
      <c r="B285" s="159"/>
      <c r="C285" s="159"/>
      <c r="D285" s="159"/>
      <c r="E285" s="159"/>
      <c r="F285" s="159"/>
      <c r="G285" s="159"/>
      <c r="H285" s="159"/>
      <c r="I285" s="159"/>
      <c r="J285" s="159"/>
      <c r="K285" s="159"/>
      <c r="L285" s="159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t="15.75" customHeight="1">
      <c r="A286" s="159"/>
      <c r="B286" s="159"/>
      <c r="C286" s="159"/>
      <c r="D286" s="159"/>
      <c r="E286" s="159"/>
      <c r="F286" s="159"/>
      <c r="G286" s="159"/>
      <c r="H286" s="159"/>
      <c r="I286" s="159"/>
      <c r="J286" s="159"/>
      <c r="K286" s="159"/>
      <c r="L286" s="159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t="15.75" customHeight="1">
      <c r="A287" s="159"/>
      <c r="B287" s="159"/>
      <c r="C287" s="159"/>
      <c r="D287" s="159"/>
      <c r="E287" s="159"/>
      <c r="F287" s="159"/>
      <c r="G287" s="159"/>
      <c r="H287" s="159"/>
      <c r="I287" s="159"/>
      <c r="J287" s="159"/>
      <c r="K287" s="159"/>
      <c r="L287" s="159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t="15.75" customHeight="1">
      <c r="A288" s="159"/>
      <c r="B288" s="159"/>
      <c r="C288" s="159"/>
      <c r="D288" s="159"/>
      <c r="E288" s="159"/>
      <c r="F288" s="159"/>
      <c r="G288" s="159"/>
      <c r="H288" s="159"/>
      <c r="I288" s="159"/>
      <c r="J288" s="159"/>
      <c r="K288" s="159"/>
      <c r="L288" s="159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t="15.75" customHeight="1">
      <c r="A289" s="159"/>
      <c r="B289" s="159"/>
      <c r="C289" s="159"/>
      <c r="D289" s="159"/>
      <c r="E289" s="159"/>
      <c r="F289" s="159"/>
      <c r="G289" s="159"/>
      <c r="H289" s="159"/>
      <c r="I289" s="159"/>
      <c r="J289" s="159"/>
      <c r="K289" s="159"/>
      <c r="L289" s="159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t="15.75" customHeight="1">
      <c r="A290" s="159"/>
      <c r="B290" s="159"/>
      <c r="C290" s="159"/>
      <c r="D290" s="159"/>
      <c r="E290" s="159"/>
      <c r="F290" s="159"/>
      <c r="G290" s="159"/>
      <c r="H290" s="159"/>
      <c r="I290" s="159"/>
      <c r="J290" s="159"/>
      <c r="K290" s="159"/>
      <c r="L290" s="159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t="15.75" customHeight="1">
      <c r="A291" s="159"/>
      <c r="B291" s="159"/>
      <c r="C291" s="159"/>
      <c r="D291" s="159"/>
      <c r="E291" s="159"/>
      <c r="F291" s="159"/>
      <c r="G291" s="159"/>
      <c r="H291" s="159"/>
      <c r="I291" s="159"/>
      <c r="J291" s="159"/>
      <c r="K291" s="159"/>
      <c r="L291" s="159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t="15.75" customHeight="1">
      <c r="A292" s="159"/>
      <c r="B292" s="159"/>
      <c r="C292" s="159"/>
      <c r="D292" s="159"/>
      <c r="E292" s="159"/>
      <c r="F292" s="159"/>
      <c r="G292" s="159"/>
      <c r="H292" s="159"/>
      <c r="I292" s="159"/>
      <c r="J292" s="159"/>
      <c r="K292" s="159"/>
      <c r="L292" s="159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t="15.75" customHeight="1">
      <c r="A293" s="159"/>
      <c r="B293" s="159"/>
      <c r="C293" s="159"/>
      <c r="D293" s="159"/>
      <c r="E293" s="159"/>
      <c r="F293" s="159"/>
      <c r="G293" s="159"/>
      <c r="H293" s="159"/>
      <c r="I293" s="159"/>
      <c r="J293" s="159"/>
      <c r="K293" s="159"/>
      <c r="L293" s="159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.75" customHeight="1">
      <c r="A294" s="159"/>
      <c r="B294" s="159"/>
      <c r="C294" s="159"/>
      <c r="D294" s="159"/>
      <c r="E294" s="159"/>
      <c r="F294" s="159"/>
      <c r="G294" s="159"/>
      <c r="H294" s="159"/>
      <c r="I294" s="159"/>
      <c r="J294" s="159"/>
      <c r="K294" s="159"/>
      <c r="L294" s="159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.75" customHeight="1">
      <c r="A295" s="159"/>
      <c r="B295" s="159"/>
      <c r="C295" s="159"/>
      <c r="D295" s="159"/>
      <c r="E295" s="159"/>
      <c r="F295" s="159"/>
      <c r="G295" s="159"/>
      <c r="H295" s="159"/>
      <c r="I295" s="159"/>
      <c r="J295" s="159"/>
      <c r="K295" s="159"/>
      <c r="L295" s="159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.75" customHeight="1">
      <c r="A296" s="159"/>
      <c r="B296" s="159"/>
      <c r="C296" s="159"/>
      <c r="D296" s="159"/>
      <c r="E296" s="159"/>
      <c r="F296" s="159"/>
      <c r="G296" s="159"/>
      <c r="H296" s="159"/>
      <c r="I296" s="159"/>
      <c r="J296" s="159"/>
      <c r="K296" s="159"/>
      <c r="L296" s="159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.75" customHeight="1">
      <c r="A297" s="159"/>
      <c r="B297" s="159"/>
      <c r="C297" s="159"/>
      <c r="D297" s="159"/>
      <c r="E297" s="159"/>
      <c r="F297" s="159"/>
      <c r="G297" s="159"/>
      <c r="H297" s="159"/>
      <c r="I297" s="159"/>
      <c r="J297" s="159"/>
      <c r="K297" s="159"/>
      <c r="L297" s="159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.75" customHeight="1">
      <c r="A298" s="159"/>
      <c r="B298" s="159"/>
      <c r="C298" s="159"/>
      <c r="D298" s="159"/>
      <c r="E298" s="159"/>
      <c r="F298" s="159"/>
      <c r="G298" s="159"/>
      <c r="H298" s="159"/>
      <c r="I298" s="159"/>
      <c r="J298" s="159"/>
      <c r="K298" s="159"/>
      <c r="L298" s="159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5.75" customHeight="1">
      <c r="A299" s="159"/>
      <c r="B299" s="159"/>
      <c r="C299" s="159"/>
      <c r="D299" s="159"/>
      <c r="E299" s="159"/>
      <c r="F299" s="159"/>
      <c r="G299" s="159"/>
      <c r="H299" s="159"/>
      <c r="I299" s="159"/>
      <c r="J299" s="159"/>
      <c r="K299" s="159"/>
      <c r="L299" s="159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15.75" customHeight="1">
      <c r="A300" s="159"/>
      <c r="B300" s="159"/>
      <c r="C300" s="159"/>
      <c r="D300" s="159"/>
      <c r="E300" s="159"/>
      <c r="F300" s="159"/>
      <c r="G300" s="159"/>
      <c r="H300" s="159"/>
      <c r="I300" s="159"/>
      <c r="J300" s="159"/>
      <c r="K300" s="159"/>
      <c r="L300" s="159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0.25" customHeight="1" thickBot="1">
      <c r="A306" s="151" t="s">
        <v>12</v>
      </c>
      <c r="B306" s="151"/>
      <c r="C306" s="151"/>
      <c r="D306" s="151"/>
      <c r="E306" s="151"/>
      <c r="F306" s="3"/>
      <c r="G306" s="4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1"/>
      <c r="Z306" s="1"/>
      <c r="AA306" s="1"/>
      <c r="AB306" s="1"/>
      <c r="AC306" s="1"/>
      <c r="AD306" s="1"/>
      <c r="AE306" s="1"/>
    </row>
    <row r="307" spans="1:31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15.75" customHeight="1">
      <c r="A308" s="168" t="s">
        <v>33</v>
      </c>
      <c r="B308" s="168"/>
      <c r="C308" s="168"/>
      <c r="D308" s="14"/>
      <c r="E308" s="14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5.75" customHeight="1">
      <c r="A309" s="167" t="s">
        <v>37</v>
      </c>
      <c r="B309" s="167"/>
      <c r="C309" s="167"/>
      <c r="D309" s="14"/>
      <c r="E309" s="14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5.75" customHeight="1">
      <c r="A310" s="163" t="s">
        <v>38</v>
      </c>
      <c r="B310" s="163"/>
      <c r="C310" s="163"/>
      <c r="D310" s="14"/>
      <c r="E310" s="14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5.75" customHeight="1">
      <c r="A311" s="162" t="s">
        <v>39</v>
      </c>
      <c r="B311" s="162"/>
      <c r="C311" s="162"/>
      <c r="D311" s="14"/>
      <c r="E311" s="14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ht="15.75" customHeight="1">
      <c r="A313" s="153" t="s">
        <v>78</v>
      </c>
      <c r="B313" s="153"/>
      <c r="C313" s="153"/>
      <c r="D313" s="28" t="s">
        <v>73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ht="15.75" customHeight="1">
      <c r="A314" s="153" t="s">
        <v>75</v>
      </c>
      <c r="B314" s="153"/>
      <c r="C314" s="153"/>
      <c r="D314" s="29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ht="15.75" customHeight="1">
      <c r="A315" s="153" t="s">
        <v>76</v>
      </c>
      <c r="B315" s="153"/>
      <c r="C315" s="153"/>
      <c r="D315" s="29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ht="15.75" customHeight="1">
      <c r="A316" s="153" t="s">
        <v>24</v>
      </c>
      <c r="B316" s="153"/>
      <c r="C316" s="153"/>
      <c r="D316" s="29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ht="15.75" customHeight="1">
      <c r="A317" s="153" t="s">
        <v>77</v>
      </c>
      <c r="B317" s="153"/>
      <c r="C317" s="153"/>
      <c r="D317" s="29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ht="15.75" customHeight="1">
      <c r="A319" s="152" t="s">
        <v>23</v>
      </c>
      <c r="B319" s="152"/>
      <c r="C319" s="152"/>
      <c r="D319" s="17"/>
      <c r="E319" s="17"/>
      <c r="F319" s="17"/>
      <c r="G319" s="17"/>
      <c r="H319" s="17"/>
      <c r="I319" s="17"/>
      <c r="K319" s="14"/>
      <c r="L319" s="14"/>
      <c r="M319" s="1"/>
      <c r="N319" s="1"/>
      <c r="O319" s="152" t="s">
        <v>40</v>
      </c>
      <c r="P319" s="152"/>
      <c r="Q319" s="152"/>
      <c r="R319" s="152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ht="15.75" customHeight="1">
      <c r="A321" s="159"/>
      <c r="B321" s="159"/>
      <c r="C321" s="159"/>
      <c r="D321" s="159"/>
      <c r="E321" s="159"/>
      <c r="F321" s="159"/>
      <c r="G321" s="159"/>
      <c r="H321" s="159"/>
      <c r="I321" s="159"/>
      <c r="J321" s="159"/>
      <c r="K321" s="159"/>
      <c r="L321" s="159"/>
      <c r="M321" s="1"/>
      <c r="N321" s="1"/>
      <c r="O321" s="159"/>
      <c r="P321" s="159"/>
      <c r="Q321" s="159"/>
      <c r="R321" s="159"/>
      <c r="S321" s="159"/>
      <c r="T321" s="159"/>
      <c r="U321" s="159"/>
      <c r="V321" s="159"/>
      <c r="W321" s="159"/>
      <c r="X321" s="159"/>
      <c r="Y321" s="159"/>
      <c r="Z321" s="159"/>
      <c r="AA321" s="159"/>
      <c r="AB321" s="159"/>
      <c r="AC321" s="159"/>
      <c r="AD321" s="159"/>
      <c r="AE321" s="1"/>
    </row>
    <row r="322" spans="1:31" ht="15.75" customHeight="1">
      <c r="A322" s="159"/>
      <c r="B322" s="159"/>
      <c r="C322" s="159"/>
      <c r="D322" s="159"/>
      <c r="E322" s="159"/>
      <c r="F322" s="159"/>
      <c r="G322" s="159"/>
      <c r="H322" s="159"/>
      <c r="I322" s="159"/>
      <c r="J322" s="159"/>
      <c r="K322" s="159"/>
      <c r="L322" s="159"/>
      <c r="M322" s="1"/>
      <c r="N322" s="1"/>
      <c r="O322" s="159"/>
      <c r="P322" s="159"/>
      <c r="Q322" s="159"/>
      <c r="R322" s="159"/>
      <c r="S322" s="159"/>
      <c r="T322" s="159"/>
      <c r="U322" s="159"/>
      <c r="V322" s="159"/>
      <c r="W322" s="159"/>
      <c r="X322" s="159"/>
      <c r="Y322" s="159"/>
      <c r="Z322" s="159"/>
      <c r="AA322" s="159"/>
      <c r="AB322" s="159"/>
      <c r="AC322" s="159"/>
      <c r="AD322" s="159"/>
      <c r="AE322" s="1"/>
    </row>
    <row r="323" spans="1:31" ht="15.75" customHeight="1">
      <c r="A323" s="159"/>
      <c r="B323" s="159"/>
      <c r="C323" s="159"/>
      <c r="D323" s="159"/>
      <c r="E323" s="159"/>
      <c r="F323" s="159"/>
      <c r="G323" s="159"/>
      <c r="H323" s="159"/>
      <c r="I323" s="159"/>
      <c r="J323" s="159"/>
      <c r="K323" s="159"/>
      <c r="L323" s="159"/>
      <c r="M323" s="1"/>
      <c r="N323" s="1"/>
      <c r="O323" s="159"/>
      <c r="P323" s="159"/>
      <c r="Q323" s="159"/>
      <c r="R323" s="159"/>
      <c r="S323" s="159"/>
      <c r="T323" s="159"/>
      <c r="U323" s="159"/>
      <c r="V323" s="159"/>
      <c r="W323" s="159"/>
      <c r="X323" s="159"/>
      <c r="Y323" s="159"/>
      <c r="Z323" s="159"/>
      <c r="AA323" s="159"/>
      <c r="AB323" s="159"/>
      <c r="AC323" s="159"/>
      <c r="AD323" s="159"/>
      <c r="AE323" s="1"/>
    </row>
    <row r="324" spans="1:31" ht="15.75" customHeight="1">
      <c r="A324" s="159"/>
      <c r="B324" s="159"/>
      <c r="C324" s="159"/>
      <c r="D324" s="159"/>
      <c r="E324" s="159"/>
      <c r="F324" s="159"/>
      <c r="G324" s="159"/>
      <c r="H324" s="159"/>
      <c r="I324" s="159"/>
      <c r="J324" s="159"/>
      <c r="K324" s="159"/>
      <c r="L324" s="159"/>
      <c r="M324" s="1"/>
      <c r="N324" s="1"/>
      <c r="O324" s="159"/>
      <c r="P324" s="159"/>
      <c r="Q324" s="159"/>
      <c r="R324" s="159"/>
      <c r="S324" s="159"/>
      <c r="T324" s="159"/>
      <c r="U324" s="159"/>
      <c r="V324" s="159"/>
      <c r="W324" s="159"/>
      <c r="X324" s="159"/>
      <c r="Y324" s="159"/>
      <c r="Z324" s="159"/>
      <c r="AA324" s="159"/>
      <c r="AB324" s="159"/>
      <c r="AC324" s="159"/>
      <c r="AD324" s="159"/>
      <c r="AE324" s="1"/>
    </row>
    <row r="325" spans="1:31" ht="15.75" customHeight="1">
      <c r="A325" s="159"/>
      <c r="B325" s="159"/>
      <c r="C325" s="159"/>
      <c r="D325" s="159"/>
      <c r="E325" s="159"/>
      <c r="F325" s="159"/>
      <c r="G325" s="159"/>
      <c r="H325" s="159"/>
      <c r="I325" s="159"/>
      <c r="J325" s="159"/>
      <c r="K325" s="159"/>
      <c r="L325" s="159"/>
      <c r="M325" s="1"/>
      <c r="N325" s="1"/>
      <c r="O325" s="159"/>
      <c r="P325" s="159"/>
      <c r="Q325" s="159"/>
      <c r="R325" s="159"/>
      <c r="S325" s="159"/>
      <c r="T325" s="159"/>
      <c r="U325" s="159"/>
      <c r="V325" s="159"/>
      <c r="W325" s="159"/>
      <c r="X325" s="159"/>
      <c r="Y325" s="159"/>
      <c r="Z325" s="159"/>
      <c r="AA325" s="159"/>
      <c r="AB325" s="159"/>
      <c r="AC325" s="159"/>
      <c r="AD325" s="159"/>
      <c r="AE325" s="1"/>
    </row>
    <row r="326" spans="1:31" ht="15.75" customHeight="1">
      <c r="A326" s="159"/>
      <c r="B326" s="159"/>
      <c r="C326" s="159"/>
      <c r="D326" s="159"/>
      <c r="E326" s="159"/>
      <c r="F326" s="159"/>
      <c r="G326" s="159"/>
      <c r="H326" s="159"/>
      <c r="I326" s="159"/>
      <c r="J326" s="159"/>
      <c r="K326" s="159"/>
      <c r="L326" s="159"/>
      <c r="M326" s="1"/>
      <c r="N326" s="1"/>
      <c r="O326" s="159"/>
      <c r="P326" s="159"/>
      <c r="Q326" s="159"/>
      <c r="R326" s="159"/>
      <c r="S326" s="159"/>
      <c r="T326" s="159"/>
      <c r="U326" s="159"/>
      <c r="V326" s="159"/>
      <c r="W326" s="159"/>
      <c r="X326" s="159"/>
      <c r="Y326" s="159"/>
      <c r="Z326" s="159"/>
      <c r="AA326" s="159"/>
      <c r="AB326" s="159"/>
      <c r="AC326" s="159"/>
      <c r="AD326" s="159"/>
      <c r="AE326" s="1"/>
    </row>
    <row r="327" spans="1:31" ht="15.75" customHeight="1">
      <c r="A327" s="159"/>
      <c r="B327" s="159"/>
      <c r="C327" s="159"/>
      <c r="D327" s="159"/>
      <c r="E327" s="159"/>
      <c r="F327" s="159"/>
      <c r="G327" s="159"/>
      <c r="H327" s="159"/>
      <c r="I327" s="159"/>
      <c r="J327" s="159"/>
      <c r="K327" s="159"/>
      <c r="L327" s="159"/>
      <c r="M327" s="1"/>
      <c r="N327" s="1"/>
      <c r="O327" s="159"/>
      <c r="P327" s="159"/>
      <c r="Q327" s="159"/>
      <c r="R327" s="159"/>
      <c r="S327" s="159"/>
      <c r="T327" s="159"/>
      <c r="U327" s="159"/>
      <c r="V327" s="159"/>
      <c r="W327" s="159"/>
      <c r="X327" s="159"/>
      <c r="Y327" s="159"/>
      <c r="Z327" s="159"/>
      <c r="AA327" s="159"/>
      <c r="AB327" s="159"/>
      <c r="AC327" s="159"/>
      <c r="AD327" s="159"/>
      <c r="AE327" s="1"/>
    </row>
    <row r="328" spans="1:31" ht="15.75" customHeight="1">
      <c r="A328" s="159"/>
      <c r="B328" s="159"/>
      <c r="C328" s="159"/>
      <c r="D328" s="159"/>
      <c r="E328" s="159"/>
      <c r="F328" s="159"/>
      <c r="G328" s="159"/>
      <c r="H328" s="159"/>
      <c r="I328" s="159"/>
      <c r="J328" s="159"/>
      <c r="K328" s="159"/>
      <c r="L328" s="159"/>
      <c r="M328" s="1"/>
      <c r="N328" s="1"/>
      <c r="O328" s="159"/>
      <c r="P328" s="159"/>
      <c r="Q328" s="159"/>
      <c r="R328" s="159"/>
      <c r="S328" s="159"/>
      <c r="T328" s="159"/>
      <c r="U328" s="159"/>
      <c r="V328" s="159"/>
      <c r="W328" s="159"/>
      <c r="X328" s="159"/>
      <c r="Y328" s="159"/>
      <c r="Z328" s="159"/>
      <c r="AA328" s="159"/>
      <c r="AB328" s="159"/>
      <c r="AC328" s="159"/>
      <c r="AD328" s="159"/>
      <c r="AE328" s="1"/>
    </row>
    <row r="329" spans="1:31" ht="15.75" customHeight="1">
      <c r="A329" s="159"/>
      <c r="B329" s="159"/>
      <c r="C329" s="159"/>
      <c r="D329" s="159"/>
      <c r="E329" s="159"/>
      <c r="F329" s="159"/>
      <c r="G329" s="159"/>
      <c r="H329" s="159"/>
      <c r="I329" s="159"/>
      <c r="J329" s="159"/>
      <c r="K329" s="159"/>
      <c r="L329" s="159"/>
      <c r="M329" s="1"/>
      <c r="N329" s="1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9"/>
      <c r="AE329" s="1"/>
    </row>
    <row r="330" spans="1:31" ht="15.75" customHeight="1">
      <c r="A330" s="159"/>
      <c r="B330" s="159"/>
      <c r="C330" s="159"/>
      <c r="D330" s="159"/>
      <c r="E330" s="159"/>
      <c r="F330" s="159"/>
      <c r="G330" s="159"/>
      <c r="H330" s="159"/>
      <c r="I330" s="159"/>
      <c r="J330" s="159"/>
      <c r="K330" s="159"/>
      <c r="L330" s="159"/>
      <c r="M330" s="1"/>
      <c r="N330" s="1"/>
      <c r="O330" s="159"/>
      <c r="P330" s="159"/>
      <c r="Q330" s="159"/>
      <c r="R330" s="159"/>
      <c r="S330" s="159"/>
      <c r="T330" s="159"/>
      <c r="U330" s="159"/>
      <c r="V330" s="159"/>
      <c r="W330" s="159"/>
      <c r="X330" s="159"/>
      <c r="Y330" s="159"/>
      <c r="Z330" s="159"/>
      <c r="AA330" s="159"/>
      <c r="AB330" s="159"/>
      <c r="AC330" s="159"/>
      <c r="AD330" s="159"/>
      <c r="AE330" s="1"/>
    </row>
    <row r="331" spans="1:31" ht="15.75" customHeight="1">
      <c r="A331" s="159"/>
      <c r="B331" s="159"/>
      <c r="C331" s="159"/>
      <c r="D331" s="159"/>
      <c r="E331" s="159"/>
      <c r="F331" s="159"/>
      <c r="G331" s="159"/>
      <c r="H331" s="159"/>
      <c r="I331" s="159"/>
      <c r="J331" s="159"/>
      <c r="K331" s="159"/>
      <c r="L331" s="159"/>
      <c r="M331" s="1"/>
      <c r="N331" s="1"/>
      <c r="O331" s="159"/>
      <c r="P331" s="159"/>
      <c r="Q331" s="159"/>
      <c r="R331" s="159"/>
      <c r="S331" s="159"/>
      <c r="T331" s="159"/>
      <c r="U331" s="159"/>
      <c r="V331" s="159"/>
      <c r="W331" s="159"/>
      <c r="X331" s="159"/>
      <c r="Y331" s="159"/>
      <c r="Z331" s="159"/>
      <c r="AA331" s="159"/>
      <c r="AB331" s="159"/>
      <c r="AC331" s="159"/>
      <c r="AD331" s="159"/>
      <c r="AE331" s="1"/>
    </row>
    <row r="332" spans="1:31" ht="15.75" customHeight="1">
      <c r="A332" s="159"/>
      <c r="B332" s="159"/>
      <c r="C332" s="159"/>
      <c r="D332" s="159"/>
      <c r="E332" s="159"/>
      <c r="F332" s="159"/>
      <c r="G332" s="159"/>
      <c r="H332" s="159"/>
      <c r="I332" s="159"/>
      <c r="J332" s="159"/>
      <c r="K332" s="159"/>
      <c r="L332" s="159"/>
      <c r="M332" s="1"/>
      <c r="N332" s="1"/>
      <c r="O332" s="159"/>
      <c r="P332" s="159"/>
      <c r="Q332" s="159"/>
      <c r="R332" s="159"/>
      <c r="S332" s="159"/>
      <c r="T332" s="159"/>
      <c r="U332" s="159"/>
      <c r="V332" s="159"/>
      <c r="W332" s="159"/>
      <c r="X332" s="159"/>
      <c r="Y332" s="159"/>
      <c r="Z332" s="159"/>
      <c r="AA332" s="159"/>
      <c r="AB332" s="159"/>
      <c r="AC332" s="159"/>
      <c r="AD332" s="159"/>
      <c r="AE332" s="1"/>
    </row>
    <row r="333" spans="1:31" ht="15.75" customHeight="1">
      <c r="A333" s="159"/>
      <c r="B333" s="159"/>
      <c r="C333" s="159"/>
      <c r="D333" s="159"/>
      <c r="E333" s="159"/>
      <c r="F333" s="159"/>
      <c r="G333" s="159"/>
      <c r="H333" s="159"/>
      <c r="I333" s="159"/>
      <c r="J333" s="159"/>
      <c r="K333" s="159"/>
      <c r="L333" s="159"/>
      <c r="M333" s="1"/>
      <c r="N333" s="1"/>
      <c r="O333" s="159"/>
      <c r="P333" s="159"/>
      <c r="Q333" s="159"/>
      <c r="R333" s="159"/>
      <c r="S333" s="159"/>
      <c r="T333" s="159"/>
      <c r="U333" s="159"/>
      <c r="V333" s="159"/>
      <c r="W333" s="159"/>
      <c r="X333" s="159"/>
      <c r="Y333" s="159"/>
      <c r="Z333" s="159"/>
      <c r="AA333" s="159"/>
      <c r="AB333" s="159"/>
      <c r="AC333" s="159"/>
      <c r="AD333" s="159"/>
      <c r="AE333" s="1"/>
    </row>
    <row r="334" spans="1:31" ht="15.75" customHeight="1">
      <c r="A334" s="159"/>
      <c r="B334" s="159"/>
      <c r="C334" s="159"/>
      <c r="D334" s="159"/>
      <c r="E334" s="159"/>
      <c r="F334" s="159"/>
      <c r="G334" s="159"/>
      <c r="H334" s="159"/>
      <c r="I334" s="159"/>
      <c r="J334" s="159"/>
      <c r="K334" s="159"/>
      <c r="L334" s="159"/>
      <c r="M334" s="1"/>
      <c r="N334" s="1"/>
      <c r="O334" s="159"/>
      <c r="P334" s="159"/>
      <c r="Q334" s="159"/>
      <c r="R334" s="159"/>
      <c r="S334" s="159"/>
      <c r="T334" s="159"/>
      <c r="U334" s="159"/>
      <c r="V334" s="159"/>
      <c r="W334" s="159"/>
      <c r="X334" s="159"/>
      <c r="Y334" s="159"/>
      <c r="Z334" s="159"/>
      <c r="AA334" s="159"/>
      <c r="AB334" s="159"/>
      <c r="AC334" s="159"/>
      <c r="AD334" s="159"/>
      <c r="AE334" s="1"/>
    </row>
    <row r="335" spans="1:31" ht="15.75" customHeight="1">
      <c r="A335" s="159"/>
      <c r="B335" s="159"/>
      <c r="C335" s="159"/>
      <c r="D335" s="159"/>
      <c r="E335" s="159"/>
      <c r="F335" s="159"/>
      <c r="G335" s="159"/>
      <c r="H335" s="159"/>
      <c r="I335" s="159"/>
      <c r="J335" s="159"/>
      <c r="K335" s="159"/>
      <c r="L335" s="159"/>
      <c r="M335" s="1"/>
      <c r="N335" s="1"/>
      <c r="O335" s="159"/>
      <c r="P335" s="159"/>
      <c r="Q335" s="159"/>
      <c r="R335" s="159"/>
      <c r="S335" s="159"/>
      <c r="T335" s="159"/>
      <c r="U335" s="159"/>
      <c r="V335" s="159"/>
      <c r="W335" s="159"/>
      <c r="X335" s="159"/>
      <c r="Y335" s="159"/>
      <c r="Z335" s="159"/>
      <c r="AA335" s="159"/>
      <c r="AB335" s="159"/>
      <c r="AC335" s="159"/>
      <c r="AD335" s="159"/>
      <c r="AE335" s="1"/>
    </row>
    <row r="336" spans="1:31" ht="15.75" customHeight="1">
      <c r="A336" s="159"/>
      <c r="B336" s="159"/>
      <c r="C336" s="159"/>
      <c r="D336" s="159"/>
      <c r="E336" s="159"/>
      <c r="F336" s="159"/>
      <c r="G336" s="159"/>
      <c r="H336" s="159"/>
      <c r="I336" s="159"/>
      <c r="J336" s="159"/>
      <c r="K336" s="159"/>
      <c r="L336" s="159"/>
      <c r="M336" s="1"/>
      <c r="N336" s="1"/>
      <c r="O336" s="159"/>
      <c r="P336" s="159"/>
      <c r="Q336" s="159"/>
      <c r="R336" s="159"/>
      <c r="S336" s="159"/>
      <c r="T336" s="159"/>
      <c r="U336" s="159"/>
      <c r="V336" s="159"/>
      <c r="W336" s="159"/>
      <c r="X336" s="159"/>
      <c r="Y336" s="159"/>
      <c r="Z336" s="159"/>
      <c r="AA336" s="159"/>
      <c r="AB336" s="159"/>
      <c r="AC336" s="159"/>
      <c r="AD336" s="159"/>
      <c r="AE336" s="1"/>
    </row>
    <row r="337" spans="1:31" ht="15.75" customHeight="1">
      <c r="A337" s="159"/>
      <c r="B337" s="159"/>
      <c r="C337" s="159"/>
      <c r="D337" s="159"/>
      <c r="E337" s="159"/>
      <c r="F337" s="159"/>
      <c r="G337" s="159"/>
      <c r="H337" s="159"/>
      <c r="I337" s="159"/>
      <c r="J337" s="159"/>
      <c r="K337" s="159"/>
      <c r="L337" s="159"/>
      <c r="M337" s="1"/>
      <c r="N337" s="1"/>
      <c r="O337" s="159"/>
      <c r="P337" s="159"/>
      <c r="Q337" s="159"/>
      <c r="R337" s="159"/>
      <c r="S337" s="159"/>
      <c r="T337" s="159"/>
      <c r="U337" s="159"/>
      <c r="V337" s="159"/>
      <c r="W337" s="159"/>
      <c r="X337" s="159"/>
      <c r="Y337" s="159"/>
      <c r="Z337" s="159"/>
      <c r="AA337" s="159"/>
      <c r="AB337" s="159"/>
      <c r="AC337" s="159"/>
      <c r="AD337" s="159"/>
      <c r="AE337" s="1"/>
    </row>
    <row r="338" spans="1:31" ht="15.75" customHeight="1">
      <c r="A338" s="159"/>
      <c r="B338" s="159"/>
      <c r="C338" s="159"/>
      <c r="D338" s="159"/>
      <c r="E338" s="159"/>
      <c r="F338" s="159"/>
      <c r="G338" s="159"/>
      <c r="H338" s="159"/>
      <c r="I338" s="159"/>
      <c r="J338" s="159"/>
      <c r="K338" s="159"/>
      <c r="L338" s="159"/>
      <c r="M338" s="1"/>
      <c r="N338" s="1"/>
      <c r="O338" s="159"/>
      <c r="P338" s="159"/>
      <c r="Q338" s="159"/>
      <c r="R338" s="159"/>
      <c r="S338" s="159"/>
      <c r="T338" s="159"/>
      <c r="U338" s="159"/>
      <c r="V338" s="159"/>
      <c r="W338" s="159"/>
      <c r="X338" s="159"/>
      <c r="Y338" s="159"/>
      <c r="Z338" s="159"/>
      <c r="AA338" s="159"/>
      <c r="AB338" s="159"/>
      <c r="AC338" s="159"/>
      <c r="AD338" s="159"/>
      <c r="AE338" s="1"/>
    </row>
    <row r="339" spans="1:31" ht="15.75" customHeight="1">
      <c r="A339" s="159"/>
      <c r="B339" s="159"/>
      <c r="C339" s="159"/>
      <c r="D339" s="159"/>
      <c r="E339" s="159"/>
      <c r="F339" s="159"/>
      <c r="G339" s="159"/>
      <c r="H339" s="159"/>
      <c r="I339" s="159"/>
      <c r="J339" s="159"/>
      <c r="K339" s="159"/>
      <c r="L339" s="159"/>
      <c r="M339" s="1"/>
      <c r="N339" s="1"/>
      <c r="O339" s="159"/>
      <c r="P339" s="159"/>
      <c r="Q339" s="159"/>
      <c r="R339" s="159"/>
      <c r="S339" s="159"/>
      <c r="T339" s="159"/>
      <c r="U339" s="159"/>
      <c r="V339" s="159"/>
      <c r="W339" s="159"/>
      <c r="X339" s="159"/>
      <c r="Y339" s="159"/>
      <c r="Z339" s="159"/>
      <c r="AA339" s="159"/>
      <c r="AB339" s="159"/>
      <c r="AC339" s="159"/>
      <c r="AD339" s="159"/>
      <c r="AE339" s="1"/>
    </row>
    <row r="340" spans="1:31" ht="15.75" customHeight="1">
      <c r="A340" s="159"/>
      <c r="B340" s="159"/>
      <c r="C340" s="159"/>
      <c r="D340" s="159"/>
      <c r="E340" s="159"/>
      <c r="F340" s="159"/>
      <c r="G340" s="159"/>
      <c r="H340" s="159"/>
      <c r="I340" s="159"/>
      <c r="J340" s="159"/>
      <c r="K340" s="159"/>
      <c r="L340" s="159"/>
      <c r="M340" s="1"/>
      <c r="N340" s="1"/>
      <c r="O340" s="159"/>
      <c r="P340" s="159"/>
      <c r="Q340" s="159"/>
      <c r="R340" s="159"/>
      <c r="S340" s="159"/>
      <c r="T340" s="159"/>
      <c r="U340" s="159"/>
      <c r="V340" s="159"/>
      <c r="W340" s="159"/>
      <c r="X340" s="159"/>
      <c r="Y340" s="159"/>
      <c r="Z340" s="159"/>
      <c r="AA340" s="159"/>
      <c r="AB340" s="159"/>
      <c r="AC340" s="159"/>
      <c r="AD340" s="159"/>
      <c r="AE340" s="1"/>
    </row>
    <row r="341" spans="1:31" ht="15.75" customHeight="1">
      <c r="A341" s="159"/>
      <c r="B341" s="159"/>
      <c r="C341" s="159"/>
      <c r="D341" s="159"/>
      <c r="E341" s="159"/>
      <c r="F341" s="159"/>
      <c r="G341" s="159"/>
      <c r="H341" s="159"/>
      <c r="I341" s="159"/>
      <c r="J341" s="159"/>
      <c r="K341" s="159"/>
      <c r="L341" s="159"/>
      <c r="M341" s="1"/>
      <c r="N341" s="1"/>
      <c r="O341" s="159"/>
      <c r="P341" s="159"/>
      <c r="Q341" s="159"/>
      <c r="R341" s="159"/>
      <c r="S341" s="159"/>
      <c r="T341" s="159"/>
      <c r="U341" s="159"/>
      <c r="V341" s="159"/>
      <c r="W341" s="159"/>
      <c r="X341" s="159"/>
      <c r="Y341" s="159"/>
      <c r="Z341" s="159"/>
      <c r="AA341" s="159"/>
      <c r="AB341" s="159"/>
      <c r="AC341" s="159"/>
      <c r="AD341" s="159"/>
      <c r="AE341" s="1"/>
    </row>
    <row r="342" spans="1:31" ht="15.75" customHeight="1">
      <c r="A342" s="159"/>
      <c r="B342" s="159"/>
      <c r="C342" s="159"/>
      <c r="D342" s="159"/>
      <c r="E342" s="159"/>
      <c r="F342" s="159"/>
      <c r="G342" s="159"/>
      <c r="H342" s="159"/>
      <c r="I342" s="159"/>
      <c r="J342" s="159"/>
      <c r="K342" s="159"/>
      <c r="L342" s="159"/>
      <c r="M342" s="1"/>
      <c r="N342" s="1"/>
      <c r="O342" s="159"/>
      <c r="P342" s="159"/>
      <c r="Q342" s="159"/>
      <c r="R342" s="159"/>
      <c r="S342" s="159"/>
      <c r="T342" s="159"/>
      <c r="U342" s="159"/>
      <c r="V342" s="159"/>
      <c r="W342" s="159"/>
      <c r="X342" s="159"/>
      <c r="Y342" s="159"/>
      <c r="Z342" s="159"/>
      <c r="AA342" s="159"/>
      <c r="AB342" s="159"/>
      <c r="AC342" s="159"/>
      <c r="AD342" s="159"/>
      <c r="AE342" s="1"/>
    </row>
    <row r="343" spans="1:31" ht="15.75" customHeight="1">
      <c r="A343" s="159"/>
      <c r="B343" s="159"/>
      <c r="C343" s="159"/>
      <c r="D343" s="159"/>
      <c r="E343" s="159"/>
      <c r="F343" s="159"/>
      <c r="G343" s="159"/>
      <c r="H343" s="159"/>
      <c r="I343" s="159"/>
      <c r="J343" s="159"/>
      <c r="K343" s="159"/>
      <c r="L343" s="159"/>
      <c r="M343" s="1"/>
      <c r="N343" s="1"/>
      <c r="O343" s="159"/>
      <c r="P343" s="159"/>
      <c r="Q343" s="159"/>
      <c r="R343" s="159"/>
      <c r="S343" s="159"/>
      <c r="T343" s="159"/>
      <c r="U343" s="159"/>
      <c r="V343" s="159"/>
      <c r="W343" s="159"/>
      <c r="X343" s="159"/>
      <c r="Y343" s="159"/>
      <c r="Z343" s="159"/>
      <c r="AA343" s="159"/>
      <c r="AB343" s="159"/>
      <c r="AC343" s="159"/>
      <c r="AD343" s="159"/>
      <c r="AE343" s="1"/>
    </row>
    <row r="344" spans="1:31" ht="15.75" customHeight="1">
      <c r="A344" s="159"/>
      <c r="B344" s="159"/>
      <c r="C344" s="159"/>
      <c r="D344" s="159"/>
      <c r="E344" s="159"/>
      <c r="F344" s="159"/>
      <c r="G344" s="159"/>
      <c r="H344" s="159"/>
      <c r="I344" s="159"/>
      <c r="J344" s="159"/>
      <c r="K344" s="159"/>
      <c r="L344" s="159"/>
      <c r="M344" s="1"/>
      <c r="N344" s="1"/>
      <c r="O344" s="159"/>
      <c r="P344" s="159"/>
      <c r="Q344" s="159"/>
      <c r="R344" s="159"/>
      <c r="S344" s="159"/>
      <c r="T344" s="159"/>
      <c r="U344" s="159"/>
      <c r="V344" s="159"/>
      <c r="W344" s="159"/>
      <c r="X344" s="159"/>
      <c r="Y344" s="159"/>
      <c r="Z344" s="159"/>
      <c r="AA344" s="159"/>
      <c r="AB344" s="159"/>
      <c r="AC344" s="159"/>
      <c r="AD344" s="159"/>
      <c r="AE344" s="1"/>
    </row>
    <row r="345" spans="1:31" ht="15.75" customHeight="1">
      <c r="A345" s="159"/>
      <c r="B345" s="159"/>
      <c r="C345" s="159"/>
      <c r="D345" s="159"/>
      <c r="E345" s="159"/>
      <c r="F345" s="159"/>
      <c r="G345" s="159"/>
      <c r="H345" s="159"/>
      <c r="I345" s="159"/>
      <c r="J345" s="159"/>
      <c r="K345" s="159"/>
      <c r="L345" s="159"/>
      <c r="M345" s="1"/>
      <c r="N345" s="1"/>
      <c r="O345" s="159"/>
      <c r="P345" s="159"/>
      <c r="Q345" s="159"/>
      <c r="R345" s="159"/>
      <c r="S345" s="159"/>
      <c r="T345" s="159"/>
      <c r="U345" s="159"/>
      <c r="V345" s="159"/>
      <c r="W345" s="159"/>
      <c r="X345" s="159"/>
      <c r="Y345" s="159"/>
      <c r="Z345" s="159"/>
      <c r="AA345" s="159"/>
      <c r="AB345" s="159"/>
      <c r="AC345" s="159"/>
      <c r="AD345" s="159"/>
      <c r="AE345" s="1"/>
    </row>
    <row r="346" spans="1:31" ht="15.75" customHeight="1">
      <c r="A346" s="159"/>
      <c r="B346" s="159"/>
      <c r="C346" s="159"/>
      <c r="D346" s="159"/>
      <c r="E346" s="159"/>
      <c r="F346" s="159"/>
      <c r="G346" s="159"/>
      <c r="H346" s="159"/>
      <c r="I346" s="159"/>
      <c r="J346" s="159"/>
      <c r="K346" s="159"/>
      <c r="L346" s="159"/>
      <c r="M346" s="1"/>
      <c r="N346" s="1"/>
      <c r="O346" s="159"/>
      <c r="P346" s="159"/>
      <c r="Q346" s="159"/>
      <c r="R346" s="159"/>
      <c r="S346" s="159"/>
      <c r="T346" s="159"/>
      <c r="U346" s="159"/>
      <c r="V346" s="159"/>
      <c r="W346" s="159"/>
      <c r="X346" s="159"/>
      <c r="Y346" s="159"/>
      <c r="Z346" s="159"/>
      <c r="AA346" s="159"/>
      <c r="AB346" s="159"/>
      <c r="AC346" s="159"/>
      <c r="AD346" s="159"/>
      <c r="AE346" s="1"/>
    </row>
    <row r="347" spans="1:31" ht="15.75" customHeight="1">
      <c r="A347" s="159"/>
      <c r="B347" s="159"/>
      <c r="C347" s="159"/>
      <c r="D347" s="159"/>
      <c r="E347" s="159"/>
      <c r="F347" s="159"/>
      <c r="G347" s="159"/>
      <c r="H347" s="159"/>
      <c r="I347" s="159"/>
      <c r="J347" s="159"/>
      <c r="K347" s="159"/>
      <c r="L347" s="159"/>
      <c r="M347" s="1"/>
      <c r="N347" s="1"/>
      <c r="O347" s="159"/>
      <c r="P347" s="159"/>
      <c r="Q347" s="159"/>
      <c r="R347" s="159"/>
      <c r="S347" s="159"/>
      <c r="T347" s="159"/>
      <c r="U347" s="159"/>
      <c r="V347" s="159"/>
      <c r="W347" s="159"/>
      <c r="X347" s="159"/>
      <c r="Y347" s="159"/>
      <c r="Z347" s="159"/>
      <c r="AA347" s="159"/>
      <c r="AB347" s="159"/>
      <c r="AC347" s="159"/>
      <c r="AD347" s="159"/>
      <c r="AE347" s="1"/>
    </row>
    <row r="348" spans="1:31" ht="15.75" customHeight="1">
      <c r="A348" s="159"/>
      <c r="B348" s="159"/>
      <c r="C348" s="159"/>
      <c r="D348" s="159"/>
      <c r="E348" s="159"/>
      <c r="F348" s="159"/>
      <c r="G348" s="159"/>
      <c r="H348" s="159"/>
      <c r="I348" s="159"/>
      <c r="J348" s="159"/>
      <c r="K348" s="159"/>
      <c r="L348" s="159"/>
      <c r="M348" s="1"/>
      <c r="N348" s="1"/>
      <c r="O348" s="159"/>
      <c r="P348" s="159"/>
      <c r="Q348" s="159"/>
      <c r="R348" s="159"/>
      <c r="S348" s="159"/>
      <c r="T348" s="159"/>
      <c r="U348" s="159"/>
      <c r="V348" s="159"/>
      <c r="W348" s="159"/>
      <c r="X348" s="159"/>
      <c r="Y348" s="159"/>
      <c r="Z348" s="159"/>
      <c r="AA348" s="159"/>
      <c r="AB348" s="159"/>
      <c r="AC348" s="159"/>
      <c r="AD348" s="159"/>
      <c r="AE348" s="1"/>
    </row>
    <row r="349" spans="1:31" ht="15.75" customHeight="1">
      <c r="A349" s="159"/>
      <c r="B349" s="159"/>
      <c r="C349" s="159"/>
      <c r="D349" s="159"/>
      <c r="E349" s="159"/>
      <c r="F349" s="159"/>
      <c r="G349" s="159"/>
      <c r="H349" s="159"/>
      <c r="I349" s="159"/>
      <c r="J349" s="159"/>
      <c r="K349" s="159"/>
      <c r="L349" s="159"/>
      <c r="M349" s="1"/>
      <c r="N349" s="1"/>
      <c r="O349" s="159"/>
      <c r="P349" s="159"/>
      <c r="Q349" s="159"/>
      <c r="R349" s="159"/>
      <c r="S349" s="159"/>
      <c r="T349" s="159"/>
      <c r="U349" s="159"/>
      <c r="V349" s="159"/>
      <c r="W349" s="159"/>
      <c r="X349" s="159"/>
      <c r="Y349" s="159"/>
      <c r="Z349" s="159"/>
      <c r="AA349" s="159"/>
      <c r="AB349" s="159"/>
      <c r="AC349" s="159"/>
      <c r="AD349" s="159"/>
      <c r="AE349" s="1"/>
    </row>
    <row r="350" spans="1:31" ht="15.75" customHeight="1">
      <c r="A350" s="159"/>
      <c r="B350" s="159"/>
      <c r="C350" s="159"/>
      <c r="D350" s="159"/>
      <c r="E350" s="159"/>
      <c r="F350" s="159"/>
      <c r="G350" s="159"/>
      <c r="H350" s="159"/>
      <c r="I350" s="159"/>
      <c r="J350" s="159"/>
      <c r="K350" s="159"/>
      <c r="L350" s="159"/>
      <c r="M350" s="1"/>
      <c r="N350" s="1"/>
      <c r="O350" s="159"/>
      <c r="P350" s="159"/>
      <c r="Q350" s="159"/>
      <c r="R350" s="159"/>
      <c r="S350" s="159"/>
      <c r="T350" s="159"/>
      <c r="U350" s="159"/>
      <c r="V350" s="159"/>
      <c r="W350" s="159"/>
      <c r="X350" s="159"/>
      <c r="Y350" s="159"/>
      <c r="Z350" s="159"/>
      <c r="AA350" s="159"/>
      <c r="AB350" s="159"/>
      <c r="AC350" s="159"/>
      <c r="AD350" s="159"/>
      <c r="AE350" s="1"/>
    </row>
    <row r="351" spans="1:31" ht="15.75" customHeight="1">
      <c r="A351" s="159"/>
      <c r="B351" s="159"/>
      <c r="C351" s="159"/>
      <c r="D351" s="159"/>
      <c r="E351" s="159"/>
      <c r="F351" s="159"/>
      <c r="G351" s="159"/>
      <c r="H351" s="159"/>
      <c r="I351" s="159"/>
      <c r="J351" s="159"/>
      <c r="K351" s="159"/>
      <c r="L351" s="159"/>
      <c r="M351" s="1"/>
      <c r="N351" s="1"/>
      <c r="O351" s="159"/>
      <c r="P351" s="159"/>
      <c r="Q351" s="159"/>
      <c r="R351" s="159"/>
      <c r="S351" s="159"/>
      <c r="T351" s="159"/>
      <c r="U351" s="159"/>
      <c r="V351" s="159"/>
      <c r="W351" s="159"/>
      <c r="X351" s="159"/>
      <c r="Y351" s="159"/>
      <c r="Z351" s="159"/>
      <c r="AA351" s="159"/>
      <c r="AB351" s="159"/>
      <c r="AC351" s="159"/>
      <c r="AD351" s="159"/>
      <c r="AE351" s="1"/>
    </row>
    <row r="352" spans="1:31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ht="15.75" customHeight="1">
      <c r="A358" s="152" t="s">
        <v>24</v>
      </c>
      <c r="B358" s="152"/>
      <c r="C358" s="152"/>
      <c r="D358" s="17"/>
      <c r="E358" s="17"/>
      <c r="F358" s="17"/>
      <c r="G358" s="17"/>
      <c r="H358" s="1"/>
      <c r="I358" s="1"/>
      <c r="K358" s="14"/>
      <c r="L358" s="14"/>
      <c r="M358" s="1"/>
      <c r="N358" s="1"/>
      <c r="O358" s="152" t="s">
        <v>41</v>
      </c>
      <c r="P358" s="152"/>
      <c r="Q358" s="152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ht="15.75" customHeight="1">
      <c r="A360" s="159"/>
      <c r="B360" s="159"/>
      <c r="C360" s="159"/>
      <c r="D360" s="159"/>
      <c r="E360" s="159"/>
      <c r="F360" s="159"/>
      <c r="G360" s="159"/>
      <c r="H360" s="159"/>
      <c r="I360" s="159"/>
      <c r="J360" s="159"/>
      <c r="K360" s="159"/>
      <c r="L360" s="159"/>
      <c r="M360" s="1"/>
      <c r="N360" s="1"/>
      <c r="O360" s="159"/>
      <c r="P360" s="159"/>
      <c r="Q360" s="159"/>
      <c r="R360" s="159"/>
      <c r="S360" s="159"/>
      <c r="T360" s="159"/>
      <c r="U360" s="159"/>
      <c r="V360" s="159"/>
      <c r="W360" s="159"/>
      <c r="X360" s="159"/>
      <c r="Y360" s="159"/>
      <c r="Z360" s="159"/>
      <c r="AA360" s="159"/>
      <c r="AB360" s="159"/>
      <c r="AC360" s="159"/>
      <c r="AD360" s="159"/>
      <c r="AE360" s="1"/>
    </row>
    <row r="361" spans="1:31" ht="15.75" customHeight="1">
      <c r="A361" s="159"/>
      <c r="B361" s="159"/>
      <c r="C361" s="159"/>
      <c r="D361" s="159"/>
      <c r="E361" s="159"/>
      <c r="F361" s="159"/>
      <c r="G361" s="159"/>
      <c r="H361" s="159"/>
      <c r="I361" s="159"/>
      <c r="J361" s="159"/>
      <c r="K361" s="159"/>
      <c r="L361" s="159"/>
      <c r="M361" s="1"/>
      <c r="N361" s="1"/>
      <c r="O361" s="159"/>
      <c r="P361" s="159"/>
      <c r="Q361" s="159"/>
      <c r="R361" s="159"/>
      <c r="S361" s="159"/>
      <c r="T361" s="159"/>
      <c r="U361" s="159"/>
      <c r="V361" s="159"/>
      <c r="W361" s="159"/>
      <c r="X361" s="159"/>
      <c r="Y361" s="159"/>
      <c r="Z361" s="159"/>
      <c r="AA361" s="159"/>
      <c r="AB361" s="159"/>
      <c r="AC361" s="159"/>
      <c r="AD361" s="159"/>
      <c r="AE361" s="1"/>
    </row>
    <row r="362" spans="1:31" ht="15.75" customHeight="1">
      <c r="A362" s="159"/>
      <c r="B362" s="159"/>
      <c r="C362" s="159"/>
      <c r="D362" s="159"/>
      <c r="E362" s="159"/>
      <c r="F362" s="159"/>
      <c r="G362" s="159"/>
      <c r="H362" s="159"/>
      <c r="I362" s="159"/>
      <c r="J362" s="159"/>
      <c r="K362" s="159"/>
      <c r="L362" s="159"/>
      <c r="M362" s="1"/>
      <c r="N362" s="1"/>
      <c r="O362" s="159"/>
      <c r="P362" s="159"/>
      <c r="Q362" s="159"/>
      <c r="R362" s="159"/>
      <c r="S362" s="159"/>
      <c r="T362" s="159"/>
      <c r="U362" s="159"/>
      <c r="V362" s="159"/>
      <c r="W362" s="159"/>
      <c r="X362" s="159"/>
      <c r="Y362" s="159"/>
      <c r="Z362" s="159"/>
      <c r="AA362" s="159"/>
      <c r="AB362" s="159"/>
      <c r="AC362" s="159"/>
      <c r="AD362" s="159"/>
      <c r="AE362" s="1"/>
    </row>
    <row r="363" spans="1:31" ht="15.75" customHeight="1">
      <c r="A363" s="159"/>
      <c r="B363" s="159"/>
      <c r="C363" s="159"/>
      <c r="D363" s="159"/>
      <c r="E363" s="159"/>
      <c r="F363" s="159"/>
      <c r="G363" s="159"/>
      <c r="H363" s="159"/>
      <c r="I363" s="159"/>
      <c r="J363" s="159"/>
      <c r="K363" s="159"/>
      <c r="L363" s="159"/>
      <c r="M363" s="1"/>
      <c r="N363" s="1"/>
      <c r="O363" s="159"/>
      <c r="P363" s="159"/>
      <c r="Q363" s="159"/>
      <c r="R363" s="159"/>
      <c r="S363" s="159"/>
      <c r="T363" s="159"/>
      <c r="U363" s="159"/>
      <c r="V363" s="159"/>
      <c r="W363" s="159"/>
      <c r="X363" s="159"/>
      <c r="Y363" s="159"/>
      <c r="Z363" s="159"/>
      <c r="AA363" s="159"/>
      <c r="AB363" s="159"/>
      <c r="AC363" s="159"/>
      <c r="AD363" s="159"/>
      <c r="AE363" s="1"/>
    </row>
    <row r="364" spans="1:31" ht="15.75" customHeight="1">
      <c r="A364" s="159"/>
      <c r="B364" s="159"/>
      <c r="C364" s="159"/>
      <c r="D364" s="159"/>
      <c r="E364" s="159"/>
      <c r="F364" s="159"/>
      <c r="G364" s="159"/>
      <c r="H364" s="159"/>
      <c r="I364" s="159"/>
      <c r="J364" s="159"/>
      <c r="K364" s="159"/>
      <c r="L364" s="159"/>
      <c r="M364" s="1"/>
      <c r="N364" s="1"/>
      <c r="O364" s="159"/>
      <c r="P364" s="159"/>
      <c r="Q364" s="159"/>
      <c r="R364" s="159"/>
      <c r="S364" s="159"/>
      <c r="T364" s="159"/>
      <c r="U364" s="159"/>
      <c r="V364" s="159"/>
      <c r="W364" s="159"/>
      <c r="X364" s="159"/>
      <c r="Y364" s="159"/>
      <c r="Z364" s="159"/>
      <c r="AA364" s="159"/>
      <c r="AB364" s="159"/>
      <c r="AC364" s="159"/>
      <c r="AD364" s="159"/>
      <c r="AE364" s="1"/>
    </row>
    <row r="365" spans="1:31" ht="15.75" customHeight="1">
      <c r="A365" s="159"/>
      <c r="B365" s="159"/>
      <c r="C365" s="159"/>
      <c r="D365" s="159"/>
      <c r="E365" s="159"/>
      <c r="F365" s="159"/>
      <c r="G365" s="159"/>
      <c r="H365" s="159"/>
      <c r="I365" s="159"/>
      <c r="J365" s="159"/>
      <c r="K365" s="159"/>
      <c r="L365" s="159"/>
      <c r="M365" s="1"/>
      <c r="N365" s="1"/>
      <c r="O365" s="159"/>
      <c r="P365" s="159"/>
      <c r="Q365" s="159"/>
      <c r="R365" s="159"/>
      <c r="S365" s="159"/>
      <c r="T365" s="159"/>
      <c r="U365" s="159"/>
      <c r="V365" s="159"/>
      <c r="W365" s="159"/>
      <c r="X365" s="159"/>
      <c r="Y365" s="159"/>
      <c r="Z365" s="159"/>
      <c r="AA365" s="159"/>
      <c r="AB365" s="159"/>
      <c r="AC365" s="159"/>
      <c r="AD365" s="159"/>
      <c r="AE365" s="1"/>
    </row>
    <row r="366" spans="1:31" ht="15.75" customHeight="1">
      <c r="A366" s="159"/>
      <c r="B366" s="159"/>
      <c r="C366" s="159"/>
      <c r="D366" s="159"/>
      <c r="E366" s="159"/>
      <c r="F366" s="159"/>
      <c r="G366" s="159"/>
      <c r="H366" s="159"/>
      <c r="I366" s="159"/>
      <c r="J366" s="159"/>
      <c r="K366" s="159"/>
      <c r="L366" s="159"/>
      <c r="M366" s="1"/>
      <c r="N366" s="1"/>
      <c r="O366" s="159"/>
      <c r="P366" s="159"/>
      <c r="Q366" s="159"/>
      <c r="R366" s="159"/>
      <c r="S366" s="159"/>
      <c r="T366" s="159"/>
      <c r="U366" s="159"/>
      <c r="V366" s="159"/>
      <c r="W366" s="159"/>
      <c r="X366" s="159"/>
      <c r="Y366" s="159"/>
      <c r="Z366" s="159"/>
      <c r="AA366" s="159"/>
      <c r="AB366" s="159"/>
      <c r="AC366" s="159"/>
      <c r="AD366" s="159"/>
      <c r="AE366" s="1"/>
    </row>
    <row r="367" spans="1:31" ht="15.75" customHeight="1">
      <c r="A367" s="159"/>
      <c r="B367" s="159"/>
      <c r="C367" s="159"/>
      <c r="D367" s="159"/>
      <c r="E367" s="159"/>
      <c r="F367" s="159"/>
      <c r="G367" s="159"/>
      <c r="H367" s="159"/>
      <c r="I367" s="159"/>
      <c r="J367" s="159"/>
      <c r="K367" s="159"/>
      <c r="L367" s="159"/>
      <c r="M367" s="1"/>
      <c r="N367" s="1"/>
      <c r="O367" s="159"/>
      <c r="P367" s="159"/>
      <c r="Q367" s="159"/>
      <c r="R367" s="159"/>
      <c r="S367" s="159"/>
      <c r="T367" s="159"/>
      <c r="U367" s="159"/>
      <c r="V367" s="159"/>
      <c r="W367" s="159"/>
      <c r="X367" s="159"/>
      <c r="Y367" s="159"/>
      <c r="Z367" s="159"/>
      <c r="AA367" s="159"/>
      <c r="AB367" s="159"/>
      <c r="AC367" s="159"/>
      <c r="AD367" s="159"/>
      <c r="AE367" s="1"/>
    </row>
    <row r="368" spans="1:31" ht="15.75" customHeight="1">
      <c r="A368" s="159"/>
      <c r="B368" s="159"/>
      <c r="C368" s="159"/>
      <c r="D368" s="159"/>
      <c r="E368" s="159"/>
      <c r="F368" s="159"/>
      <c r="G368" s="159"/>
      <c r="H368" s="159"/>
      <c r="I368" s="159"/>
      <c r="J368" s="159"/>
      <c r="K368" s="159"/>
      <c r="L368" s="159"/>
      <c r="M368" s="1"/>
      <c r="N368" s="1"/>
      <c r="O368" s="159"/>
      <c r="P368" s="159"/>
      <c r="Q368" s="159"/>
      <c r="R368" s="159"/>
      <c r="S368" s="159"/>
      <c r="T368" s="159"/>
      <c r="U368" s="159"/>
      <c r="V368" s="159"/>
      <c r="W368" s="159"/>
      <c r="X368" s="159"/>
      <c r="Y368" s="159"/>
      <c r="Z368" s="159"/>
      <c r="AA368" s="159"/>
      <c r="AB368" s="159"/>
      <c r="AC368" s="159"/>
      <c r="AD368" s="159"/>
      <c r="AE368" s="1"/>
    </row>
    <row r="369" spans="1:31" ht="15.75" customHeight="1">
      <c r="A369" s="159"/>
      <c r="B369" s="159"/>
      <c r="C369" s="159"/>
      <c r="D369" s="159"/>
      <c r="E369" s="159"/>
      <c r="F369" s="159"/>
      <c r="G369" s="159"/>
      <c r="H369" s="159"/>
      <c r="I369" s="159"/>
      <c r="J369" s="159"/>
      <c r="K369" s="159"/>
      <c r="L369" s="159"/>
      <c r="M369" s="1"/>
      <c r="N369" s="1"/>
      <c r="O369" s="159"/>
      <c r="P369" s="159"/>
      <c r="Q369" s="159"/>
      <c r="R369" s="159"/>
      <c r="S369" s="159"/>
      <c r="T369" s="159"/>
      <c r="U369" s="159"/>
      <c r="V369" s="159"/>
      <c r="W369" s="159"/>
      <c r="X369" s="159"/>
      <c r="Y369" s="159"/>
      <c r="Z369" s="159"/>
      <c r="AA369" s="159"/>
      <c r="AB369" s="159"/>
      <c r="AC369" s="159"/>
      <c r="AD369" s="159"/>
      <c r="AE369" s="1"/>
    </row>
    <row r="370" spans="1:31" ht="15.75" customHeight="1">
      <c r="A370" s="159"/>
      <c r="B370" s="159"/>
      <c r="C370" s="159"/>
      <c r="D370" s="159"/>
      <c r="E370" s="159"/>
      <c r="F370" s="159"/>
      <c r="G370" s="159"/>
      <c r="H370" s="159"/>
      <c r="I370" s="159"/>
      <c r="J370" s="159"/>
      <c r="K370" s="159"/>
      <c r="L370" s="159"/>
      <c r="M370" s="1"/>
      <c r="N370" s="1"/>
      <c r="O370" s="159"/>
      <c r="P370" s="159"/>
      <c r="Q370" s="159"/>
      <c r="R370" s="159"/>
      <c r="S370" s="159"/>
      <c r="T370" s="159"/>
      <c r="U370" s="159"/>
      <c r="V370" s="159"/>
      <c r="W370" s="159"/>
      <c r="X370" s="159"/>
      <c r="Y370" s="159"/>
      <c r="Z370" s="159"/>
      <c r="AA370" s="159"/>
      <c r="AB370" s="159"/>
      <c r="AC370" s="159"/>
      <c r="AD370" s="159"/>
      <c r="AE370" s="1"/>
    </row>
    <row r="371" spans="1:31" ht="15.75" customHeight="1">
      <c r="A371" s="159"/>
      <c r="B371" s="159"/>
      <c r="C371" s="159"/>
      <c r="D371" s="159"/>
      <c r="E371" s="159"/>
      <c r="F371" s="159"/>
      <c r="G371" s="159"/>
      <c r="H371" s="159"/>
      <c r="I371" s="159"/>
      <c r="J371" s="159"/>
      <c r="K371" s="159"/>
      <c r="L371" s="159"/>
      <c r="M371" s="1"/>
      <c r="N371" s="1"/>
      <c r="O371" s="159"/>
      <c r="P371" s="159"/>
      <c r="Q371" s="159"/>
      <c r="R371" s="159"/>
      <c r="S371" s="159"/>
      <c r="T371" s="159"/>
      <c r="U371" s="159"/>
      <c r="V371" s="159"/>
      <c r="W371" s="159"/>
      <c r="X371" s="159"/>
      <c r="Y371" s="159"/>
      <c r="Z371" s="159"/>
      <c r="AA371" s="159"/>
      <c r="AB371" s="159"/>
      <c r="AC371" s="159"/>
      <c r="AD371" s="159"/>
      <c r="AE371" s="1"/>
    </row>
    <row r="372" spans="1:31" ht="15.75" customHeight="1">
      <c r="A372" s="159"/>
      <c r="B372" s="159"/>
      <c r="C372" s="159"/>
      <c r="D372" s="159"/>
      <c r="E372" s="159"/>
      <c r="F372" s="159"/>
      <c r="G372" s="159"/>
      <c r="H372" s="159"/>
      <c r="I372" s="159"/>
      <c r="J372" s="159"/>
      <c r="K372" s="159"/>
      <c r="L372" s="159"/>
      <c r="M372" s="1"/>
      <c r="N372" s="1"/>
      <c r="O372" s="159"/>
      <c r="P372" s="159"/>
      <c r="Q372" s="159"/>
      <c r="R372" s="159"/>
      <c r="S372" s="159"/>
      <c r="T372" s="159"/>
      <c r="U372" s="159"/>
      <c r="V372" s="159"/>
      <c r="W372" s="159"/>
      <c r="X372" s="159"/>
      <c r="Y372" s="159"/>
      <c r="Z372" s="159"/>
      <c r="AA372" s="159"/>
      <c r="AB372" s="159"/>
      <c r="AC372" s="159"/>
      <c r="AD372" s="159"/>
      <c r="AE372" s="1"/>
    </row>
    <row r="373" spans="1:31" ht="15.75" customHeight="1">
      <c r="A373" s="159"/>
      <c r="B373" s="159"/>
      <c r="C373" s="159"/>
      <c r="D373" s="159"/>
      <c r="E373" s="159"/>
      <c r="F373" s="159"/>
      <c r="G373" s="159"/>
      <c r="H373" s="159"/>
      <c r="I373" s="159"/>
      <c r="J373" s="159"/>
      <c r="K373" s="159"/>
      <c r="L373" s="159"/>
      <c r="M373" s="1"/>
      <c r="N373" s="1"/>
      <c r="O373" s="159"/>
      <c r="P373" s="159"/>
      <c r="Q373" s="159"/>
      <c r="R373" s="159"/>
      <c r="S373" s="159"/>
      <c r="T373" s="159"/>
      <c r="U373" s="159"/>
      <c r="V373" s="159"/>
      <c r="W373" s="159"/>
      <c r="X373" s="159"/>
      <c r="Y373" s="159"/>
      <c r="Z373" s="159"/>
      <c r="AA373" s="159"/>
      <c r="AB373" s="159"/>
      <c r="AC373" s="159"/>
      <c r="AD373" s="159"/>
      <c r="AE373" s="1"/>
    </row>
    <row r="374" spans="1:31" ht="15.75" customHeight="1">
      <c r="A374" s="159"/>
      <c r="B374" s="159"/>
      <c r="C374" s="159"/>
      <c r="D374" s="159"/>
      <c r="E374" s="159"/>
      <c r="F374" s="159"/>
      <c r="G374" s="159"/>
      <c r="H374" s="159"/>
      <c r="I374" s="159"/>
      <c r="J374" s="159"/>
      <c r="K374" s="159"/>
      <c r="L374" s="159"/>
      <c r="M374" s="1"/>
      <c r="N374" s="1"/>
      <c r="O374" s="159"/>
      <c r="P374" s="159"/>
      <c r="Q374" s="159"/>
      <c r="R374" s="159"/>
      <c r="S374" s="159"/>
      <c r="T374" s="159"/>
      <c r="U374" s="159"/>
      <c r="V374" s="159"/>
      <c r="W374" s="159"/>
      <c r="X374" s="159"/>
      <c r="Y374" s="159"/>
      <c r="Z374" s="159"/>
      <c r="AA374" s="159"/>
      <c r="AB374" s="159"/>
      <c r="AC374" s="159"/>
      <c r="AD374" s="159"/>
      <c r="AE374" s="1"/>
    </row>
    <row r="375" spans="1:31" ht="15.75" customHeight="1">
      <c r="A375" s="159"/>
      <c r="B375" s="159"/>
      <c r="C375" s="159"/>
      <c r="D375" s="159"/>
      <c r="E375" s="159"/>
      <c r="F375" s="159"/>
      <c r="G375" s="159"/>
      <c r="H375" s="159"/>
      <c r="I375" s="159"/>
      <c r="J375" s="159"/>
      <c r="K375" s="159"/>
      <c r="L375" s="159"/>
      <c r="M375" s="1"/>
      <c r="N375" s="1"/>
      <c r="O375" s="159"/>
      <c r="P375" s="159"/>
      <c r="Q375" s="159"/>
      <c r="R375" s="159"/>
      <c r="S375" s="159"/>
      <c r="T375" s="159"/>
      <c r="U375" s="159"/>
      <c r="V375" s="159"/>
      <c r="W375" s="159"/>
      <c r="X375" s="159"/>
      <c r="Y375" s="159"/>
      <c r="Z375" s="159"/>
      <c r="AA375" s="159"/>
      <c r="AB375" s="159"/>
      <c r="AC375" s="159"/>
      <c r="AD375" s="159"/>
      <c r="AE375" s="1"/>
    </row>
    <row r="376" spans="1:31" ht="15.75" customHeight="1">
      <c r="A376" s="159"/>
      <c r="B376" s="159"/>
      <c r="C376" s="159"/>
      <c r="D376" s="159"/>
      <c r="E376" s="159"/>
      <c r="F376" s="159"/>
      <c r="G376" s="159"/>
      <c r="H376" s="159"/>
      <c r="I376" s="159"/>
      <c r="J376" s="159"/>
      <c r="K376" s="159"/>
      <c r="L376" s="159"/>
      <c r="M376" s="1"/>
      <c r="N376" s="1"/>
      <c r="O376" s="159"/>
      <c r="P376" s="159"/>
      <c r="Q376" s="159"/>
      <c r="R376" s="159"/>
      <c r="S376" s="159"/>
      <c r="T376" s="159"/>
      <c r="U376" s="159"/>
      <c r="V376" s="159"/>
      <c r="W376" s="159"/>
      <c r="X376" s="159"/>
      <c r="Y376" s="159"/>
      <c r="Z376" s="159"/>
      <c r="AA376" s="159"/>
      <c r="AB376" s="159"/>
      <c r="AC376" s="159"/>
      <c r="AD376" s="159"/>
      <c r="AE376" s="1"/>
    </row>
    <row r="377" spans="1:31" ht="15.75" customHeight="1">
      <c r="A377" s="159"/>
      <c r="B377" s="159"/>
      <c r="C377" s="159"/>
      <c r="D377" s="159"/>
      <c r="E377" s="159"/>
      <c r="F377" s="159"/>
      <c r="G377" s="159"/>
      <c r="H377" s="159"/>
      <c r="I377" s="159"/>
      <c r="J377" s="159"/>
      <c r="K377" s="159"/>
      <c r="L377" s="159"/>
      <c r="M377" s="1"/>
      <c r="N377" s="1"/>
      <c r="O377" s="159"/>
      <c r="P377" s="159"/>
      <c r="Q377" s="159"/>
      <c r="R377" s="159"/>
      <c r="S377" s="159"/>
      <c r="T377" s="159"/>
      <c r="U377" s="159"/>
      <c r="V377" s="159"/>
      <c r="W377" s="159"/>
      <c r="X377" s="159"/>
      <c r="Y377" s="159"/>
      <c r="Z377" s="159"/>
      <c r="AA377" s="159"/>
      <c r="AB377" s="159"/>
      <c r="AC377" s="159"/>
      <c r="AD377" s="159"/>
      <c r="AE377" s="1"/>
    </row>
    <row r="378" spans="1:31" ht="15.75" customHeight="1">
      <c r="A378" s="159"/>
      <c r="B378" s="159"/>
      <c r="C378" s="159"/>
      <c r="D378" s="159"/>
      <c r="E378" s="159"/>
      <c r="F378" s="159"/>
      <c r="G378" s="159"/>
      <c r="H378" s="159"/>
      <c r="I378" s="159"/>
      <c r="J378" s="159"/>
      <c r="K378" s="159"/>
      <c r="L378" s="159"/>
      <c r="M378" s="1"/>
      <c r="N378" s="1"/>
      <c r="O378" s="159"/>
      <c r="P378" s="159"/>
      <c r="Q378" s="159"/>
      <c r="R378" s="159"/>
      <c r="S378" s="159"/>
      <c r="T378" s="159"/>
      <c r="U378" s="159"/>
      <c r="V378" s="159"/>
      <c r="W378" s="159"/>
      <c r="X378" s="159"/>
      <c r="Y378" s="159"/>
      <c r="Z378" s="159"/>
      <c r="AA378" s="159"/>
      <c r="AB378" s="159"/>
      <c r="AC378" s="159"/>
      <c r="AD378" s="159"/>
      <c r="AE378" s="1"/>
    </row>
    <row r="379" spans="1:31" ht="15.75" customHeight="1">
      <c r="A379" s="159"/>
      <c r="B379" s="159"/>
      <c r="C379" s="159"/>
      <c r="D379" s="159"/>
      <c r="E379" s="159"/>
      <c r="F379" s="159"/>
      <c r="G379" s="159"/>
      <c r="H379" s="159"/>
      <c r="I379" s="159"/>
      <c r="J379" s="159"/>
      <c r="K379" s="159"/>
      <c r="L379" s="159"/>
      <c r="M379" s="1"/>
      <c r="N379" s="1"/>
      <c r="O379" s="159"/>
      <c r="P379" s="159"/>
      <c r="Q379" s="159"/>
      <c r="R379" s="159"/>
      <c r="S379" s="159"/>
      <c r="T379" s="159"/>
      <c r="U379" s="159"/>
      <c r="V379" s="159"/>
      <c r="W379" s="159"/>
      <c r="X379" s="159"/>
      <c r="Y379" s="159"/>
      <c r="Z379" s="159"/>
      <c r="AA379" s="159"/>
      <c r="AB379" s="159"/>
      <c r="AC379" s="159"/>
      <c r="AD379" s="159"/>
      <c r="AE379" s="1"/>
    </row>
    <row r="380" spans="1:31" ht="15.75" customHeight="1">
      <c r="A380" s="159"/>
      <c r="B380" s="159"/>
      <c r="C380" s="159"/>
      <c r="D380" s="159"/>
      <c r="E380" s="159"/>
      <c r="F380" s="159"/>
      <c r="G380" s="159"/>
      <c r="H380" s="159"/>
      <c r="I380" s="159"/>
      <c r="J380" s="159"/>
      <c r="K380" s="159"/>
      <c r="L380" s="159"/>
      <c r="M380" s="1"/>
      <c r="N380" s="1"/>
      <c r="O380" s="159"/>
      <c r="P380" s="159"/>
      <c r="Q380" s="159"/>
      <c r="R380" s="159"/>
      <c r="S380" s="159"/>
      <c r="T380" s="159"/>
      <c r="U380" s="159"/>
      <c r="V380" s="159"/>
      <c r="W380" s="159"/>
      <c r="X380" s="159"/>
      <c r="Y380" s="159"/>
      <c r="Z380" s="159"/>
      <c r="AA380" s="159"/>
      <c r="AB380" s="159"/>
      <c r="AC380" s="159"/>
      <c r="AD380" s="159"/>
      <c r="AE380" s="1"/>
    </row>
    <row r="381" spans="1:31" ht="15.75" customHeight="1">
      <c r="A381" s="159"/>
      <c r="B381" s="159"/>
      <c r="C381" s="159"/>
      <c r="D381" s="159"/>
      <c r="E381" s="159"/>
      <c r="F381" s="159"/>
      <c r="G381" s="159"/>
      <c r="H381" s="159"/>
      <c r="I381" s="159"/>
      <c r="J381" s="159"/>
      <c r="K381" s="159"/>
      <c r="L381" s="159"/>
      <c r="M381" s="1"/>
      <c r="N381" s="1"/>
      <c r="O381" s="159"/>
      <c r="P381" s="159"/>
      <c r="Q381" s="159"/>
      <c r="R381" s="159"/>
      <c r="S381" s="159"/>
      <c r="T381" s="159"/>
      <c r="U381" s="159"/>
      <c r="V381" s="159"/>
      <c r="W381" s="159"/>
      <c r="X381" s="159"/>
      <c r="Y381" s="159"/>
      <c r="Z381" s="159"/>
      <c r="AA381" s="159"/>
      <c r="AB381" s="159"/>
      <c r="AC381" s="159"/>
      <c r="AD381" s="159"/>
      <c r="AE381" s="1"/>
    </row>
    <row r="382" spans="1:31" ht="15.75" customHeight="1">
      <c r="A382" s="159"/>
      <c r="B382" s="159"/>
      <c r="C382" s="159"/>
      <c r="D382" s="159"/>
      <c r="E382" s="159"/>
      <c r="F382" s="159"/>
      <c r="G382" s="159"/>
      <c r="H382" s="159"/>
      <c r="I382" s="159"/>
      <c r="J382" s="159"/>
      <c r="K382" s="159"/>
      <c r="L382" s="159"/>
      <c r="M382" s="1"/>
      <c r="N382" s="1"/>
      <c r="O382" s="159"/>
      <c r="P382" s="159"/>
      <c r="Q382" s="159"/>
      <c r="R382" s="159"/>
      <c r="S382" s="159"/>
      <c r="T382" s="159"/>
      <c r="U382" s="159"/>
      <c r="V382" s="159"/>
      <c r="W382" s="159"/>
      <c r="X382" s="159"/>
      <c r="Y382" s="159"/>
      <c r="Z382" s="159"/>
      <c r="AA382" s="159"/>
      <c r="AB382" s="159"/>
      <c r="AC382" s="159"/>
      <c r="AD382" s="159"/>
      <c r="AE382" s="1"/>
    </row>
    <row r="383" spans="1:31" ht="15.75" customHeight="1">
      <c r="A383" s="159"/>
      <c r="B383" s="159"/>
      <c r="C383" s="159"/>
      <c r="D383" s="159"/>
      <c r="E383" s="159"/>
      <c r="F383" s="159"/>
      <c r="G383" s="159"/>
      <c r="H383" s="159"/>
      <c r="I383" s="159"/>
      <c r="J383" s="159"/>
      <c r="K383" s="159"/>
      <c r="L383" s="159"/>
      <c r="M383" s="1"/>
      <c r="N383" s="1"/>
      <c r="O383" s="159"/>
      <c r="P383" s="159"/>
      <c r="Q383" s="159"/>
      <c r="R383" s="159"/>
      <c r="S383" s="159"/>
      <c r="T383" s="159"/>
      <c r="U383" s="159"/>
      <c r="V383" s="159"/>
      <c r="W383" s="159"/>
      <c r="X383" s="159"/>
      <c r="Y383" s="159"/>
      <c r="Z383" s="159"/>
      <c r="AA383" s="159"/>
      <c r="AB383" s="159"/>
      <c r="AC383" s="159"/>
      <c r="AD383" s="159"/>
      <c r="AE383" s="1"/>
    </row>
    <row r="384" spans="1:31" ht="15.75" customHeight="1">
      <c r="A384" s="159"/>
      <c r="B384" s="159"/>
      <c r="C384" s="159"/>
      <c r="D384" s="159"/>
      <c r="E384" s="159"/>
      <c r="F384" s="159"/>
      <c r="G384" s="159"/>
      <c r="H384" s="159"/>
      <c r="I384" s="159"/>
      <c r="J384" s="159"/>
      <c r="K384" s="159"/>
      <c r="L384" s="159"/>
      <c r="M384" s="1"/>
      <c r="N384" s="1"/>
      <c r="O384" s="159"/>
      <c r="P384" s="159"/>
      <c r="Q384" s="159"/>
      <c r="R384" s="159"/>
      <c r="S384" s="159"/>
      <c r="T384" s="159"/>
      <c r="U384" s="159"/>
      <c r="V384" s="159"/>
      <c r="W384" s="159"/>
      <c r="X384" s="159"/>
      <c r="Y384" s="159"/>
      <c r="Z384" s="159"/>
      <c r="AA384" s="159"/>
      <c r="AB384" s="159"/>
      <c r="AC384" s="159"/>
      <c r="AD384" s="159"/>
      <c r="AE384" s="1"/>
    </row>
    <row r="385" spans="1:31" ht="15.75" customHeight="1">
      <c r="A385" s="159"/>
      <c r="B385" s="159"/>
      <c r="C385" s="159"/>
      <c r="D385" s="159"/>
      <c r="E385" s="159"/>
      <c r="F385" s="159"/>
      <c r="G385" s="159"/>
      <c r="H385" s="159"/>
      <c r="I385" s="159"/>
      <c r="J385" s="159"/>
      <c r="K385" s="159"/>
      <c r="L385" s="159"/>
      <c r="M385" s="1"/>
      <c r="N385" s="1"/>
      <c r="O385" s="159"/>
      <c r="P385" s="159"/>
      <c r="Q385" s="159"/>
      <c r="R385" s="159"/>
      <c r="S385" s="159"/>
      <c r="T385" s="159"/>
      <c r="U385" s="159"/>
      <c r="V385" s="159"/>
      <c r="W385" s="159"/>
      <c r="X385" s="159"/>
      <c r="Y385" s="159"/>
      <c r="Z385" s="159"/>
      <c r="AA385" s="159"/>
      <c r="AB385" s="159"/>
      <c r="AC385" s="159"/>
      <c r="AD385" s="159"/>
      <c r="AE385" s="1"/>
    </row>
    <row r="386" spans="1:31" ht="15.75" customHeight="1">
      <c r="A386" s="159"/>
      <c r="B386" s="159"/>
      <c r="C386" s="159"/>
      <c r="D386" s="159"/>
      <c r="E386" s="159"/>
      <c r="F386" s="159"/>
      <c r="G386" s="159"/>
      <c r="H386" s="159"/>
      <c r="I386" s="159"/>
      <c r="J386" s="159"/>
      <c r="K386" s="159"/>
      <c r="L386" s="159"/>
      <c r="M386" s="1"/>
      <c r="N386" s="1"/>
      <c r="O386" s="159"/>
      <c r="P386" s="159"/>
      <c r="Q386" s="159"/>
      <c r="R386" s="159"/>
      <c r="S386" s="159"/>
      <c r="T386" s="159"/>
      <c r="U386" s="159"/>
      <c r="V386" s="159"/>
      <c r="W386" s="159"/>
      <c r="X386" s="159"/>
      <c r="Y386" s="159"/>
      <c r="Z386" s="159"/>
      <c r="AA386" s="159"/>
      <c r="AB386" s="159"/>
      <c r="AC386" s="159"/>
      <c r="AD386" s="159"/>
      <c r="AE386" s="1"/>
    </row>
    <row r="387" spans="1:31" ht="15.75" customHeight="1">
      <c r="A387" s="159"/>
      <c r="B387" s="159"/>
      <c r="C387" s="159"/>
      <c r="D387" s="159"/>
      <c r="E387" s="159"/>
      <c r="F387" s="159"/>
      <c r="G387" s="159"/>
      <c r="H387" s="159"/>
      <c r="I387" s="159"/>
      <c r="J387" s="159"/>
      <c r="K387" s="159"/>
      <c r="L387" s="159"/>
      <c r="M387" s="1"/>
      <c r="N387" s="1"/>
      <c r="O387" s="159"/>
      <c r="P387" s="159"/>
      <c r="Q387" s="159"/>
      <c r="R387" s="159"/>
      <c r="S387" s="159"/>
      <c r="T387" s="159"/>
      <c r="U387" s="159"/>
      <c r="V387" s="159"/>
      <c r="W387" s="159"/>
      <c r="X387" s="159"/>
      <c r="Y387" s="159"/>
      <c r="Z387" s="159"/>
      <c r="AA387" s="159"/>
      <c r="AB387" s="159"/>
      <c r="AC387" s="159"/>
      <c r="AD387" s="159"/>
      <c r="AE387" s="1"/>
    </row>
    <row r="388" spans="1:31" ht="15.75" customHeight="1">
      <c r="A388" s="159"/>
      <c r="B388" s="159"/>
      <c r="C388" s="159"/>
      <c r="D388" s="159"/>
      <c r="E388" s="159"/>
      <c r="F388" s="159"/>
      <c r="G388" s="159"/>
      <c r="H388" s="159"/>
      <c r="I388" s="159"/>
      <c r="J388" s="159"/>
      <c r="K388" s="159"/>
      <c r="L388" s="159"/>
      <c r="M388" s="1"/>
      <c r="N388" s="1"/>
      <c r="O388" s="159"/>
      <c r="P388" s="159"/>
      <c r="Q388" s="159"/>
      <c r="R388" s="159"/>
      <c r="S388" s="159"/>
      <c r="T388" s="159"/>
      <c r="U388" s="159"/>
      <c r="V388" s="159"/>
      <c r="W388" s="159"/>
      <c r="X388" s="159"/>
      <c r="Y388" s="159"/>
      <c r="Z388" s="159"/>
      <c r="AA388" s="159"/>
      <c r="AB388" s="159"/>
      <c r="AC388" s="159"/>
      <c r="AD388" s="159"/>
      <c r="AE388" s="1"/>
    </row>
    <row r="389" spans="1:31" ht="15.75" customHeight="1">
      <c r="A389" s="159"/>
      <c r="B389" s="159"/>
      <c r="C389" s="159"/>
      <c r="D389" s="159"/>
      <c r="E389" s="159"/>
      <c r="F389" s="159"/>
      <c r="G389" s="159"/>
      <c r="H389" s="159"/>
      <c r="I389" s="159"/>
      <c r="J389" s="159"/>
      <c r="K389" s="159"/>
      <c r="L389" s="159"/>
      <c r="M389" s="1"/>
      <c r="N389" s="1"/>
      <c r="O389" s="159"/>
      <c r="P389" s="159"/>
      <c r="Q389" s="159"/>
      <c r="R389" s="159"/>
      <c r="S389" s="159"/>
      <c r="T389" s="159"/>
      <c r="U389" s="159"/>
      <c r="V389" s="159"/>
      <c r="W389" s="159"/>
      <c r="X389" s="159"/>
      <c r="Y389" s="159"/>
      <c r="Z389" s="159"/>
      <c r="AA389" s="159"/>
      <c r="AB389" s="159"/>
      <c r="AC389" s="159"/>
      <c r="AD389" s="159"/>
      <c r="AE389" s="1"/>
    </row>
    <row r="390" spans="1:31" ht="15.75" customHeight="1">
      <c r="A390" s="159"/>
      <c r="B390" s="159"/>
      <c r="C390" s="159"/>
      <c r="D390" s="159"/>
      <c r="E390" s="159"/>
      <c r="F390" s="159"/>
      <c r="G390" s="159"/>
      <c r="H390" s="159"/>
      <c r="I390" s="159"/>
      <c r="J390" s="159"/>
      <c r="K390" s="159"/>
      <c r="L390" s="159"/>
      <c r="M390" s="1"/>
      <c r="N390" s="1"/>
      <c r="O390" s="159"/>
      <c r="P390" s="159"/>
      <c r="Q390" s="159"/>
      <c r="R390" s="159"/>
      <c r="S390" s="159"/>
      <c r="T390" s="159"/>
      <c r="U390" s="159"/>
      <c r="V390" s="159"/>
      <c r="W390" s="159"/>
      <c r="X390" s="159"/>
      <c r="Y390" s="159"/>
      <c r="Z390" s="159"/>
      <c r="AA390" s="159"/>
      <c r="AB390" s="159"/>
      <c r="AC390" s="159"/>
      <c r="AD390" s="159"/>
      <c r="AE390" s="1"/>
    </row>
    <row r="391" spans="1:3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 ht="20.25" customHeight="1" thickBot="1">
      <c r="A398" s="151" t="s">
        <v>13</v>
      </c>
      <c r="B398" s="151"/>
      <c r="C398" s="151"/>
      <c r="D398" s="151"/>
      <c r="E398" s="151"/>
      <c r="F398" s="3"/>
      <c r="G398" s="4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1"/>
      <c r="Z398" s="1"/>
      <c r="AA398" s="1"/>
      <c r="AB398" s="1"/>
      <c r="AC398" s="1"/>
      <c r="AD398" s="1"/>
      <c r="AE398" s="1"/>
    </row>
    <row r="399" spans="1:31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 ht="15.75" customHeight="1">
      <c r="A400" s="168" t="s">
        <v>33</v>
      </c>
      <c r="B400" s="168"/>
      <c r="C400" s="168"/>
      <c r="D400" s="14"/>
      <c r="E400" s="14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3" ht="15.75" customHeight="1">
      <c r="A401" s="167" t="s">
        <v>37</v>
      </c>
      <c r="B401" s="167"/>
      <c r="C401" s="167"/>
      <c r="D401" s="14"/>
      <c r="E401" s="14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43" ht="15.75" customHeight="1">
      <c r="A402" s="163" t="s">
        <v>38</v>
      </c>
      <c r="B402" s="163"/>
      <c r="C402" s="163"/>
      <c r="D402" s="14"/>
      <c r="E402" s="14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3" ht="15.75" customHeight="1">
      <c r="A403" s="162" t="s">
        <v>39</v>
      </c>
      <c r="B403" s="162"/>
      <c r="C403" s="162"/>
      <c r="D403" s="14"/>
      <c r="E403" s="14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43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43" s="33" customFormat="1" ht="15">
      <c r="A405" s="169" t="s">
        <v>79</v>
      </c>
      <c r="B405" s="169"/>
      <c r="C405" s="169"/>
      <c r="D405" s="34" t="s">
        <v>74</v>
      </c>
      <c r="E405" s="34" t="s">
        <v>84</v>
      </c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1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1:43" ht="15.75" customHeight="1">
      <c r="A406" s="153" t="s">
        <v>80</v>
      </c>
      <c r="B406" s="153"/>
      <c r="C406" s="153"/>
      <c r="D406" s="29"/>
      <c r="E406" s="2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43" ht="15.75" customHeight="1">
      <c r="A407" s="153" t="s">
        <v>81</v>
      </c>
      <c r="B407" s="153"/>
      <c r="C407" s="153"/>
      <c r="D407" s="29"/>
      <c r="E407" s="2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43" ht="15.75" customHeight="1">
      <c r="A408" s="153" t="s">
        <v>82</v>
      </c>
      <c r="B408" s="153"/>
      <c r="C408" s="153"/>
      <c r="D408" s="29"/>
      <c r="E408" s="2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43" ht="15.75" customHeight="1">
      <c r="A409" s="153" t="s">
        <v>83</v>
      </c>
      <c r="B409" s="153"/>
      <c r="C409" s="153"/>
      <c r="D409" s="29"/>
      <c r="E409" s="2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43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43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32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</row>
    <row r="412" spans="1:43" ht="15.75" customHeight="1">
      <c r="A412" s="152" t="s">
        <v>42</v>
      </c>
      <c r="B412" s="152"/>
      <c r="C412" s="152"/>
      <c r="D412" s="1"/>
      <c r="E412" s="1"/>
      <c r="F412" s="1"/>
      <c r="G412" s="1"/>
      <c r="H412" s="1"/>
      <c r="I412" s="1"/>
      <c r="K412" s="14"/>
      <c r="L412" s="14"/>
      <c r="M412" s="1"/>
      <c r="N412" s="1"/>
      <c r="O412" s="152" t="s">
        <v>43</v>
      </c>
      <c r="P412" s="152"/>
      <c r="Q412" s="152"/>
      <c r="R412" s="152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4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3" ht="15.75" customHeight="1">
      <c r="A414" s="159"/>
      <c r="B414" s="159"/>
      <c r="C414" s="159"/>
      <c r="D414" s="159"/>
      <c r="E414" s="159"/>
      <c r="F414" s="159"/>
      <c r="G414" s="159"/>
      <c r="H414" s="159"/>
      <c r="I414" s="159"/>
      <c r="J414" s="159"/>
      <c r="K414" s="159"/>
      <c r="L414" s="159"/>
      <c r="M414" s="1"/>
      <c r="N414" s="1"/>
      <c r="O414" s="159"/>
      <c r="P414" s="159"/>
      <c r="Q414" s="159"/>
      <c r="R414" s="159"/>
      <c r="S414" s="159"/>
      <c r="T414" s="159"/>
      <c r="U414" s="159"/>
      <c r="V414" s="159"/>
      <c r="W414" s="159"/>
      <c r="X414" s="159"/>
      <c r="Y414" s="159"/>
      <c r="Z414" s="159"/>
      <c r="AA414" s="159"/>
      <c r="AB414" s="159"/>
      <c r="AC414" s="159"/>
      <c r="AD414" s="159"/>
      <c r="AE414" s="1"/>
    </row>
    <row r="415" spans="1:43" ht="15.75" customHeight="1">
      <c r="A415" s="159"/>
      <c r="B415" s="159"/>
      <c r="C415" s="159"/>
      <c r="D415" s="159"/>
      <c r="E415" s="159"/>
      <c r="F415" s="159"/>
      <c r="G415" s="159"/>
      <c r="H415" s="159"/>
      <c r="I415" s="159"/>
      <c r="J415" s="159"/>
      <c r="K415" s="159"/>
      <c r="L415" s="159"/>
      <c r="M415" s="1"/>
      <c r="N415" s="1"/>
      <c r="O415" s="159"/>
      <c r="P415" s="159"/>
      <c r="Q415" s="159"/>
      <c r="R415" s="159"/>
      <c r="S415" s="159"/>
      <c r="T415" s="159"/>
      <c r="U415" s="159"/>
      <c r="V415" s="159"/>
      <c r="W415" s="159"/>
      <c r="X415" s="159"/>
      <c r="Y415" s="159"/>
      <c r="Z415" s="159"/>
      <c r="AA415" s="159"/>
      <c r="AB415" s="159"/>
      <c r="AC415" s="159"/>
      <c r="AD415" s="159"/>
      <c r="AE415" s="1"/>
    </row>
    <row r="416" spans="1:43" ht="15.75" customHeight="1">
      <c r="A416" s="159"/>
      <c r="B416" s="159"/>
      <c r="C416" s="159"/>
      <c r="D416" s="159"/>
      <c r="E416" s="159"/>
      <c r="F416" s="159"/>
      <c r="G416" s="159"/>
      <c r="H416" s="159"/>
      <c r="I416" s="159"/>
      <c r="J416" s="159"/>
      <c r="K416" s="159"/>
      <c r="L416" s="159"/>
      <c r="M416" s="1"/>
      <c r="N416" s="1"/>
      <c r="O416" s="159"/>
      <c r="P416" s="159"/>
      <c r="Q416" s="159"/>
      <c r="R416" s="159"/>
      <c r="S416" s="159"/>
      <c r="T416" s="159"/>
      <c r="U416" s="159"/>
      <c r="V416" s="159"/>
      <c r="W416" s="159"/>
      <c r="X416" s="159"/>
      <c r="Y416" s="159"/>
      <c r="Z416" s="159"/>
      <c r="AA416" s="159"/>
      <c r="AB416" s="159"/>
      <c r="AC416" s="159"/>
      <c r="AD416" s="159"/>
      <c r="AE416" s="1"/>
    </row>
    <row r="417" spans="1:31" ht="15.75" customHeight="1">
      <c r="A417" s="159"/>
      <c r="B417" s="159"/>
      <c r="C417" s="159"/>
      <c r="D417" s="159"/>
      <c r="E417" s="159"/>
      <c r="F417" s="159"/>
      <c r="G417" s="159"/>
      <c r="H417" s="159"/>
      <c r="I417" s="159"/>
      <c r="J417" s="159"/>
      <c r="K417" s="159"/>
      <c r="L417" s="159"/>
      <c r="M417" s="1"/>
      <c r="N417" s="1"/>
      <c r="O417" s="159"/>
      <c r="P417" s="159"/>
      <c r="Q417" s="159"/>
      <c r="R417" s="159"/>
      <c r="S417" s="159"/>
      <c r="T417" s="159"/>
      <c r="U417" s="159"/>
      <c r="V417" s="159"/>
      <c r="W417" s="159"/>
      <c r="X417" s="159"/>
      <c r="Y417" s="159"/>
      <c r="Z417" s="159"/>
      <c r="AA417" s="159"/>
      <c r="AB417" s="159"/>
      <c r="AC417" s="159"/>
      <c r="AD417" s="159"/>
      <c r="AE417" s="1"/>
    </row>
    <row r="418" spans="1:31" ht="15.75" customHeight="1">
      <c r="A418" s="159"/>
      <c r="B418" s="159"/>
      <c r="C418" s="159"/>
      <c r="D418" s="159"/>
      <c r="E418" s="159"/>
      <c r="F418" s="159"/>
      <c r="G418" s="159"/>
      <c r="H418" s="159"/>
      <c r="I418" s="159"/>
      <c r="J418" s="159"/>
      <c r="K418" s="159"/>
      <c r="L418" s="159"/>
      <c r="M418" s="1"/>
      <c r="N418" s="1"/>
      <c r="O418" s="159"/>
      <c r="P418" s="159"/>
      <c r="Q418" s="159"/>
      <c r="R418" s="159"/>
      <c r="S418" s="159"/>
      <c r="T418" s="159"/>
      <c r="U418" s="159"/>
      <c r="V418" s="159"/>
      <c r="W418" s="159"/>
      <c r="X418" s="159"/>
      <c r="Y418" s="159"/>
      <c r="Z418" s="159"/>
      <c r="AA418" s="159"/>
      <c r="AB418" s="159"/>
      <c r="AC418" s="159"/>
      <c r="AD418" s="159"/>
      <c r="AE418" s="1"/>
    </row>
    <row r="419" spans="1:31" ht="15.75" customHeight="1">
      <c r="A419" s="159"/>
      <c r="B419" s="159"/>
      <c r="C419" s="159"/>
      <c r="D419" s="159"/>
      <c r="E419" s="159"/>
      <c r="F419" s="159"/>
      <c r="G419" s="159"/>
      <c r="H419" s="159"/>
      <c r="I419" s="159"/>
      <c r="J419" s="159"/>
      <c r="K419" s="159"/>
      <c r="L419" s="159"/>
      <c r="M419" s="1"/>
      <c r="N419" s="1"/>
      <c r="O419" s="159"/>
      <c r="P419" s="159"/>
      <c r="Q419" s="159"/>
      <c r="R419" s="159"/>
      <c r="S419" s="159"/>
      <c r="T419" s="159"/>
      <c r="U419" s="159"/>
      <c r="V419" s="159"/>
      <c r="W419" s="159"/>
      <c r="X419" s="159"/>
      <c r="Y419" s="159"/>
      <c r="Z419" s="159"/>
      <c r="AA419" s="159"/>
      <c r="AB419" s="159"/>
      <c r="AC419" s="159"/>
      <c r="AD419" s="159"/>
      <c r="AE419" s="1"/>
    </row>
    <row r="420" spans="1:31" ht="15.75" customHeight="1">
      <c r="A420" s="159"/>
      <c r="B420" s="159"/>
      <c r="C420" s="159"/>
      <c r="D420" s="159"/>
      <c r="E420" s="159"/>
      <c r="F420" s="159"/>
      <c r="G420" s="159"/>
      <c r="H420" s="159"/>
      <c r="I420" s="159"/>
      <c r="J420" s="159"/>
      <c r="K420" s="159"/>
      <c r="L420" s="159"/>
      <c r="M420" s="1"/>
      <c r="N420" s="1"/>
      <c r="O420" s="159"/>
      <c r="P420" s="159"/>
      <c r="Q420" s="159"/>
      <c r="R420" s="159"/>
      <c r="S420" s="159"/>
      <c r="T420" s="159"/>
      <c r="U420" s="159"/>
      <c r="V420" s="159"/>
      <c r="W420" s="159"/>
      <c r="X420" s="159"/>
      <c r="Y420" s="159"/>
      <c r="Z420" s="159"/>
      <c r="AA420" s="159"/>
      <c r="AB420" s="159"/>
      <c r="AC420" s="159"/>
      <c r="AD420" s="159"/>
      <c r="AE420" s="1"/>
    </row>
    <row r="421" spans="1:31" ht="15.75" customHeight="1">
      <c r="A421" s="159"/>
      <c r="B421" s="159"/>
      <c r="C421" s="159"/>
      <c r="D421" s="159"/>
      <c r="E421" s="159"/>
      <c r="F421" s="159"/>
      <c r="G421" s="159"/>
      <c r="H421" s="159"/>
      <c r="I421" s="159"/>
      <c r="J421" s="159"/>
      <c r="K421" s="159"/>
      <c r="L421" s="159"/>
      <c r="M421" s="1"/>
      <c r="N421" s="1"/>
      <c r="O421" s="159"/>
      <c r="P421" s="159"/>
      <c r="Q421" s="159"/>
      <c r="R421" s="159"/>
      <c r="S421" s="159"/>
      <c r="T421" s="159"/>
      <c r="U421" s="159"/>
      <c r="V421" s="159"/>
      <c r="W421" s="159"/>
      <c r="X421" s="159"/>
      <c r="Y421" s="159"/>
      <c r="Z421" s="159"/>
      <c r="AA421" s="159"/>
      <c r="AB421" s="159"/>
      <c r="AC421" s="159"/>
      <c r="AD421" s="159"/>
      <c r="AE421" s="1"/>
    </row>
    <row r="422" spans="1:31" ht="15.75" customHeight="1">
      <c r="A422" s="159"/>
      <c r="B422" s="159"/>
      <c r="C422" s="159"/>
      <c r="D422" s="159"/>
      <c r="E422" s="159"/>
      <c r="F422" s="159"/>
      <c r="G422" s="159"/>
      <c r="H422" s="159"/>
      <c r="I422" s="159"/>
      <c r="J422" s="159"/>
      <c r="K422" s="159"/>
      <c r="L422" s="159"/>
      <c r="M422" s="1"/>
      <c r="N422" s="1"/>
      <c r="O422" s="159"/>
      <c r="P422" s="159"/>
      <c r="Q422" s="159"/>
      <c r="R422" s="159"/>
      <c r="S422" s="159"/>
      <c r="T422" s="159"/>
      <c r="U422" s="159"/>
      <c r="V422" s="159"/>
      <c r="W422" s="159"/>
      <c r="X422" s="159"/>
      <c r="Y422" s="159"/>
      <c r="Z422" s="159"/>
      <c r="AA422" s="159"/>
      <c r="AB422" s="159"/>
      <c r="AC422" s="159"/>
      <c r="AD422" s="159"/>
      <c r="AE422" s="1"/>
    </row>
    <row r="423" spans="1:31" ht="15.75" customHeight="1">
      <c r="A423" s="159"/>
      <c r="B423" s="159"/>
      <c r="C423" s="159"/>
      <c r="D423" s="159"/>
      <c r="E423" s="159"/>
      <c r="F423" s="159"/>
      <c r="G423" s="159"/>
      <c r="H423" s="159"/>
      <c r="I423" s="159"/>
      <c r="J423" s="159"/>
      <c r="K423" s="159"/>
      <c r="L423" s="159"/>
      <c r="M423" s="1"/>
      <c r="N423" s="1"/>
      <c r="O423" s="159"/>
      <c r="P423" s="159"/>
      <c r="Q423" s="159"/>
      <c r="R423" s="159"/>
      <c r="S423" s="159"/>
      <c r="T423" s="159"/>
      <c r="U423" s="159"/>
      <c r="V423" s="159"/>
      <c r="W423" s="159"/>
      <c r="X423" s="159"/>
      <c r="Y423" s="159"/>
      <c r="Z423" s="159"/>
      <c r="AA423" s="159"/>
      <c r="AB423" s="159"/>
      <c r="AC423" s="159"/>
      <c r="AD423" s="159"/>
      <c r="AE423" s="1"/>
    </row>
    <row r="424" spans="1:31" ht="15.75" customHeight="1">
      <c r="A424" s="159"/>
      <c r="B424" s="159"/>
      <c r="C424" s="159"/>
      <c r="D424" s="159"/>
      <c r="E424" s="159"/>
      <c r="F424" s="159"/>
      <c r="G424" s="159"/>
      <c r="H424" s="159"/>
      <c r="I424" s="159"/>
      <c r="J424" s="159"/>
      <c r="K424" s="159"/>
      <c r="L424" s="159"/>
      <c r="M424" s="1"/>
      <c r="N424" s="1"/>
      <c r="O424" s="159"/>
      <c r="P424" s="159"/>
      <c r="Q424" s="159"/>
      <c r="R424" s="159"/>
      <c r="S424" s="159"/>
      <c r="T424" s="159"/>
      <c r="U424" s="159"/>
      <c r="V424" s="159"/>
      <c r="W424" s="159"/>
      <c r="X424" s="159"/>
      <c r="Y424" s="159"/>
      <c r="Z424" s="159"/>
      <c r="AA424" s="159"/>
      <c r="AB424" s="159"/>
      <c r="AC424" s="159"/>
      <c r="AD424" s="159"/>
      <c r="AE424" s="1"/>
    </row>
    <row r="425" spans="1:31" ht="15.75" customHeight="1">
      <c r="A425" s="159"/>
      <c r="B425" s="159"/>
      <c r="C425" s="159"/>
      <c r="D425" s="159"/>
      <c r="E425" s="159"/>
      <c r="F425" s="159"/>
      <c r="G425" s="159"/>
      <c r="H425" s="159"/>
      <c r="I425" s="159"/>
      <c r="J425" s="159"/>
      <c r="K425" s="159"/>
      <c r="L425" s="159"/>
      <c r="M425" s="1"/>
      <c r="N425" s="1"/>
      <c r="O425" s="159"/>
      <c r="P425" s="159"/>
      <c r="Q425" s="159"/>
      <c r="R425" s="159"/>
      <c r="S425" s="159"/>
      <c r="T425" s="159"/>
      <c r="U425" s="159"/>
      <c r="V425" s="159"/>
      <c r="W425" s="159"/>
      <c r="X425" s="159"/>
      <c r="Y425" s="159"/>
      <c r="Z425" s="159"/>
      <c r="AA425" s="159"/>
      <c r="AB425" s="159"/>
      <c r="AC425" s="159"/>
      <c r="AD425" s="159"/>
      <c r="AE425" s="1"/>
    </row>
    <row r="426" spans="1:31" ht="15.75" customHeight="1">
      <c r="A426" s="159"/>
      <c r="B426" s="159"/>
      <c r="C426" s="159"/>
      <c r="D426" s="159"/>
      <c r="E426" s="159"/>
      <c r="F426" s="159"/>
      <c r="G426" s="159"/>
      <c r="H426" s="159"/>
      <c r="I426" s="159"/>
      <c r="J426" s="159"/>
      <c r="K426" s="159"/>
      <c r="L426" s="159"/>
      <c r="M426" s="1"/>
      <c r="N426" s="1"/>
      <c r="O426" s="159"/>
      <c r="P426" s="159"/>
      <c r="Q426" s="159"/>
      <c r="R426" s="159"/>
      <c r="S426" s="159"/>
      <c r="T426" s="159"/>
      <c r="U426" s="159"/>
      <c r="V426" s="159"/>
      <c r="W426" s="159"/>
      <c r="X426" s="159"/>
      <c r="Y426" s="159"/>
      <c r="Z426" s="159"/>
      <c r="AA426" s="159"/>
      <c r="AB426" s="159"/>
      <c r="AC426" s="159"/>
      <c r="AD426" s="159"/>
      <c r="AE426" s="1"/>
    </row>
    <row r="427" spans="1:31" ht="15.75" customHeight="1">
      <c r="A427" s="159"/>
      <c r="B427" s="159"/>
      <c r="C427" s="159"/>
      <c r="D427" s="159"/>
      <c r="E427" s="159"/>
      <c r="F427" s="159"/>
      <c r="G427" s="159"/>
      <c r="H427" s="159"/>
      <c r="I427" s="159"/>
      <c r="J427" s="159"/>
      <c r="K427" s="159"/>
      <c r="L427" s="159"/>
      <c r="M427" s="1"/>
      <c r="N427" s="1"/>
      <c r="O427" s="159"/>
      <c r="P427" s="159"/>
      <c r="Q427" s="159"/>
      <c r="R427" s="159"/>
      <c r="S427" s="159"/>
      <c r="T427" s="159"/>
      <c r="U427" s="159"/>
      <c r="V427" s="159"/>
      <c r="W427" s="159"/>
      <c r="X427" s="159"/>
      <c r="Y427" s="159"/>
      <c r="Z427" s="159"/>
      <c r="AA427" s="159"/>
      <c r="AB427" s="159"/>
      <c r="AC427" s="159"/>
      <c r="AD427" s="159"/>
      <c r="AE427" s="1"/>
    </row>
    <row r="428" spans="1:31" ht="15.75" customHeight="1">
      <c r="A428" s="159"/>
      <c r="B428" s="159"/>
      <c r="C428" s="159"/>
      <c r="D428" s="159"/>
      <c r="E428" s="159"/>
      <c r="F428" s="159"/>
      <c r="G428" s="159"/>
      <c r="H428" s="159"/>
      <c r="I428" s="159"/>
      <c r="J428" s="159"/>
      <c r="K428" s="159"/>
      <c r="L428" s="159"/>
      <c r="M428" s="1"/>
      <c r="N428" s="1"/>
      <c r="O428" s="159"/>
      <c r="P428" s="159"/>
      <c r="Q428" s="159"/>
      <c r="R428" s="159"/>
      <c r="S428" s="159"/>
      <c r="T428" s="159"/>
      <c r="U428" s="159"/>
      <c r="V428" s="159"/>
      <c r="W428" s="159"/>
      <c r="X428" s="159"/>
      <c r="Y428" s="159"/>
      <c r="Z428" s="159"/>
      <c r="AA428" s="159"/>
      <c r="AB428" s="159"/>
      <c r="AC428" s="159"/>
      <c r="AD428" s="159"/>
      <c r="AE428" s="1"/>
    </row>
    <row r="429" spans="1:31" ht="15.75" customHeight="1">
      <c r="A429" s="159"/>
      <c r="B429" s="159"/>
      <c r="C429" s="159"/>
      <c r="D429" s="159"/>
      <c r="E429" s="159"/>
      <c r="F429" s="159"/>
      <c r="G429" s="159"/>
      <c r="H429" s="159"/>
      <c r="I429" s="159"/>
      <c r="J429" s="159"/>
      <c r="K429" s="159"/>
      <c r="L429" s="159"/>
      <c r="M429" s="1"/>
      <c r="N429" s="1"/>
      <c r="O429" s="159"/>
      <c r="P429" s="159"/>
      <c r="Q429" s="159"/>
      <c r="R429" s="159"/>
      <c r="S429" s="159"/>
      <c r="T429" s="159"/>
      <c r="U429" s="159"/>
      <c r="V429" s="159"/>
      <c r="W429" s="159"/>
      <c r="X429" s="159"/>
      <c r="Y429" s="159"/>
      <c r="Z429" s="159"/>
      <c r="AA429" s="159"/>
      <c r="AB429" s="159"/>
      <c r="AC429" s="159"/>
      <c r="AD429" s="159"/>
      <c r="AE429" s="1"/>
    </row>
    <row r="430" spans="1:31" ht="15.75" customHeight="1">
      <c r="A430" s="159"/>
      <c r="B430" s="159"/>
      <c r="C430" s="159"/>
      <c r="D430" s="159"/>
      <c r="E430" s="159"/>
      <c r="F430" s="159"/>
      <c r="G430" s="159"/>
      <c r="H430" s="159"/>
      <c r="I430" s="159"/>
      <c r="J430" s="159"/>
      <c r="K430" s="159"/>
      <c r="L430" s="159"/>
      <c r="M430" s="1"/>
      <c r="N430" s="1"/>
      <c r="O430" s="159"/>
      <c r="P430" s="159"/>
      <c r="Q430" s="159"/>
      <c r="R430" s="159"/>
      <c r="S430" s="159"/>
      <c r="T430" s="159"/>
      <c r="U430" s="159"/>
      <c r="V430" s="159"/>
      <c r="W430" s="159"/>
      <c r="X430" s="159"/>
      <c r="Y430" s="159"/>
      <c r="Z430" s="159"/>
      <c r="AA430" s="159"/>
      <c r="AB430" s="159"/>
      <c r="AC430" s="159"/>
      <c r="AD430" s="159"/>
      <c r="AE430" s="1"/>
    </row>
    <row r="431" spans="1:31" ht="15.75" customHeight="1">
      <c r="A431" s="159"/>
      <c r="B431" s="159"/>
      <c r="C431" s="159"/>
      <c r="D431" s="159"/>
      <c r="E431" s="159"/>
      <c r="F431" s="159"/>
      <c r="G431" s="159"/>
      <c r="H431" s="159"/>
      <c r="I431" s="159"/>
      <c r="J431" s="159"/>
      <c r="K431" s="159"/>
      <c r="L431" s="159"/>
      <c r="M431" s="1"/>
      <c r="N431" s="1"/>
      <c r="O431" s="159"/>
      <c r="P431" s="159"/>
      <c r="Q431" s="159"/>
      <c r="R431" s="159"/>
      <c r="S431" s="159"/>
      <c r="T431" s="159"/>
      <c r="U431" s="159"/>
      <c r="V431" s="159"/>
      <c r="W431" s="159"/>
      <c r="X431" s="159"/>
      <c r="Y431" s="159"/>
      <c r="Z431" s="159"/>
      <c r="AA431" s="159"/>
      <c r="AB431" s="159"/>
      <c r="AC431" s="159"/>
      <c r="AD431" s="159"/>
      <c r="AE431" s="1"/>
    </row>
    <row r="432" spans="1:31" ht="15.75" customHeight="1">
      <c r="A432" s="159"/>
      <c r="B432" s="159"/>
      <c r="C432" s="159"/>
      <c r="D432" s="159"/>
      <c r="E432" s="159"/>
      <c r="F432" s="159"/>
      <c r="G432" s="159"/>
      <c r="H432" s="159"/>
      <c r="I432" s="159"/>
      <c r="J432" s="159"/>
      <c r="K432" s="159"/>
      <c r="L432" s="159"/>
      <c r="M432" s="1"/>
      <c r="N432" s="1"/>
      <c r="O432" s="159"/>
      <c r="P432" s="159"/>
      <c r="Q432" s="159"/>
      <c r="R432" s="159"/>
      <c r="S432" s="159"/>
      <c r="T432" s="159"/>
      <c r="U432" s="159"/>
      <c r="V432" s="159"/>
      <c r="W432" s="159"/>
      <c r="X432" s="159"/>
      <c r="Y432" s="159"/>
      <c r="Z432" s="159"/>
      <c r="AA432" s="159"/>
      <c r="AB432" s="159"/>
      <c r="AC432" s="159"/>
      <c r="AD432" s="159"/>
      <c r="AE432" s="1"/>
    </row>
    <row r="433" spans="1:31" ht="15.75" customHeight="1">
      <c r="A433" s="159"/>
      <c r="B433" s="159"/>
      <c r="C433" s="159"/>
      <c r="D433" s="159"/>
      <c r="E433" s="159"/>
      <c r="F433" s="159"/>
      <c r="G433" s="159"/>
      <c r="H433" s="159"/>
      <c r="I433" s="159"/>
      <c r="J433" s="159"/>
      <c r="K433" s="159"/>
      <c r="L433" s="159"/>
      <c r="M433" s="1"/>
      <c r="N433" s="1"/>
      <c r="O433" s="159"/>
      <c r="P433" s="159"/>
      <c r="Q433" s="159"/>
      <c r="R433" s="159"/>
      <c r="S433" s="159"/>
      <c r="T433" s="159"/>
      <c r="U433" s="159"/>
      <c r="V433" s="159"/>
      <c r="W433" s="159"/>
      <c r="X433" s="159"/>
      <c r="Y433" s="159"/>
      <c r="Z433" s="159"/>
      <c r="AA433" s="159"/>
      <c r="AB433" s="159"/>
      <c r="AC433" s="159"/>
      <c r="AD433" s="159"/>
      <c r="AE433" s="1"/>
    </row>
    <row r="434" spans="1:31" ht="15.75" customHeight="1">
      <c r="A434" s="159"/>
      <c r="B434" s="159"/>
      <c r="C434" s="159"/>
      <c r="D434" s="159"/>
      <c r="E434" s="159"/>
      <c r="F434" s="159"/>
      <c r="G434" s="159"/>
      <c r="H434" s="159"/>
      <c r="I434" s="159"/>
      <c r="J434" s="159"/>
      <c r="K434" s="159"/>
      <c r="L434" s="159"/>
      <c r="M434" s="1"/>
      <c r="N434" s="1"/>
      <c r="O434" s="159"/>
      <c r="P434" s="159"/>
      <c r="Q434" s="159"/>
      <c r="R434" s="159"/>
      <c r="S434" s="159"/>
      <c r="T434" s="159"/>
      <c r="U434" s="159"/>
      <c r="V434" s="159"/>
      <c r="W434" s="159"/>
      <c r="X434" s="159"/>
      <c r="Y434" s="159"/>
      <c r="Z434" s="159"/>
      <c r="AA434" s="159"/>
      <c r="AB434" s="159"/>
      <c r="AC434" s="159"/>
      <c r="AD434" s="159"/>
      <c r="AE434" s="1"/>
    </row>
    <row r="435" spans="1:31" ht="15.75" customHeight="1">
      <c r="A435" s="159"/>
      <c r="B435" s="159"/>
      <c r="C435" s="159"/>
      <c r="D435" s="159"/>
      <c r="E435" s="159"/>
      <c r="F435" s="159"/>
      <c r="G435" s="159"/>
      <c r="H435" s="159"/>
      <c r="I435" s="159"/>
      <c r="J435" s="159"/>
      <c r="K435" s="159"/>
      <c r="L435" s="159"/>
      <c r="M435" s="1"/>
      <c r="N435" s="1"/>
      <c r="O435" s="159"/>
      <c r="P435" s="159"/>
      <c r="Q435" s="159"/>
      <c r="R435" s="159"/>
      <c r="S435" s="159"/>
      <c r="T435" s="159"/>
      <c r="U435" s="159"/>
      <c r="V435" s="159"/>
      <c r="W435" s="159"/>
      <c r="X435" s="159"/>
      <c r="Y435" s="159"/>
      <c r="Z435" s="159"/>
      <c r="AA435" s="159"/>
      <c r="AB435" s="159"/>
      <c r="AC435" s="159"/>
      <c r="AD435" s="159"/>
      <c r="AE435" s="1"/>
    </row>
    <row r="436" spans="1:31" ht="15.75" customHeight="1">
      <c r="A436" s="159"/>
      <c r="B436" s="159"/>
      <c r="C436" s="159"/>
      <c r="D436" s="159"/>
      <c r="E436" s="159"/>
      <c r="F436" s="159"/>
      <c r="G436" s="159"/>
      <c r="H436" s="159"/>
      <c r="I436" s="159"/>
      <c r="J436" s="159"/>
      <c r="K436" s="159"/>
      <c r="L436" s="159"/>
      <c r="M436" s="1"/>
      <c r="N436" s="1"/>
      <c r="O436" s="159"/>
      <c r="P436" s="159"/>
      <c r="Q436" s="159"/>
      <c r="R436" s="159"/>
      <c r="S436" s="159"/>
      <c r="T436" s="159"/>
      <c r="U436" s="159"/>
      <c r="V436" s="159"/>
      <c r="W436" s="159"/>
      <c r="X436" s="159"/>
      <c r="Y436" s="159"/>
      <c r="Z436" s="159"/>
      <c r="AA436" s="159"/>
      <c r="AB436" s="159"/>
      <c r="AC436" s="159"/>
      <c r="AD436" s="159"/>
      <c r="AE436" s="1"/>
    </row>
    <row r="437" spans="1:31" ht="15.75" customHeight="1">
      <c r="A437" s="159"/>
      <c r="B437" s="159"/>
      <c r="C437" s="159"/>
      <c r="D437" s="159"/>
      <c r="E437" s="159"/>
      <c r="F437" s="159"/>
      <c r="G437" s="159"/>
      <c r="H437" s="159"/>
      <c r="I437" s="159"/>
      <c r="J437" s="159"/>
      <c r="K437" s="159"/>
      <c r="L437" s="159"/>
      <c r="M437" s="1"/>
      <c r="N437" s="1"/>
      <c r="O437" s="159"/>
      <c r="P437" s="159"/>
      <c r="Q437" s="159"/>
      <c r="R437" s="159"/>
      <c r="S437" s="159"/>
      <c r="T437" s="159"/>
      <c r="U437" s="159"/>
      <c r="V437" s="159"/>
      <c r="W437" s="159"/>
      <c r="X437" s="159"/>
      <c r="Y437" s="159"/>
      <c r="Z437" s="159"/>
      <c r="AA437" s="159"/>
      <c r="AB437" s="159"/>
      <c r="AC437" s="159"/>
      <c r="AD437" s="159"/>
      <c r="AE437" s="1"/>
    </row>
    <row r="438" spans="1:31" ht="15.75" customHeight="1">
      <c r="A438" s="159"/>
      <c r="B438" s="159"/>
      <c r="C438" s="159"/>
      <c r="D438" s="159"/>
      <c r="E438" s="159"/>
      <c r="F438" s="159"/>
      <c r="G438" s="159"/>
      <c r="H438" s="159"/>
      <c r="I438" s="159"/>
      <c r="J438" s="159"/>
      <c r="K438" s="159"/>
      <c r="L438" s="159"/>
      <c r="M438" s="1"/>
      <c r="N438" s="1"/>
      <c r="O438" s="159"/>
      <c r="P438" s="159"/>
      <c r="Q438" s="159"/>
      <c r="R438" s="159"/>
      <c r="S438" s="159"/>
      <c r="T438" s="159"/>
      <c r="U438" s="159"/>
      <c r="V438" s="159"/>
      <c r="W438" s="159"/>
      <c r="X438" s="159"/>
      <c r="Y438" s="159"/>
      <c r="Z438" s="159"/>
      <c r="AA438" s="159"/>
      <c r="AB438" s="159"/>
      <c r="AC438" s="159"/>
      <c r="AD438" s="159"/>
      <c r="AE438" s="1"/>
    </row>
    <row r="439" spans="1:31" ht="15.75" customHeight="1">
      <c r="A439" s="159"/>
      <c r="B439" s="159"/>
      <c r="C439" s="159"/>
      <c r="D439" s="159"/>
      <c r="E439" s="159"/>
      <c r="F439" s="159"/>
      <c r="G439" s="159"/>
      <c r="H439" s="159"/>
      <c r="I439" s="159"/>
      <c r="J439" s="159"/>
      <c r="K439" s="159"/>
      <c r="L439" s="159"/>
      <c r="M439" s="1"/>
      <c r="N439" s="1"/>
      <c r="O439" s="159"/>
      <c r="P439" s="159"/>
      <c r="Q439" s="159"/>
      <c r="R439" s="159"/>
      <c r="S439" s="159"/>
      <c r="T439" s="159"/>
      <c r="U439" s="159"/>
      <c r="V439" s="159"/>
      <c r="W439" s="159"/>
      <c r="X439" s="159"/>
      <c r="Y439" s="159"/>
      <c r="Z439" s="159"/>
      <c r="AA439" s="159"/>
      <c r="AB439" s="159"/>
      <c r="AC439" s="159"/>
      <c r="AD439" s="159"/>
      <c r="AE439" s="1"/>
    </row>
    <row r="440" spans="1:31" ht="15.75" customHeight="1">
      <c r="A440" s="159"/>
      <c r="B440" s="159"/>
      <c r="C440" s="159"/>
      <c r="D440" s="159"/>
      <c r="E440" s="159"/>
      <c r="F440" s="159"/>
      <c r="G440" s="159"/>
      <c r="H440" s="159"/>
      <c r="I440" s="159"/>
      <c r="J440" s="159"/>
      <c r="K440" s="159"/>
      <c r="L440" s="159"/>
      <c r="M440" s="1"/>
      <c r="N440" s="1"/>
      <c r="O440" s="159"/>
      <c r="P440" s="159"/>
      <c r="Q440" s="159"/>
      <c r="R440" s="159"/>
      <c r="S440" s="159"/>
      <c r="T440" s="159"/>
      <c r="U440" s="159"/>
      <c r="V440" s="159"/>
      <c r="W440" s="159"/>
      <c r="X440" s="159"/>
      <c r="Y440" s="159"/>
      <c r="Z440" s="159"/>
      <c r="AA440" s="159"/>
      <c r="AB440" s="159"/>
      <c r="AC440" s="159"/>
      <c r="AD440" s="159"/>
      <c r="AE440" s="1"/>
    </row>
    <row r="441" spans="1:31" ht="15.75" customHeight="1">
      <c r="A441" s="159"/>
      <c r="B441" s="159"/>
      <c r="C441" s="159"/>
      <c r="D441" s="159"/>
      <c r="E441" s="159"/>
      <c r="F441" s="159"/>
      <c r="G441" s="159"/>
      <c r="H441" s="159"/>
      <c r="I441" s="159"/>
      <c r="J441" s="159"/>
      <c r="K441" s="159"/>
      <c r="L441" s="159"/>
      <c r="M441" s="1"/>
      <c r="N441" s="1"/>
      <c r="O441" s="159"/>
      <c r="P441" s="159"/>
      <c r="Q441" s="159"/>
      <c r="R441" s="159"/>
      <c r="S441" s="159"/>
      <c r="T441" s="159"/>
      <c r="U441" s="159"/>
      <c r="V441" s="159"/>
      <c r="W441" s="159"/>
      <c r="X441" s="159"/>
      <c r="Y441" s="159"/>
      <c r="Z441" s="159"/>
      <c r="AA441" s="159"/>
      <c r="AB441" s="159"/>
      <c r="AC441" s="159"/>
      <c r="AD441" s="159"/>
      <c r="AE441" s="1"/>
    </row>
    <row r="442" spans="1:31" ht="15.75" customHeight="1">
      <c r="A442" s="159"/>
      <c r="B442" s="159"/>
      <c r="C442" s="159"/>
      <c r="D442" s="159"/>
      <c r="E442" s="159"/>
      <c r="F442" s="159"/>
      <c r="G442" s="159"/>
      <c r="H442" s="159"/>
      <c r="I442" s="159"/>
      <c r="J442" s="159"/>
      <c r="K442" s="159"/>
      <c r="L442" s="159"/>
      <c r="M442" s="1"/>
      <c r="N442" s="1"/>
      <c r="O442" s="159"/>
      <c r="P442" s="159"/>
      <c r="Q442" s="159"/>
      <c r="R442" s="159"/>
      <c r="S442" s="159"/>
      <c r="T442" s="159"/>
      <c r="U442" s="159"/>
      <c r="V442" s="159"/>
      <c r="W442" s="159"/>
      <c r="X442" s="159"/>
      <c r="Y442" s="159"/>
      <c r="Z442" s="159"/>
      <c r="AA442" s="159"/>
      <c r="AB442" s="159"/>
      <c r="AC442" s="159"/>
      <c r="AD442" s="159"/>
      <c r="AE442" s="1"/>
    </row>
    <row r="443" spans="1:31" ht="15.75" customHeight="1">
      <c r="A443" s="159"/>
      <c r="B443" s="159"/>
      <c r="C443" s="159"/>
      <c r="D443" s="159"/>
      <c r="E443" s="159"/>
      <c r="F443" s="159"/>
      <c r="G443" s="159"/>
      <c r="H443" s="159"/>
      <c r="I443" s="159"/>
      <c r="J443" s="159"/>
      <c r="K443" s="159"/>
      <c r="L443" s="159"/>
      <c r="M443" s="1"/>
      <c r="N443" s="1"/>
      <c r="O443" s="159"/>
      <c r="P443" s="159"/>
      <c r="Q443" s="159"/>
      <c r="R443" s="159"/>
      <c r="S443" s="159"/>
      <c r="T443" s="159"/>
      <c r="U443" s="159"/>
      <c r="V443" s="159"/>
      <c r="W443" s="159"/>
      <c r="X443" s="159"/>
      <c r="Y443" s="159"/>
      <c r="Z443" s="159"/>
      <c r="AA443" s="159"/>
      <c r="AB443" s="159"/>
      <c r="AC443" s="159"/>
      <c r="AD443" s="159"/>
      <c r="AE443" s="1"/>
    </row>
    <row r="444" spans="1:31" ht="15.75" customHeight="1">
      <c r="A444" s="159"/>
      <c r="B444" s="159"/>
      <c r="C444" s="159"/>
      <c r="D444" s="159"/>
      <c r="E444" s="159"/>
      <c r="F444" s="159"/>
      <c r="G444" s="159"/>
      <c r="H444" s="159"/>
      <c r="I444" s="159"/>
      <c r="J444" s="159"/>
      <c r="K444" s="159"/>
      <c r="L444" s="159"/>
      <c r="M444" s="1"/>
      <c r="N444" s="1"/>
      <c r="O444" s="159"/>
      <c r="P444" s="159"/>
      <c r="Q444" s="159"/>
      <c r="R444" s="159"/>
      <c r="S444" s="159"/>
      <c r="T444" s="159"/>
      <c r="U444" s="159"/>
      <c r="V444" s="159"/>
      <c r="W444" s="159"/>
      <c r="X444" s="159"/>
      <c r="Y444" s="159"/>
      <c r="Z444" s="159"/>
      <c r="AA444" s="159"/>
      <c r="AB444" s="159"/>
      <c r="AC444" s="159"/>
      <c r="AD444" s="159"/>
      <c r="AE444" s="1"/>
    </row>
    <row r="445" spans="1:31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ht="15.75" customHeight="1">
      <c r="A452" s="152" t="s">
        <v>44</v>
      </c>
      <c r="B452" s="152"/>
      <c r="C452" s="152"/>
      <c r="D452" s="1"/>
      <c r="E452" s="1"/>
      <c r="F452" s="1"/>
      <c r="G452" s="1"/>
      <c r="H452" s="1"/>
      <c r="I452" s="1"/>
      <c r="K452" s="14"/>
      <c r="L452" s="14"/>
      <c r="M452" s="1"/>
      <c r="N452" s="1"/>
      <c r="O452" s="152" t="s">
        <v>45</v>
      </c>
      <c r="P452" s="152"/>
      <c r="Q452" s="152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59"/>
      <c r="B454" s="159"/>
      <c r="C454" s="159"/>
      <c r="D454" s="159"/>
      <c r="E454" s="159"/>
      <c r="F454" s="159"/>
      <c r="G454" s="159"/>
      <c r="H454" s="159"/>
      <c r="I454" s="159"/>
      <c r="J454" s="159"/>
      <c r="K454" s="159"/>
      <c r="L454" s="159"/>
      <c r="M454" s="1"/>
      <c r="N454" s="1"/>
      <c r="O454" s="159"/>
      <c r="P454" s="159"/>
      <c r="Q454" s="159"/>
      <c r="R454" s="159"/>
      <c r="S454" s="159"/>
      <c r="T454" s="159"/>
      <c r="U454" s="159"/>
      <c r="V454" s="159"/>
      <c r="W454" s="159"/>
      <c r="X454" s="159"/>
      <c r="Y454" s="159"/>
      <c r="Z454" s="159"/>
      <c r="AA454" s="159"/>
      <c r="AB454" s="159"/>
      <c r="AC454" s="159"/>
      <c r="AD454" s="159"/>
      <c r="AE454" s="1"/>
    </row>
    <row r="455" spans="1:31" ht="15.75" customHeight="1">
      <c r="A455" s="159"/>
      <c r="B455" s="159"/>
      <c r="C455" s="159"/>
      <c r="D455" s="159"/>
      <c r="E455" s="159"/>
      <c r="F455" s="159"/>
      <c r="G455" s="159"/>
      <c r="H455" s="159"/>
      <c r="I455" s="159"/>
      <c r="J455" s="159"/>
      <c r="K455" s="159"/>
      <c r="L455" s="159"/>
      <c r="M455" s="1"/>
      <c r="N455" s="1"/>
      <c r="O455" s="159"/>
      <c r="P455" s="159"/>
      <c r="Q455" s="159"/>
      <c r="R455" s="159"/>
      <c r="S455" s="159"/>
      <c r="T455" s="159"/>
      <c r="U455" s="159"/>
      <c r="V455" s="159"/>
      <c r="W455" s="159"/>
      <c r="X455" s="159"/>
      <c r="Y455" s="159"/>
      <c r="Z455" s="159"/>
      <c r="AA455" s="159"/>
      <c r="AB455" s="159"/>
      <c r="AC455" s="159"/>
      <c r="AD455" s="159"/>
      <c r="AE455" s="1"/>
    </row>
    <row r="456" spans="1:31" ht="15.75" customHeight="1">
      <c r="A456" s="159"/>
      <c r="B456" s="159"/>
      <c r="C456" s="159"/>
      <c r="D456" s="159"/>
      <c r="E456" s="159"/>
      <c r="F456" s="159"/>
      <c r="G456" s="159"/>
      <c r="H456" s="159"/>
      <c r="I456" s="159"/>
      <c r="J456" s="159"/>
      <c r="K456" s="159"/>
      <c r="L456" s="159"/>
      <c r="M456" s="1"/>
      <c r="N456" s="1"/>
      <c r="O456" s="159"/>
      <c r="P456" s="159"/>
      <c r="Q456" s="159"/>
      <c r="R456" s="159"/>
      <c r="S456" s="159"/>
      <c r="T456" s="159"/>
      <c r="U456" s="159"/>
      <c r="V456" s="159"/>
      <c r="W456" s="159"/>
      <c r="X456" s="159"/>
      <c r="Y456" s="159"/>
      <c r="Z456" s="159"/>
      <c r="AA456" s="159"/>
      <c r="AB456" s="159"/>
      <c r="AC456" s="159"/>
      <c r="AD456" s="159"/>
      <c r="AE456" s="1"/>
    </row>
    <row r="457" spans="1:31" ht="15.75" customHeight="1">
      <c r="A457" s="159"/>
      <c r="B457" s="159"/>
      <c r="C457" s="159"/>
      <c r="D457" s="159"/>
      <c r="E457" s="159"/>
      <c r="F457" s="159"/>
      <c r="G457" s="159"/>
      <c r="H457" s="159"/>
      <c r="I457" s="159"/>
      <c r="J457" s="159"/>
      <c r="K457" s="159"/>
      <c r="L457" s="159"/>
      <c r="M457" s="1"/>
      <c r="N457" s="1"/>
      <c r="O457" s="159"/>
      <c r="P457" s="159"/>
      <c r="Q457" s="159"/>
      <c r="R457" s="159"/>
      <c r="S457" s="159"/>
      <c r="T457" s="159"/>
      <c r="U457" s="159"/>
      <c r="V457" s="159"/>
      <c r="W457" s="159"/>
      <c r="X457" s="159"/>
      <c r="Y457" s="159"/>
      <c r="Z457" s="159"/>
      <c r="AA457" s="159"/>
      <c r="AB457" s="159"/>
      <c r="AC457" s="159"/>
      <c r="AD457" s="159"/>
      <c r="AE457" s="1"/>
    </row>
    <row r="458" spans="1:31" ht="15.75" customHeight="1">
      <c r="A458" s="159"/>
      <c r="B458" s="159"/>
      <c r="C458" s="159"/>
      <c r="D458" s="159"/>
      <c r="E458" s="159"/>
      <c r="F458" s="159"/>
      <c r="G458" s="159"/>
      <c r="H458" s="159"/>
      <c r="I458" s="159"/>
      <c r="J458" s="159"/>
      <c r="K458" s="159"/>
      <c r="L458" s="159"/>
      <c r="M458" s="1"/>
      <c r="N458" s="1"/>
      <c r="O458" s="159"/>
      <c r="P458" s="159"/>
      <c r="Q458" s="159"/>
      <c r="R458" s="159"/>
      <c r="S458" s="159"/>
      <c r="T458" s="159"/>
      <c r="U458" s="159"/>
      <c r="V458" s="159"/>
      <c r="W458" s="159"/>
      <c r="X458" s="159"/>
      <c r="Y458" s="159"/>
      <c r="Z458" s="159"/>
      <c r="AA458" s="159"/>
      <c r="AB458" s="159"/>
      <c r="AC458" s="159"/>
      <c r="AD458" s="159"/>
      <c r="AE458" s="1"/>
    </row>
    <row r="459" spans="1:31" ht="15.75" customHeight="1">
      <c r="A459" s="159"/>
      <c r="B459" s="159"/>
      <c r="C459" s="159"/>
      <c r="D459" s="159"/>
      <c r="E459" s="159"/>
      <c r="F459" s="159"/>
      <c r="G459" s="159"/>
      <c r="H459" s="159"/>
      <c r="I459" s="159"/>
      <c r="J459" s="159"/>
      <c r="K459" s="159"/>
      <c r="L459" s="159"/>
      <c r="M459" s="1"/>
      <c r="N459" s="1"/>
      <c r="O459" s="159"/>
      <c r="P459" s="159"/>
      <c r="Q459" s="159"/>
      <c r="R459" s="159"/>
      <c r="S459" s="159"/>
      <c r="T459" s="159"/>
      <c r="U459" s="159"/>
      <c r="V459" s="159"/>
      <c r="W459" s="159"/>
      <c r="X459" s="159"/>
      <c r="Y459" s="159"/>
      <c r="Z459" s="159"/>
      <c r="AA459" s="159"/>
      <c r="AB459" s="159"/>
      <c r="AC459" s="159"/>
      <c r="AD459" s="159"/>
      <c r="AE459" s="1"/>
    </row>
    <row r="460" spans="1:31" ht="15.75" customHeight="1">
      <c r="A460" s="159"/>
      <c r="B460" s="159"/>
      <c r="C460" s="159"/>
      <c r="D460" s="159"/>
      <c r="E460" s="159"/>
      <c r="F460" s="159"/>
      <c r="G460" s="159"/>
      <c r="H460" s="159"/>
      <c r="I460" s="159"/>
      <c r="J460" s="159"/>
      <c r="K460" s="159"/>
      <c r="L460" s="159"/>
      <c r="M460" s="1"/>
      <c r="N460" s="1"/>
      <c r="O460" s="159"/>
      <c r="P460" s="159"/>
      <c r="Q460" s="159"/>
      <c r="R460" s="159"/>
      <c r="S460" s="159"/>
      <c r="T460" s="159"/>
      <c r="U460" s="159"/>
      <c r="V460" s="159"/>
      <c r="W460" s="159"/>
      <c r="X460" s="159"/>
      <c r="Y460" s="159"/>
      <c r="Z460" s="159"/>
      <c r="AA460" s="159"/>
      <c r="AB460" s="159"/>
      <c r="AC460" s="159"/>
      <c r="AD460" s="159"/>
      <c r="AE460" s="1"/>
    </row>
    <row r="461" spans="1:31" ht="15.75" customHeight="1">
      <c r="A461" s="159"/>
      <c r="B461" s="159"/>
      <c r="C461" s="159"/>
      <c r="D461" s="159"/>
      <c r="E461" s="159"/>
      <c r="F461" s="159"/>
      <c r="G461" s="159"/>
      <c r="H461" s="159"/>
      <c r="I461" s="159"/>
      <c r="J461" s="159"/>
      <c r="K461" s="159"/>
      <c r="L461" s="159"/>
      <c r="M461" s="1"/>
      <c r="N461" s="1"/>
      <c r="O461" s="159"/>
      <c r="P461" s="159"/>
      <c r="Q461" s="159"/>
      <c r="R461" s="159"/>
      <c r="S461" s="159"/>
      <c r="T461" s="159"/>
      <c r="U461" s="159"/>
      <c r="V461" s="159"/>
      <c r="W461" s="159"/>
      <c r="X461" s="159"/>
      <c r="Y461" s="159"/>
      <c r="Z461" s="159"/>
      <c r="AA461" s="159"/>
      <c r="AB461" s="159"/>
      <c r="AC461" s="159"/>
      <c r="AD461" s="159"/>
      <c r="AE461" s="1"/>
    </row>
    <row r="462" spans="1:31" ht="15.75" customHeight="1">
      <c r="A462" s="159"/>
      <c r="B462" s="159"/>
      <c r="C462" s="159"/>
      <c r="D462" s="159"/>
      <c r="E462" s="159"/>
      <c r="F462" s="159"/>
      <c r="G462" s="159"/>
      <c r="H462" s="159"/>
      <c r="I462" s="159"/>
      <c r="J462" s="159"/>
      <c r="K462" s="159"/>
      <c r="L462" s="159"/>
      <c r="M462" s="1"/>
      <c r="N462" s="1"/>
      <c r="O462" s="159"/>
      <c r="P462" s="159"/>
      <c r="Q462" s="159"/>
      <c r="R462" s="159"/>
      <c r="S462" s="159"/>
      <c r="T462" s="159"/>
      <c r="U462" s="159"/>
      <c r="V462" s="159"/>
      <c r="W462" s="159"/>
      <c r="X462" s="159"/>
      <c r="Y462" s="159"/>
      <c r="Z462" s="159"/>
      <c r="AA462" s="159"/>
      <c r="AB462" s="159"/>
      <c r="AC462" s="159"/>
      <c r="AD462" s="159"/>
      <c r="AE462" s="1"/>
    </row>
    <row r="463" spans="1:31" ht="15.75" customHeight="1">
      <c r="A463" s="159"/>
      <c r="B463" s="159"/>
      <c r="C463" s="159"/>
      <c r="D463" s="159"/>
      <c r="E463" s="159"/>
      <c r="F463" s="159"/>
      <c r="G463" s="159"/>
      <c r="H463" s="159"/>
      <c r="I463" s="159"/>
      <c r="J463" s="159"/>
      <c r="K463" s="159"/>
      <c r="L463" s="159"/>
      <c r="M463" s="1"/>
      <c r="N463" s="1"/>
      <c r="O463" s="159"/>
      <c r="P463" s="159"/>
      <c r="Q463" s="159"/>
      <c r="R463" s="159"/>
      <c r="S463" s="159"/>
      <c r="T463" s="159"/>
      <c r="U463" s="159"/>
      <c r="V463" s="159"/>
      <c r="W463" s="159"/>
      <c r="X463" s="159"/>
      <c r="Y463" s="159"/>
      <c r="Z463" s="159"/>
      <c r="AA463" s="159"/>
      <c r="AB463" s="159"/>
      <c r="AC463" s="159"/>
      <c r="AD463" s="159"/>
      <c r="AE463" s="1"/>
    </row>
    <row r="464" spans="1:31" ht="15.75" customHeight="1">
      <c r="A464" s="159"/>
      <c r="B464" s="159"/>
      <c r="C464" s="159"/>
      <c r="D464" s="159"/>
      <c r="E464" s="159"/>
      <c r="F464" s="159"/>
      <c r="G464" s="159"/>
      <c r="H464" s="159"/>
      <c r="I464" s="159"/>
      <c r="J464" s="159"/>
      <c r="K464" s="159"/>
      <c r="L464" s="159"/>
      <c r="M464" s="1"/>
      <c r="N464" s="1"/>
      <c r="O464" s="159"/>
      <c r="P464" s="159"/>
      <c r="Q464" s="159"/>
      <c r="R464" s="159"/>
      <c r="S464" s="159"/>
      <c r="T464" s="159"/>
      <c r="U464" s="159"/>
      <c r="V464" s="159"/>
      <c r="W464" s="159"/>
      <c r="X464" s="159"/>
      <c r="Y464" s="159"/>
      <c r="Z464" s="159"/>
      <c r="AA464" s="159"/>
      <c r="AB464" s="159"/>
      <c r="AC464" s="159"/>
      <c r="AD464" s="159"/>
      <c r="AE464" s="1"/>
    </row>
    <row r="465" spans="1:31" ht="15.75" customHeight="1">
      <c r="A465" s="159"/>
      <c r="B465" s="159"/>
      <c r="C465" s="159"/>
      <c r="D465" s="159"/>
      <c r="E465" s="159"/>
      <c r="F465" s="159"/>
      <c r="G465" s="159"/>
      <c r="H465" s="159"/>
      <c r="I465" s="159"/>
      <c r="J465" s="159"/>
      <c r="K465" s="159"/>
      <c r="L465" s="159"/>
      <c r="M465" s="1"/>
      <c r="N465" s="1"/>
      <c r="O465" s="159"/>
      <c r="P465" s="159"/>
      <c r="Q465" s="159"/>
      <c r="R465" s="159"/>
      <c r="S465" s="159"/>
      <c r="T465" s="159"/>
      <c r="U465" s="159"/>
      <c r="V465" s="159"/>
      <c r="W465" s="159"/>
      <c r="X465" s="159"/>
      <c r="Y465" s="159"/>
      <c r="Z465" s="159"/>
      <c r="AA465" s="159"/>
      <c r="AB465" s="159"/>
      <c r="AC465" s="159"/>
      <c r="AD465" s="159"/>
      <c r="AE465" s="1"/>
    </row>
    <row r="466" spans="1:31" ht="15.75" customHeight="1">
      <c r="A466" s="159"/>
      <c r="B466" s="159"/>
      <c r="C466" s="159"/>
      <c r="D466" s="159"/>
      <c r="E466" s="159"/>
      <c r="F466" s="159"/>
      <c r="G466" s="159"/>
      <c r="H466" s="159"/>
      <c r="I466" s="159"/>
      <c r="J466" s="159"/>
      <c r="K466" s="159"/>
      <c r="L466" s="159"/>
      <c r="M466" s="1"/>
      <c r="N466" s="1"/>
      <c r="O466" s="159"/>
      <c r="P466" s="159"/>
      <c r="Q466" s="159"/>
      <c r="R466" s="159"/>
      <c r="S466" s="159"/>
      <c r="T466" s="159"/>
      <c r="U466" s="159"/>
      <c r="V466" s="159"/>
      <c r="W466" s="159"/>
      <c r="X466" s="159"/>
      <c r="Y466" s="159"/>
      <c r="Z466" s="159"/>
      <c r="AA466" s="159"/>
      <c r="AB466" s="159"/>
      <c r="AC466" s="159"/>
      <c r="AD466" s="159"/>
      <c r="AE466" s="1"/>
    </row>
    <row r="467" spans="1:31" ht="15.75" customHeight="1">
      <c r="A467" s="159"/>
      <c r="B467" s="159"/>
      <c r="C467" s="159"/>
      <c r="D467" s="159"/>
      <c r="E467" s="159"/>
      <c r="F467" s="159"/>
      <c r="G467" s="159"/>
      <c r="H467" s="159"/>
      <c r="I467" s="159"/>
      <c r="J467" s="159"/>
      <c r="K467" s="159"/>
      <c r="L467" s="159"/>
      <c r="M467" s="1"/>
      <c r="N467" s="1"/>
      <c r="O467" s="159"/>
      <c r="P467" s="159"/>
      <c r="Q467" s="159"/>
      <c r="R467" s="159"/>
      <c r="S467" s="159"/>
      <c r="T467" s="159"/>
      <c r="U467" s="159"/>
      <c r="V467" s="159"/>
      <c r="W467" s="159"/>
      <c r="X467" s="159"/>
      <c r="Y467" s="159"/>
      <c r="Z467" s="159"/>
      <c r="AA467" s="159"/>
      <c r="AB467" s="159"/>
      <c r="AC467" s="159"/>
      <c r="AD467" s="159"/>
      <c r="AE467" s="1"/>
    </row>
    <row r="468" spans="1:31" ht="15.75" customHeight="1">
      <c r="A468" s="159"/>
      <c r="B468" s="159"/>
      <c r="C468" s="159"/>
      <c r="D468" s="159"/>
      <c r="E468" s="159"/>
      <c r="F468" s="159"/>
      <c r="G468" s="159"/>
      <c r="H468" s="159"/>
      <c r="I468" s="159"/>
      <c r="J468" s="159"/>
      <c r="K468" s="159"/>
      <c r="L468" s="159"/>
      <c r="M468" s="1"/>
      <c r="N468" s="1"/>
      <c r="O468" s="159"/>
      <c r="P468" s="159"/>
      <c r="Q468" s="159"/>
      <c r="R468" s="159"/>
      <c r="S468" s="159"/>
      <c r="T468" s="159"/>
      <c r="U468" s="159"/>
      <c r="V468" s="159"/>
      <c r="W468" s="159"/>
      <c r="X468" s="159"/>
      <c r="Y468" s="159"/>
      <c r="Z468" s="159"/>
      <c r="AA468" s="159"/>
      <c r="AB468" s="159"/>
      <c r="AC468" s="159"/>
      <c r="AD468" s="159"/>
      <c r="AE468" s="1"/>
    </row>
    <row r="469" spans="1:31" ht="15.75" customHeight="1">
      <c r="A469" s="159"/>
      <c r="B469" s="159"/>
      <c r="C469" s="159"/>
      <c r="D469" s="159"/>
      <c r="E469" s="159"/>
      <c r="F469" s="159"/>
      <c r="G469" s="159"/>
      <c r="H469" s="159"/>
      <c r="I469" s="159"/>
      <c r="J469" s="159"/>
      <c r="K469" s="159"/>
      <c r="L469" s="159"/>
      <c r="M469" s="1"/>
      <c r="N469" s="1"/>
      <c r="O469" s="159"/>
      <c r="P469" s="159"/>
      <c r="Q469" s="159"/>
      <c r="R469" s="159"/>
      <c r="S469" s="159"/>
      <c r="T469" s="159"/>
      <c r="U469" s="159"/>
      <c r="V469" s="159"/>
      <c r="W469" s="159"/>
      <c r="X469" s="159"/>
      <c r="Y469" s="159"/>
      <c r="Z469" s="159"/>
      <c r="AA469" s="159"/>
      <c r="AB469" s="159"/>
      <c r="AC469" s="159"/>
      <c r="AD469" s="159"/>
      <c r="AE469" s="1"/>
    </row>
    <row r="470" spans="1:31" ht="15.75" customHeight="1">
      <c r="A470" s="159"/>
      <c r="B470" s="159"/>
      <c r="C470" s="159"/>
      <c r="D470" s="159"/>
      <c r="E470" s="159"/>
      <c r="F470" s="159"/>
      <c r="G470" s="159"/>
      <c r="H470" s="159"/>
      <c r="I470" s="159"/>
      <c r="J470" s="159"/>
      <c r="K470" s="159"/>
      <c r="L470" s="159"/>
      <c r="M470" s="1"/>
      <c r="N470" s="1"/>
      <c r="O470" s="159"/>
      <c r="P470" s="159"/>
      <c r="Q470" s="159"/>
      <c r="R470" s="159"/>
      <c r="S470" s="159"/>
      <c r="T470" s="159"/>
      <c r="U470" s="159"/>
      <c r="V470" s="159"/>
      <c r="W470" s="159"/>
      <c r="X470" s="159"/>
      <c r="Y470" s="159"/>
      <c r="Z470" s="159"/>
      <c r="AA470" s="159"/>
      <c r="AB470" s="159"/>
      <c r="AC470" s="159"/>
      <c r="AD470" s="159"/>
      <c r="AE470" s="1"/>
    </row>
    <row r="471" spans="1:31" ht="15.75" customHeight="1">
      <c r="A471" s="159"/>
      <c r="B471" s="159"/>
      <c r="C471" s="159"/>
      <c r="D471" s="159"/>
      <c r="E471" s="159"/>
      <c r="F471" s="159"/>
      <c r="G471" s="159"/>
      <c r="H471" s="159"/>
      <c r="I471" s="159"/>
      <c r="J471" s="159"/>
      <c r="K471" s="159"/>
      <c r="L471" s="159"/>
      <c r="M471" s="1"/>
      <c r="N471" s="1"/>
      <c r="O471" s="159"/>
      <c r="P471" s="159"/>
      <c r="Q471" s="159"/>
      <c r="R471" s="159"/>
      <c r="S471" s="159"/>
      <c r="T471" s="159"/>
      <c r="U471" s="159"/>
      <c r="V471" s="159"/>
      <c r="W471" s="159"/>
      <c r="X471" s="159"/>
      <c r="Y471" s="159"/>
      <c r="Z471" s="159"/>
      <c r="AA471" s="159"/>
      <c r="AB471" s="159"/>
      <c r="AC471" s="159"/>
      <c r="AD471" s="159"/>
      <c r="AE471" s="1"/>
    </row>
    <row r="472" spans="1:31" ht="15.75" customHeight="1">
      <c r="A472" s="159"/>
      <c r="B472" s="159"/>
      <c r="C472" s="159"/>
      <c r="D472" s="159"/>
      <c r="E472" s="159"/>
      <c r="F472" s="159"/>
      <c r="G472" s="159"/>
      <c r="H472" s="159"/>
      <c r="I472" s="159"/>
      <c r="J472" s="159"/>
      <c r="K472" s="159"/>
      <c r="L472" s="159"/>
      <c r="M472" s="1"/>
      <c r="N472" s="1"/>
      <c r="O472" s="159"/>
      <c r="P472" s="159"/>
      <c r="Q472" s="159"/>
      <c r="R472" s="159"/>
      <c r="S472" s="159"/>
      <c r="T472" s="159"/>
      <c r="U472" s="159"/>
      <c r="V472" s="159"/>
      <c r="W472" s="159"/>
      <c r="X472" s="159"/>
      <c r="Y472" s="159"/>
      <c r="Z472" s="159"/>
      <c r="AA472" s="159"/>
      <c r="AB472" s="159"/>
      <c r="AC472" s="159"/>
      <c r="AD472" s="159"/>
      <c r="AE472" s="1"/>
    </row>
    <row r="473" spans="1:31" ht="15.75" customHeight="1">
      <c r="A473" s="159"/>
      <c r="B473" s="159"/>
      <c r="C473" s="159"/>
      <c r="D473" s="159"/>
      <c r="E473" s="159"/>
      <c r="F473" s="159"/>
      <c r="G473" s="159"/>
      <c r="H473" s="159"/>
      <c r="I473" s="159"/>
      <c r="J473" s="159"/>
      <c r="K473" s="159"/>
      <c r="L473" s="159"/>
      <c r="M473" s="1"/>
      <c r="N473" s="1"/>
      <c r="O473" s="159"/>
      <c r="P473" s="159"/>
      <c r="Q473" s="159"/>
      <c r="R473" s="159"/>
      <c r="S473" s="159"/>
      <c r="T473" s="159"/>
      <c r="U473" s="159"/>
      <c r="V473" s="159"/>
      <c r="W473" s="159"/>
      <c r="X473" s="159"/>
      <c r="Y473" s="159"/>
      <c r="Z473" s="159"/>
      <c r="AA473" s="159"/>
      <c r="AB473" s="159"/>
      <c r="AC473" s="159"/>
      <c r="AD473" s="159"/>
      <c r="AE473" s="1"/>
    </row>
    <row r="474" spans="1:31" ht="15.75" customHeight="1">
      <c r="A474" s="159"/>
      <c r="B474" s="159"/>
      <c r="C474" s="159"/>
      <c r="D474" s="159"/>
      <c r="E474" s="159"/>
      <c r="F474" s="159"/>
      <c r="G474" s="159"/>
      <c r="H474" s="159"/>
      <c r="I474" s="159"/>
      <c r="J474" s="159"/>
      <c r="K474" s="159"/>
      <c r="L474" s="159"/>
      <c r="M474" s="1"/>
      <c r="N474" s="1"/>
      <c r="O474" s="159"/>
      <c r="P474" s="159"/>
      <c r="Q474" s="159"/>
      <c r="R474" s="159"/>
      <c r="S474" s="159"/>
      <c r="T474" s="159"/>
      <c r="U474" s="159"/>
      <c r="V474" s="159"/>
      <c r="W474" s="159"/>
      <c r="X474" s="159"/>
      <c r="Y474" s="159"/>
      <c r="Z474" s="159"/>
      <c r="AA474" s="159"/>
      <c r="AB474" s="159"/>
      <c r="AC474" s="159"/>
      <c r="AD474" s="159"/>
      <c r="AE474" s="1"/>
    </row>
    <row r="475" spans="1:31" ht="15.75" customHeight="1">
      <c r="A475" s="159"/>
      <c r="B475" s="159"/>
      <c r="C475" s="159"/>
      <c r="D475" s="159"/>
      <c r="E475" s="159"/>
      <c r="F475" s="159"/>
      <c r="G475" s="159"/>
      <c r="H475" s="159"/>
      <c r="I475" s="159"/>
      <c r="J475" s="159"/>
      <c r="K475" s="159"/>
      <c r="L475" s="159"/>
      <c r="M475" s="1"/>
      <c r="N475" s="1"/>
      <c r="O475" s="159"/>
      <c r="P475" s="159"/>
      <c r="Q475" s="159"/>
      <c r="R475" s="159"/>
      <c r="S475" s="159"/>
      <c r="T475" s="159"/>
      <c r="U475" s="159"/>
      <c r="V475" s="159"/>
      <c r="W475" s="159"/>
      <c r="X475" s="159"/>
      <c r="Y475" s="159"/>
      <c r="Z475" s="159"/>
      <c r="AA475" s="159"/>
      <c r="AB475" s="159"/>
      <c r="AC475" s="159"/>
      <c r="AD475" s="159"/>
      <c r="AE475" s="1"/>
    </row>
    <row r="476" spans="1:31" ht="15.75" customHeight="1">
      <c r="A476" s="159"/>
      <c r="B476" s="159"/>
      <c r="C476" s="159"/>
      <c r="D476" s="159"/>
      <c r="E476" s="159"/>
      <c r="F476" s="159"/>
      <c r="G476" s="159"/>
      <c r="H476" s="159"/>
      <c r="I476" s="159"/>
      <c r="J476" s="159"/>
      <c r="K476" s="159"/>
      <c r="L476" s="159"/>
      <c r="M476" s="1"/>
      <c r="N476" s="1"/>
      <c r="O476" s="159"/>
      <c r="P476" s="159"/>
      <c r="Q476" s="159"/>
      <c r="R476" s="159"/>
      <c r="S476" s="159"/>
      <c r="T476" s="159"/>
      <c r="U476" s="159"/>
      <c r="V476" s="159"/>
      <c r="W476" s="159"/>
      <c r="X476" s="159"/>
      <c r="Y476" s="159"/>
      <c r="Z476" s="159"/>
      <c r="AA476" s="159"/>
      <c r="AB476" s="159"/>
      <c r="AC476" s="159"/>
      <c r="AD476" s="159"/>
      <c r="AE476" s="1"/>
    </row>
    <row r="477" spans="1:31" ht="15.75" customHeight="1">
      <c r="A477" s="159"/>
      <c r="B477" s="159"/>
      <c r="C477" s="159"/>
      <c r="D477" s="159"/>
      <c r="E477" s="159"/>
      <c r="F477" s="159"/>
      <c r="G477" s="159"/>
      <c r="H477" s="159"/>
      <c r="I477" s="159"/>
      <c r="J477" s="159"/>
      <c r="K477" s="159"/>
      <c r="L477" s="159"/>
      <c r="M477" s="1"/>
      <c r="N477" s="1"/>
      <c r="O477" s="159"/>
      <c r="P477" s="159"/>
      <c r="Q477" s="159"/>
      <c r="R477" s="159"/>
      <c r="S477" s="159"/>
      <c r="T477" s="159"/>
      <c r="U477" s="159"/>
      <c r="V477" s="159"/>
      <c r="W477" s="159"/>
      <c r="X477" s="159"/>
      <c r="Y477" s="159"/>
      <c r="Z477" s="159"/>
      <c r="AA477" s="159"/>
      <c r="AB477" s="159"/>
      <c r="AC477" s="159"/>
      <c r="AD477" s="159"/>
      <c r="AE477" s="1"/>
    </row>
    <row r="478" spans="1:31" ht="15.75" customHeight="1">
      <c r="A478" s="159"/>
      <c r="B478" s="159"/>
      <c r="C478" s="159"/>
      <c r="D478" s="159"/>
      <c r="E478" s="159"/>
      <c r="F478" s="159"/>
      <c r="G478" s="159"/>
      <c r="H478" s="159"/>
      <c r="I478" s="159"/>
      <c r="J478" s="159"/>
      <c r="K478" s="159"/>
      <c r="L478" s="159"/>
      <c r="M478" s="1"/>
      <c r="N478" s="1"/>
      <c r="O478" s="159"/>
      <c r="P478" s="159"/>
      <c r="Q478" s="159"/>
      <c r="R478" s="159"/>
      <c r="S478" s="159"/>
      <c r="T478" s="159"/>
      <c r="U478" s="159"/>
      <c r="V478" s="159"/>
      <c r="W478" s="159"/>
      <c r="X478" s="159"/>
      <c r="Y478" s="159"/>
      <c r="Z478" s="159"/>
      <c r="AA478" s="159"/>
      <c r="AB478" s="159"/>
      <c r="AC478" s="159"/>
      <c r="AD478" s="159"/>
      <c r="AE478" s="1"/>
    </row>
    <row r="479" spans="1:31" ht="15.75" customHeight="1">
      <c r="A479" s="159"/>
      <c r="B479" s="159"/>
      <c r="C479" s="159"/>
      <c r="D479" s="159"/>
      <c r="E479" s="159"/>
      <c r="F479" s="159"/>
      <c r="G479" s="159"/>
      <c r="H479" s="159"/>
      <c r="I479" s="159"/>
      <c r="J479" s="159"/>
      <c r="K479" s="159"/>
      <c r="L479" s="159"/>
      <c r="M479" s="1"/>
      <c r="N479" s="1"/>
      <c r="O479" s="159"/>
      <c r="P479" s="159"/>
      <c r="Q479" s="159"/>
      <c r="R479" s="159"/>
      <c r="S479" s="159"/>
      <c r="T479" s="159"/>
      <c r="U479" s="159"/>
      <c r="V479" s="159"/>
      <c r="W479" s="159"/>
      <c r="X479" s="159"/>
      <c r="Y479" s="159"/>
      <c r="Z479" s="159"/>
      <c r="AA479" s="159"/>
      <c r="AB479" s="159"/>
      <c r="AC479" s="159"/>
      <c r="AD479" s="159"/>
      <c r="AE479" s="1"/>
    </row>
    <row r="480" spans="1:31" ht="15.75" customHeight="1">
      <c r="A480" s="159"/>
      <c r="B480" s="159"/>
      <c r="C480" s="159"/>
      <c r="D480" s="159"/>
      <c r="E480" s="159"/>
      <c r="F480" s="159"/>
      <c r="G480" s="159"/>
      <c r="H480" s="159"/>
      <c r="I480" s="159"/>
      <c r="J480" s="159"/>
      <c r="K480" s="159"/>
      <c r="L480" s="159"/>
      <c r="M480" s="1"/>
      <c r="N480" s="1"/>
      <c r="O480" s="159"/>
      <c r="P480" s="159"/>
      <c r="Q480" s="159"/>
      <c r="R480" s="159"/>
      <c r="S480" s="159"/>
      <c r="T480" s="159"/>
      <c r="U480" s="159"/>
      <c r="V480" s="159"/>
      <c r="W480" s="159"/>
      <c r="X480" s="159"/>
      <c r="Y480" s="159"/>
      <c r="Z480" s="159"/>
      <c r="AA480" s="159"/>
      <c r="AB480" s="159"/>
      <c r="AC480" s="159"/>
      <c r="AD480" s="159"/>
      <c r="AE480" s="1"/>
    </row>
    <row r="481" spans="1:31" ht="15.75" customHeight="1">
      <c r="A481" s="159"/>
      <c r="B481" s="159"/>
      <c r="C481" s="159"/>
      <c r="D481" s="159"/>
      <c r="E481" s="159"/>
      <c r="F481" s="159"/>
      <c r="G481" s="159"/>
      <c r="H481" s="159"/>
      <c r="I481" s="159"/>
      <c r="J481" s="159"/>
      <c r="K481" s="159"/>
      <c r="L481" s="159"/>
      <c r="M481" s="1"/>
      <c r="N481" s="1"/>
      <c r="O481" s="159"/>
      <c r="P481" s="159"/>
      <c r="Q481" s="159"/>
      <c r="R481" s="159"/>
      <c r="S481" s="159"/>
      <c r="T481" s="159"/>
      <c r="U481" s="159"/>
      <c r="V481" s="159"/>
      <c r="W481" s="159"/>
      <c r="X481" s="159"/>
      <c r="Y481" s="159"/>
      <c r="Z481" s="159"/>
      <c r="AA481" s="159"/>
      <c r="AB481" s="159"/>
      <c r="AC481" s="159"/>
      <c r="AD481" s="159"/>
      <c r="AE481" s="1"/>
    </row>
    <row r="482" spans="1:31" ht="15.75" customHeight="1">
      <c r="A482" s="159"/>
      <c r="B482" s="159"/>
      <c r="C482" s="159"/>
      <c r="D482" s="159"/>
      <c r="E482" s="159"/>
      <c r="F482" s="159"/>
      <c r="G482" s="159"/>
      <c r="H482" s="159"/>
      <c r="I482" s="159"/>
      <c r="J482" s="159"/>
      <c r="K482" s="159"/>
      <c r="L482" s="159"/>
      <c r="M482" s="1"/>
      <c r="N482" s="1"/>
      <c r="O482" s="159"/>
      <c r="P482" s="159"/>
      <c r="Q482" s="159"/>
      <c r="R482" s="159"/>
      <c r="S482" s="159"/>
      <c r="T482" s="159"/>
      <c r="U482" s="159"/>
      <c r="V482" s="159"/>
      <c r="W482" s="159"/>
      <c r="X482" s="159"/>
      <c r="Y482" s="159"/>
      <c r="Z482" s="159"/>
      <c r="AA482" s="159"/>
      <c r="AB482" s="159"/>
      <c r="AC482" s="159"/>
      <c r="AD482" s="159"/>
      <c r="AE482" s="1"/>
    </row>
    <row r="483" spans="1:31" ht="15.75" customHeight="1">
      <c r="A483" s="159"/>
      <c r="B483" s="159"/>
      <c r="C483" s="159"/>
      <c r="D483" s="159"/>
      <c r="E483" s="159"/>
      <c r="F483" s="159"/>
      <c r="G483" s="159"/>
      <c r="H483" s="159"/>
      <c r="I483" s="159"/>
      <c r="J483" s="159"/>
      <c r="K483" s="159"/>
      <c r="L483" s="159"/>
      <c r="M483" s="1"/>
      <c r="N483" s="1"/>
      <c r="O483" s="159"/>
      <c r="P483" s="159"/>
      <c r="Q483" s="159"/>
      <c r="R483" s="159"/>
      <c r="S483" s="159"/>
      <c r="T483" s="159"/>
      <c r="U483" s="159"/>
      <c r="V483" s="159"/>
      <c r="W483" s="159"/>
      <c r="X483" s="159"/>
      <c r="Y483" s="159"/>
      <c r="Z483" s="159"/>
      <c r="AA483" s="159"/>
      <c r="AB483" s="159"/>
      <c r="AC483" s="159"/>
      <c r="AD483" s="159"/>
      <c r="AE483" s="1"/>
    </row>
    <row r="484" spans="1:31" ht="15.75" customHeight="1">
      <c r="A484" s="159"/>
      <c r="B484" s="159"/>
      <c r="C484" s="159"/>
      <c r="D484" s="159"/>
      <c r="E484" s="159"/>
      <c r="F484" s="159"/>
      <c r="G484" s="159"/>
      <c r="H484" s="159"/>
      <c r="I484" s="159"/>
      <c r="J484" s="159"/>
      <c r="K484" s="159"/>
      <c r="L484" s="159"/>
      <c r="M484" s="1"/>
      <c r="N484" s="1"/>
      <c r="O484" s="159"/>
      <c r="P484" s="159"/>
      <c r="Q484" s="159"/>
      <c r="R484" s="159"/>
      <c r="S484" s="159"/>
      <c r="T484" s="159"/>
      <c r="U484" s="159"/>
      <c r="V484" s="159"/>
      <c r="W484" s="159"/>
      <c r="X484" s="159"/>
      <c r="Y484" s="159"/>
      <c r="Z484" s="159"/>
      <c r="AA484" s="159"/>
      <c r="AB484" s="159"/>
      <c r="AC484" s="159"/>
      <c r="AD484" s="159"/>
      <c r="AE484" s="1"/>
    </row>
    <row r="485" spans="1:31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" customHeight="1">
      <c r="AE489" s="1"/>
    </row>
    <row r="490" spans="1:31" ht="15" customHeight="1">
      <c r="AE490" s="1"/>
    </row>
    <row r="491" spans="1:31" ht="15" customHeight="1">
      <c r="AE491" s="1"/>
    </row>
    <row r="492" spans="1:31" ht="15" customHeight="1">
      <c r="AE492" s="1"/>
    </row>
    <row r="493" spans="1:31" ht="15" customHeight="1">
      <c r="AE493" s="1"/>
    </row>
    <row r="494" spans="1:31" ht="15" customHeight="1">
      <c r="AE494" s="1"/>
    </row>
    <row r="495" spans="1:31" ht="15" customHeight="1"/>
    <row r="496" spans="1:31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hidden="1" customHeight="1"/>
    <row r="1137" ht="15" hidden="1" customHeight="1"/>
    <row r="1138" ht="15" hidden="1" customHeight="1"/>
    <row r="1139" ht="15" hidden="1" customHeight="1"/>
  </sheetData>
  <mergeCells count="250">
    <mergeCell ref="A19:D19"/>
    <mergeCell ref="E19:G19"/>
    <mergeCell ref="AE33:AI33"/>
    <mergeCell ref="AJ33:AM33"/>
    <mergeCell ref="AN33:AQ33"/>
    <mergeCell ref="AE28:AI28"/>
    <mergeCell ref="AJ28:AM28"/>
    <mergeCell ref="AN28:AQ28"/>
    <mergeCell ref="AE29:AI29"/>
    <mergeCell ref="AJ29:AM29"/>
    <mergeCell ref="AN29:AQ29"/>
    <mergeCell ref="AN31:AQ31"/>
    <mergeCell ref="AE31:AI31"/>
    <mergeCell ref="AJ19:AM19"/>
    <mergeCell ref="AJ20:AM20"/>
    <mergeCell ref="AJ21:AM21"/>
    <mergeCell ref="AJ30:AM30"/>
    <mergeCell ref="AJ31:AM31"/>
    <mergeCell ref="AN25:AQ25"/>
    <mergeCell ref="AV219:AX219"/>
    <mergeCell ref="A313:C313"/>
    <mergeCell ref="A314:C314"/>
    <mergeCell ref="A315:C315"/>
    <mergeCell ref="A316:C316"/>
    <mergeCell ref="A317:C317"/>
    <mergeCell ref="A405:C405"/>
    <mergeCell ref="A406:C406"/>
    <mergeCell ref="A407:C407"/>
    <mergeCell ref="A400:C400"/>
    <mergeCell ref="A360:L390"/>
    <mergeCell ref="O360:AD390"/>
    <mergeCell ref="AV221:BH250"/>
    <mergeCell ref="AG219:AI219"/>
    <mergeCell ref="A270:L300"/>
    <mergeCell ref="A321:L351"/>
    <mergeCell ref="O321:AD351"/>
    <mergeCell ref="A263:E263"/>
    <mergeCell ref="O221:AD251"/>
    <mergeCell ref="A358:C358"/>
    <mergeCell ref="O358:Q358"/>
    <mergeCell ref="A398:E398"/>
    <mergeCell ref="A401:C401"/>
    <mergeCell ref="A402:C402"/>
    <mergeCell ref="A454:L484"/>
    <mergeCell ref="O454:AD484"/>
    <mergeCell ref="A412:C412"/>
    <mergeCell ref="A452:C452"/>
    <mergeCell ref="O452:Q452"/>
    <mergeCell ref="A409:C409"/>
    <mergeCell ref="A260:E260"/>
    <mergeCell ref="A262:E262"/>
    <mergeCell ref="D265:E265"/>
    <mergeCell ref="A414:L444"/>
    <mergeCell ref="O414:AD444"/>
    <mergeCell ref="O412:R412"/>
    <mergeCell ref="A266:C266"/>
    <mergeCell ref="A267:C267"/>
    <mergeCell ref="D266:E266"/>
    <mergeCell ref="A319:C319"/>
    <mergeCell ref="O319:R319"/>
    <mergeCell ref="A403:C403"/>
    <mergeCell ref="A408:C408"/>
    <mergeCell ref="A309:C309"/>
    <mergeCell ref="A310:C310"/>
    <mergeCell ref="A311:C311"/>
    <mergeCell ref="A306:E306"/>
    <mergeCell ref="A308:C308"/>
    <mergeCell ref="A163:C163"/>
    <mergeCell ref="A165:C165"/>
    <mergeCell ref="A212:C212"/>
    <mergeCell ref="A221:L251"/>
    <mergeCell ref="A219:C219"/>
    <mergeCell ref="O219:Q219"/>
    <mergeCell ref="AG165:AI165"/>
    <mergeCell ref="O127:AD157"/>
    <mergeCell ref="A167:L197"/>
    <mergeCell ref="O167:AD197"/>
    <mergeCell ref="A202:E202"/>
    <mergeCell ref="A204:C204"/>
    <mergeCell ref="A205:C205"/>
    <mergeCell ref="AG167:AS197"/>
    <mergeCell ref="AG221:AS251"/>
    <mergeCell ref="O165:Q165"/>
    <mergeCell ref="A208:C208"/>
    <mergeCell ref="A209:C209"/>
    <mergeCell ref="A211:C211"/>
    <mergeCell ref="A210:C210"/>
    <mergeCell ref="AE67:AG67"/>
    <mergeCell ref="A127:L157"/>
    <mergeCell ref="A69:L99"/>
    <mergeCell ref="N69:AC99"/>
    <mergeCell ref="A106:E106"/>
    <mergeCell ref="A111:C111"/>
    <mergeCell ref="A112:C112"/>
    <mergeCell ref="A113:C113"/>
    <mergeCell ref="AE69:AQ98"/>
    <mergeCell ref="AG127:AS157"/>
    <mergeCell ref="AG124:AI124"/>
    <mergeCell ref="A108:E108"/>
    <mergeCell ref="A109:E109"/>
    <mergeCell ref="O124:Q124"/>
    <mergeCell ref="A114:C114"/>
    <mergeCell ref="A122:D122"/>
    <mergeCell ref="A123:C123"/>
    <mergeCell ref="A124:C124"/>
    <mergeCell ref="A116:C116"/>
    <mergeCell ref="A117:C117"/>
    <mergeCell ref="A118:C118"/>
    <mergeCell ref="A57:E57"/>
    <mergeCell ref="A67:C67"/>
    <mergeCell ref="N67:P67"/>
    <mergeCell ref="A59:C59"/>
    <mergeCell ref="A60:C60"/>
    <mergeCell ref="A61:C61"/>
    <mergeCell ref="A62:C62"/>
    <mergeCell ref="A21:E21"/>
    <mergeCell ref="A22:D22"/>
    <mergeCell ref="A23:D23"/>
    <mergeCell ref="B25:B26"/>
    <mergeCell ref="D25:D26"/>
    <mergeCell ref="M59:N59"/>
    <mergeCell ref="M60:N60"/>
    <mergeCell ref="M61:N61"/>
    <mergeCell ref="M62:N62"/>
    <mergeCell ref="U3:AC3"/>
    <mergeCell ref="H3:L3"/>
    <mergeCell ref="M3:R18"/>
    <mergeCell ref="A4:D4"/>
    <mergeCell ref="E4:G4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11:D11"/>
    <mergeCell ref="E11:G11"/>
    <mergeCell ref="H11:L11"/>
    <mergeCell ref="H6:L6"/>
    <mergeCell ref="E18:G18"/>
    <mergeCell ref="A18:D18"/>
    <mergeCell ref="A7:D7"/>
    <mergeCell ref="E7:F7"/>
    <mergeCell ref="A16:D16"/>
    <mergeCell ref="E16:G16"/>
    <mergeCell ref="H16:L16"/>
    <mergeCell ref="A17:D17"/>
    <mergeCell ref="H7:L7"/>
    <mergeCell ref="A8:D8"/>
    <mergeCell ref="E8:F8"/>
    <mergeCell ref="H8:L8"/>
    <mergeCell ref="A1:D1"/>
    <mergeCell ref="E1:G1"/>
    <mergeCell ref="A2:D2"/>
    <mergeCell ref="E2:G2"/>
    <mergeCell ref="A3:D3"/>
    <mergeCell ref="E3:G3"/>
    <mergeCell ref="E17:G17"/>
    <mergeCell ref="H17:L17"/>
    <mergeCell ref="AE13:AI13"/>
    <mergeCell ref="AE8:AI8"/>
    <mergeCell ref="AE1:AM2"/>
    <mergeCell ref="AE3:AI3"/>
    <mergeCell ref="AJ3:AM3"/>
    <mergeCell ref="AE4:AI4"/>
    <mergeCell ref="AJ4:AM4"/>
    <mergeCell ref="AE5:AI6"/>
    <mergeCell ref="AJ5:AM5"/>
    <mergeCell ref="AJ6:AM6"/>
    <mergeCell ref="AE7:AI7"/>
    <mergeCell ref="AJ7:AM7"/>
    <mergeCell ref="AJ8:AM8"/>
    <mergeCell ref="AJ10:AM10"/>
    <mergeCell ref="AE11:AI11"/>
    <mergeCell ref="AJ11:AM11"/>
    <mergeCell ref="AE12:AI12"/>
    <mergeCell ref="AJ12:AM12"/>
    <mergeCell ref="AJ16:AM16"/>
    <mergeCell ref="AJ17:AM17"/>
    <mergeCell ref="AE16:AI16"/>
    <mergeCell ref="AE17:AI17"/>
    <mergeCell ref="AJ13:AM13"/>
    <mergeCell ref="A14:D14"/>
    <mergeCell ref="E14:G14"/>
    <mergeCell ref="H14:L14"/>
    <mergeCell ref="A9:D9"/>
    <mergeCell ref="E9:F9"/>
    <mergeCell ref="H9:L9"/>
    <mergeCell ref="A15:D15"/>
    <mergeCell ref="E15:G15"/>
    <mergeCell ref="H15:L15"/>
    <mergeCell ref="A12:D12"/>
    <mergeCell ref="E12:G12"/>
    <mergeCell ref="H12:L12"/>
    <mergeCell ref="A13:D13"/>
    <mergeCell ref="E13:G13"/>
    <mergeCell ref="H13:L13"/>
    <mergeCell ref="AE15:AI15"/>
    <mergeCell ref="AE9:AI9"/>
    <mergeCell ref="AJ9:AM9"/>
    <mergeCell ref="AE10:AI10"/>
    <mergeCell ref="AN11:AQ11"/>
    <mergeCell ref="AN12:AQ12"/>
    <mergeCell ref="AN13:AQ13"/>
    <mergeCell ref="AN3:AQ3"/>
    <mergeCell ref="AN4:AQ4"/>
    <mergeCell ref="AN5:AQ5"/>
    <mergeCell ref="AN6:AQ6"/>
    <mergeCell ref="AN7:AQ7"/>
    <mergeCell ref="AN8:AQ8"/>
    <mergeCell ref="AN9:AQ9"/>
    <mergeCell ref="AN10:AQ10"/>
    <mergeCell ref="AJ18:AM18"/>
    <mergeCell ref="AE30:AI30"/>
    <mergeCell ref="AN20:AQ20"/>
    <mergeCell ref="AN21:AQ21"/>
    <mergeCell ref="AN30:AQ30"/>
    <mergeCell ref="AE25:AI25"/>
    <mergeCell ref="AJ25:AM25"/>
    <mergeCell ref="AE18:AI18"/>
    <mergeCell ref="AE19:AI19"/>
    <mergeCell ref="AE20:AI20"/>
    <mergeCell ref="AE21:AI21"/>
    <mergeCell ref="AE14:AI14"/>
    <mergeCell ref="AJ14:AM14"/>
    <mergeCell ref="AN14:AQ14"/>
    <mergeCell ref="AN1:AQ2"/>
    <mergeCell ref="AE23:AI23"/>
    <mergeCell ref="AE24:AI24"/>
    <mergeCell ref="AE26:AI26"/>
    <mergeCell ref="AE27:AI27"/>
    <mergeCell ref="AJ27:AM27"/>
    <mergeCell ref="AN27:AQ27"/>
    <mergeCell ref="AJ22:AM22"/>
    <mergeCell ref="AN22:AQ22"/>
    <mergeCell ref="AJ23:AM23"/>
    <mergeCell ref="AN23:AQ23"/>
    <mergeCell ref="AJ24:AM24"/>
    <mergeCell ref="AN24:AQ24"/>
    <mergeCell ref="AJ26:AM26"/>
    <mergeCell ref="AN26:AQ26"/>
    <mergeCell ref="AN17:AQ17"/>
    <mergeCell ref="AN16:AQ16"/>
    <mergeCell ref="AN15:AQ15"/>
    <mergeCell ref="AN18:AQ18"/>
    <mergeCell ref="AJ15:AM15"/>
    <mergeCell ref="AN19:AQ19"/>
  </mergeCells>
  <conditionalFormatting sqref="I60:J62">
    <cfRule type="cellIs" dxfId="36" priority="58" operator="lessThan">
      <formula>0</formula>
    </cfRule>
  </conditionalFormatting>
  <conditionalFormatting sqref="I112:J114">
    <cfRule type="cellIs" dxfId="35" priority="57" operator="lessThan">
      <formula>0</formula>
    </cfRule>
  </conditionalFormatting>
  <conditionalFormatting sqref="K60:L62">
    <cfRule type="colorScale" priority="48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34" priority="55" operator="lessThan">
      <formula>0</formula>
    </cfRule>
  </conditionalFormatting>
  <conditionalFormatting sqref="H209:I212">
    <cfRule type="cellIs" dxfId="33" priority="54" operator="lessThan">
      <formula>0</formula>
    </cfRule>
  </conditionalFormatting>
  <conditionalFormatting sqref="I116:I118">
    <cfRule type="cellIs" dxfId="32" priority="53" operator="lessThan">
      <formula>0</formula>
    </cfRule>
  </conditionalFormatting>
  <conditionalFormatting sqref="J116:J118">
    <cfRule type="cellIs" dxfId="31" priority="52" operator="lessThan">
      <formula>0</formula>
    </cfRule>
  </conditionalFormatting>
  <conditionalFormatting sqref="K112:L118">
    <cfRule type="cellIs" dxfId="30" priority="51" operator="lessThan">
      <formula>0</formula>
    </cfRule>
  </conditionalFormatting>
  <conditionalFormatting sqref="J209:K212">
    <cfRule type="colorScale" priority="45">
      <colorScale>
        <cfvo type="num" val="0"/>
        <cfvo type="num" val="2"/>
        <cfvo type="num" val="5"/>
        <color rgb="FFF8696B"/>
        <color rgb="FFFFEB84"/>
        <color rgb="FF63BE7B"/>
      </colorScale>
    </cfRule>
    <cfRule type="cellIs" dxfId="29" priority="49" operator="lessThan">
      <formula>0</formula>
    </cfRule>
  </conditionalFormatting>
  <conditionalFormatting sqref="K112:L114">
    <cfRule type="colorScale" priority="47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K116:L118">
    <cfRule type="colorScale" priority="46">
      <colorScale>
        <cfvo type="num" val="0"/>
        <cfvo type="num" val="2"/>
        <cfvo type="num" val="5"/>
        <color rgb="FFF8696B"/>
        <color rgb="FFFFEB84"/>
        <color rgb="FF63BE7B"/>
      </colorScale>
    </cfRule>
  </conditionalFormatting>
  <conditionalFormatting sqref="AJ9:AM9">
    <cfRule type="expression" dxfId="28" priority="44">
      <formula>VLOOKUP(E12,B27:H53,6)&gt;$E$19</formula>
    </cfRule>
    <cfRule type="expression" dxfId="27" priority="19">
      <formula>VLOOKUP(E12,B27:H53,6)&gt;($E$19*1.3)</formula>
    </cfRule>
  </conditionalFormatting>
  <conditionalFormatting sqref="AJ15:AM15">
    <cfRule type="expression" dxfId="26" priority="41">
      <formula>OR($K$112&lt;1,$L$112&lt;1)</formula>
    </cfRule>
    <cfRule type="expression" dxfId="25" priority="15">
      <formula>OR($K$112&lt;0,$L$112&lt;0)</formula>
    </cfRule>
  </conditionalFormatting>
  <conditionalFormatting sqref="AJ16:AM16">
    <cfRule type="expression" dxfId="24" priority="40">
      <formula>OR($K$113&lt;1,$L$113&lt;1)</formula>
    </cfRule>
    <cfRule type="expression" dxfId="23" priority="14">
      <formula>OR($K$113&lt;0,$L$113&lt;0)</formula>
    </cfRule>
  </conditionalFormatting>
  <conditionalFormatting sqref="AJ17:AM17">
    <cfRule type="expression" dxfId="22" priority="39">
      <formula>OR($K$114&lt;1,$L$114&lt;1)</formula>
    </cfRule>
    <cfRule type="expression" dxfId="21" priority="13">
      <formula>OR($K$114&lt;0,$L$114&lt;0)</formula>
    </cfRule>
  </conditionalFormatting>
  <conditionalFormatting sqref="AJ19:AM19">
    <cfRule type="expression" dxfId="20" priority="38">
      <formula>OR($K$116&lt;1,$L$116&lt;1)</formula>
    </cfRule>
    <cfRule type="expression" dxfId="19" priority="12">
      <formula>OR($K$116&lt;0,$L$116&lt;0)</formula>
    </cfRule>
  </conditionalFormatting>
  <conditionalFormatting sqref="AJ20:AM20">
    <cfRule type="expression" dxfId="18" priority="37">
      <formula>OR($K$117&lt;1,$L$117&lt;1)</formula>
    </cfRule>
    <cfRule type="expression" dxfId="17" priority="11">
      <formula>OR($K$117&lt;0,$L$117&lt;0)</formula>
    </cfRule>
  </conditionalFormatting>
  <conditionalFormatting sqref="AJ21:AM21">
    <cfRule type="expression" dxfId="16" priority="36">
      <formula>OR($K$118&lt;1,$L$118&lt;1)</formula>
    </cfRule>
    <cfRule type="expression" dxfId="15" priority="10">
      <formula>OR($K$118&lt;0,$L$118&lt;0)</formula>
    </cfRule>
  </conditionalFormatting>
  <conditionalFormatting sqref="AJ23:AM23">
    <cfRule type="expression" dxfId="14" priority="35">
      <formula>OR($J209&lt;1,$K209&lt;1)</formula>
    </cfRule>
    <cfRule type="expression" dxfId="13" priority="9">
      <formula>OR($J209&lt;0,$K209&lt;0)</formula>
    </cfRule>
  </conditionalFormatting>
  <conditionalFormatting sqref="AJ24:AM24">
    <cfRule type="expression" dxfId="12" priority="34">
      <formula>OR($J210&lt;1,$K210&lt;1)</formula>
    </cfRule>
    <cfRule type="expression" dxfId="11" priority="8">
      <formula>OR($J210&lt;0,$K210&lt;0)</formula>
    </cfRule>
  </conditionalFormatting>
  <conditionalFormatting sqref="AJ25:AM25">
    <cfRule type="expression" dxfId="10" priority="33">
      <formula>OR($J211&lt;1,$K211&lt;1)</formula>
    </cfRule>
    <cfRule type="expression" dxfId="9" priority="7">
      <formula>OR($J211&lt;0,$K211&lt;0)</formula>
    </cfRule>
  </conditionalFormatting>
  <conditionalFormatting sqref="AJ26:AM26">
    <cfRule type="expression" dxfId="8" priority="32">
      <formula>OR($J212&lt;1,$K212&lt;1)</formula>
    </cfRule>
    <cfRule type="expression" dxfId="7" priority="6">
      <formula>OR($J212&lt;0,$K212&lt;0)</formula>
    </cfRule>
  </conditionalFormatting>
  <conditionalFormatting sqref="AJ27:AM27">
    <cfRule type="expression" dxfId="6" priority="31">
      <formula>$D$267&lt;($E$11*1.2)</formula>
    </cfRule>
    <cfRule type="expression" dxfId="5" priority="5">
      <formula>$D$267&lt;($E$11)</formula>
    </cfRule>
  </conditionalFormatting>
  <conditionalFormatting sqref="AJ8:AM8">
    <cfRule type="expression" dxfId="4" priority="30">
      <formula>$AJ$8="OUT OF SPEC"</formula>
    </cfRule>
  </conditionalFormatting>
  <conditionalFormatting sqref="AJ11:AM13">
    <cfRule type="expression" dxfId="3" priority="24">
      <formula>OR($K$60&lt;1,$L$60&lt;1)</formula>
    </cfRule>
    <cfRule type="expression" dxfId="2" priority="18">
      <formula>OR($K$60&lt;0,$L$60&lt;0)</formula>
    </cfRule>
  </conditionalFormatting>
  <conditionalFormatting sqref="AJ10:AM10">
    <cfRule type="expression" dxfId="1" priority="22">
      <formula>VLOOKUP(E12,B27:H54,7)&gt;0.015</formula>
    </cfRule>
    <cfRule type="expression" dxfId="0" priority="20">
      <formula>VLOOKUP(E12,B27:H54,7)&gt;0.02</formula>
    </cfRule>
  </conditionalFormatting>
  <conditionalFormatting sqref="L209:L212">
    <cfRule type="colorScale" priority="2">
      <colorScale>
        <cfvo type="num" val="0"/>
        <cfvo type="num" val="2"/>
        <cfvo type="num" val="4"/>
        <color rgb="FF00B050"/>
        <color rgb="FFFFEB84"/>
        <color rgb="FFFF0000"/>
      </colorScale>
    </cfRule>
  </conditionalFormatting>
  <conditionalFormatting sqref="M60:N62">
    <cfRule type="colorScale" priority="1">
      <colorScale>
        <cfvo type="num" val="0"/>
        <cfvo type="num" val="0.7"/>
        <cfvo type="num" val="2"/>
        <color rgb="FF92D050"/>
        <color rgb="FFFFEB84"/>
        <color rgb="FFFF0000"/>
      </colorScale>
    </cfRule>
  </conditionalFormatting>
  <pageMargins left="0.25" right="0.25" top="0.75" bottom="0.75" header="0.3" footer="0.3"/>
  <pageSetup orientation="landscape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21</xdr:col>
                    <xdr:colOff>0</xdr:colOff>
                    <xdr:row>3</xdr:row>
                    <xdr:rowOff>47625</xdr:rowOff>
                  </from>
                  <to>
                    <xdr:col>25</xdr:col>
                    <xdr:colOff>333375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38</vt:i4>
      </vt:variant>
    </vt:vector>
  </HeadingPairs>
  <TitlesOfParts>
    <vt:vector size="40" baseType="lpstr">
      <vt:lpstr>Cover</vt:lpstr>
      <vt:lpstr>Load Switch</vt:lpstr>
      <vt:lpstr>DUT_VIN</vt:lpstr>
      <vt:lpstr>DUT_VOUT</vt:lpstr>
      <vt:lpstr>ICCMAX</vt:lpstr>
      <vt:lpstr>ICCTDC</vt:lpstr>
      <vt:lpstr>MB_REV</vt:lpstr>
      <vt:lpstr>NET_NAME</vt:lpstr>
      <vt:lpstr>OCP_MEAS</vt:lpstr>
      <vt:lpstr>OVERCURRENT</vt:lpstr>
      <vt:lpstr>Summary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2024-12-19T17:19:51Z</dcterms:modified>
</cp:coreProperties>
</file>