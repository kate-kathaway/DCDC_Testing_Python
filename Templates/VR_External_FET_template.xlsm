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4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ndrew.lints\Documents\VR report generation\"/>
    </mc:Choice>
  </mc:AlternateContent>
  <xr:revisionPtr revIDLastSave="0" documentId="13_ncr:1_{A9A0F95A-6C51-4D3D-B6C3-110485D41C4B}" xr6:coauthVersionLast="36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Cover" sheetId="2" r:id="rId1"/>
    <sheet name="DISCRETE VR" sheetId="1" r:id="rId2"/>
    <sheet name="Changelog" sheetId="3" r:id="rId3"/>
  </sheets>
  <functionGroups builtInGroupCount="19"/>
  <definedNames>
    <definedName name="DT_1ST">'DISCRETE VR'!$A$961</definedName>
    <definedName name="DT_2ND">'DISCRETE VR'!$A$1000</definedName>
    <definedName name="DT_FALLING_MIN">'DISCRETE VR'!$A$777</definedName>
    <definedName name="DT_FALLING_TDC">'DISCRETE VR'!$O$777</definedName>
    <definedName name="DT_FALLING_TRAN">'DISCRETE VR'!$A$869</definedName>
    <definedName name="DT_FULL">'DISCRETE VR'!$A$699</definedName>
    <definedName name="DT_NORMAL_MEAS">'DISCRETE VR'!$D$691:$I$695</definedName>
    <definedName name="DT_RISING_MIN">'DISCRETE VR'!$A$738</definedName>
    <definedName name="DT_RISING_TDC">'DISCRETE VR'!$O$738</definedName>
    <definedName name="DT_RISING_TRAN">'DISCRETE VR'!$A$830</definedName>
    <definedName name="DT_TRAN_MEAS">'DISCRETE VR'!$D$824:$I$825</definedName>
    <definedName name="DT_TURN_ON">'DISCRETE VR'!$A$922</definedName>
    <definedName name="DT_TURNON_MEAS">'DISCRETE VR'!$D$916:$I$918</definedName>
    <definedName name="DUT_VIN">'DISCRETE VR'!$E$9</definedName>
    <definedName name="DUT_VOUT">'DISCRETE VR'!$E$6</definedName>
    <definedName name="ICCMAX">'DISCRETE VR'!$E$22</definedName>
    <definedName name="ICCTDC">'DISCRETE VR'!$E$23</definedName>
    <definedName name="JITTER_MAX">'DISCRETE VR'!$AG$414</definedName>
    <definedName name="JITTER_MEAS">'DISCRETE VR'!$D$407:$I$409</definedName>
    <definedName name="JITTER_MIN">'DISCRETE VR'!$A$414</definedName>
    <definedName name="JITTER_TDC">'DISCRETE VR'!$O$414</definedName>
    <definedName name="MB_REV">'DISCRETE VR'!$E$5</definedName>
    <definedName name="NET_NAME">'DISCRETE VR'!$E$2</definedName>
    <definedName name="OCP_MEAS">'DISCRETE VR'!$D$458</definedName>
    <definedName name="OVERCURRENT">'DISCRETE VR'!$A$461</definedName>
    <definedName name="Summary">'DISCRETE VR'!$AK$3:$AN$36</definedName>
    <definedName name="SWITCH_FREQ">'DISCRETE VR'!$E$11</definedName>
    <definedName name="tran_0_50_10000">'DISCRETE VR'!$AG$270</definedName>
    <definedName name="tran_50_100_100">'DISCRETE VR'!$A$310</definedName>
    <definedName name="tran_50_100_1000">'DISCRETE VR'!$O$310</definedName>
    <definedName name="tran_50_100_10000">'DISCRETE VR'!$AG$310</definedName>
    <definedName name="trans_0_50_100">'DISCRETE VR'!$A$270</definedName>
    <definedName name="trans_0_50_1000">'DISCRETE VR'!$O$270</definedName>
    <definedName name="TRANS_0_50_MEAS">'DISCRETE VR'!$D$255:$F$257</definedName>
    <definedName name="TRANS_50_100_MEAS">'DISCRETE VR'!$D$259:$F$261</definedName>
    <definedName name="TRANSIENT_CURR">'DISCRETE VR'!$E$24</definedName>
    <definedName name="TRANSIENT_SLEW">'DISCRETE VR'!$E$25</definedName>
    <definedName name="TURN_OFF_AC">'DISCRETE VR'!$A$645</definedName>
    <definedName name="TURN_OFF_AC_Z">'DISCRETE VR'!$O$645</definedName>
    <definedName name="TURN_OFF_MEAS">'DISCRETE VR'!$D$597:$E$600</definedName>
    <definedName name="TURN_OFF_PB">'DISCRETE VR'!$A$605</definedName>
    <definedName name="TURN_OFF_PB_Z">'DISCRETE VR'!$O$605</definedName>
    <definedName name="TURN_ON_MEAS">'DISCRETE VR'!$D$505:$D$508</definedName>
    <definedName name="TURN_ON_MIN">'DISCRETE VR'!$A$512</definedName>
    <definedName name="TURN_ON_MIN_Z">'DISCRETE VR'!$O$512</definedName>
    <definedName name="TURN_ON_TDC">'DISCRETE VR'!$A$551</definedName>
    <definedName name="TURN_ON_TDC_Z">'DISCRETE VR'!$O$551</definedName>
    <definedName name="VDS_HIGH_MEAS">'DISCRETE VR'!$R$1047:$S$1049</definedName>
    <definedName name="VDS_HIGH_MIN">'DISCRETE VR'!$O$1055</definedName>
    <definedName name="VDS_HIGH_TDC">'DISCRETE VR'!$O$1094</definedName>
    <definedName name="VDS_HIGH_TRAN">'DISCRETE VR'!$O$1133</definedName>
    <definedName name="VDS_LOW_MEAS">'DISCRETE VR'!$D$1047:$E$1049</definedName>
    <definedName name="VDS_LOW_MIN">'DISCRETE VR'!$A$1055</definedName>
    <definedName name="VDS_LOW_TDC">'DISCRETE VR'!$A$1094</definedName>
    <definedName name="VDS_LOW_TRAN">'DISCRETE VR'!$A$1133</definedName>
    <definedName name="VIN_MAX">'DISCRETE VR'!$AG$364</definedName>
    <definedName name="VIN_MEAS">'DISCRETE VR'!$D$352:$E$355</definedName>
    <definedName name="VIN_MIN">'DISCRETE VR'!$A$364</definedName>
    <definedName name="VIN_TDC">'DISCRETE VR'!$O$364</definedName>
    <definedName name="VIN_TRANS">'DISCRETE VR'!$AV$364</definedName>
    <definedName name="VO_MAX">'DISCRETE VR'!$AE$212</definedName>
    <definedName name="VO_MEAS">'DISCRETE VR'!$D$203:$F$205</definedName>
    <definedName name="VO_MIN">'DISCRETE VR'!$A$212</definedName>
    <definedName name="VO_TDC">'DISCRETE VR'!$N$212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1" i="1" l="1"/>
  <c r="AK11" i="1"/>
  <c r="D86" i="1"/>
  <c r="M203" i="1" l="1"/>
  <c r="M204" i="1" l="1"/>
  <c r="AK12" i="1" s="1"/>
  <c r="M205" i="1"/>
  <c r="L353" i="1" l="1"/>
  <c r="AK25" i="1" s="1"/>
  <c r="L354" i="1"/>
  <c r="L355" i="1"/>
  <c r="L352" i="1"/>
  <c r="AK10" i="1" l="1"/>
  <c r="AK9" i="1"/>
  <c r="AO10" i="1"/>
  <c r="AO9" i="1"/>
  <c r="AK30" i="1"/>
  <c r="C119" i="1"/>
  <c r="C120" i="1"/>
  <c r="C121" i="1"/>
  <c r="C122" i="1"/>
  <c r="C123" i="1"/>
  <c r="C124" i="1"/>
  <c r="C125" i="1"/>
  <c r="C126" i="1"/>
  <c r="C127" i="1"/>
  <c r="AO27" i="1"/>
  <c r="B88" i="1" l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86" i="1"/>
  <c r="B87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H79" i="1"/>
  <c r="H50" i="1"/>
  <c r="H51" i="1"/>
  <c r="H52" i="1"/>
  <c r="H53" i="1"/>
  <c r="H54" i="1"/>
  <c r="H55" i="1"/>
  <c r="C103" i="1" s="1"/>
  <c r="H56" i="1"/>
  <c r="C104" i="1" s="1"/>
  <c r="H57" i="1"/>
  <c r="C105" i="1" s="1"/>
  <c r="H58" i="1"/>
  <c r="H59" i="1"/>
  <c r="H60" i="1"/>
  <c r="C108" i="1" s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C106" i="1" l="1"/>
  <c r="C109" i="1"/>
  <c r="C117" i="1"/>
  <c r="C118" i="1"/>
  <c r="C115" i="1"/>
  <c r="C110" i="1"/>
  <c r="C102" i="1"/>
  <c r="C116" i="1"/>
  <c r="C114" i="1"/>
  <c r="C101" i="1"/>
  <c r="C113" i="1"/>
  <c r="C107" i="1"/>
  <c r="C100" i="1"/>
  <c r="C98" i="1"/>
  <c r="C99" i="1"/>
  <c r="C111" i="1"/>
  <c r="C112" i="1"/>
  <c r="I77" i="1"/>
  <c r="I79" i="1"/>
  <c r="I53" i="1"/>
  <c r="I78" i="1"/>
  <c r="I62" i="1"/>
  <c r="I61" i="1"/>
  <c r="I60" i="1"/>
  <c r="I59" i="1"/>
  <c r="I74" i="1"/>
  <c r="I75" i="1"/>
  <c r="I57" i="1"/>
  <c r="I72" i="1"/>
  <c r="I56" i="1"/>
  <c r="I71" i="1"/>
  <c r="I55" i="1"/>
  <c r="I54" i="1"/>
  <c r="I76" i="1"/>
  <c r="I73" i="1"/>
  <c r="I66" i="1"/>
  <c r="I50" i="1"/>
  <c r="I70" i="1"/>
  <c r="I63" i="1"/>
  <c r="I67" i="1"/>
  <c r="I52" i="1"/>
  <c r="I69" i="1"/>
  <c r="I51" i="1"/>
  <c r="I65" i="1"/>
  <c r="I64" i="1"/>
  <c r="I58" i="1"/>
  <c r="I68" i="1"/>
  <c r="AO35" i="1"/>
  <c r="AO34" i="1"/>
  <c r="AO30" i="1" l="1"/>
  <c r="AO29" i="1" l="1"/>
  <c r="AO28" i="1"/>
  <c r="AO24" i="1"/>
  <c r="AO26" i="1"/>
  <c r="AO23" i="1"/>
  <c r="AK6" i="1" l="1"/>
  <c r="AK5" i="1"/>
  <c r="AK4" i="1"/>
  <c r="AK35" i="1"/>
  <c r="AK15" i="1"/>
  <c r="AK14" i="1"/>
  <c r="AK34" i="1"/>
  <c r="AK29" i="1"/>
  <c r="AK28" i="1"/>
  <c r="AK27" i="1"/>
  <c r="AK26" i="1"/>
  <c r="AK24" i="1"/>
  <c r="AK23" i="1"/>
  <c r="AK20" i="1"/>
  <c r="AK19" i="1"/>
  <c r="AK18" i="1"/>
  <c r="AK16" i="1"/>
  <c r="AK3" i="1" l="1"/>
  <c r="F353" i="1" l="1"/>
  <c r="H353" i="1" s="1"/>
  <c r="J353" i="1" s="1"/>
  <c r="G353" i="1"/>
  <c r="I353" i="1" s="1"/>
  <c r="K353" i="1" s="1"/>
  <c r="F354" i="1"/>
  <c r="H354" i="1" s="1"/>
  <c r="J354" i="1" s="1"/>
  <c r="G354" i="1"/>
  <c r="I354" i="1" s="1"/>
  <c r="K354" i="1" s="1"/>
  <c r="F355" i="1"/>
  <c r="H355" i="1" s="1"/>
  <c r="J355" i="1" s="1"/>
  <c r="G355" i="1"/>
  <c r="I355" i="1" s="1"/>
  <c r="K355" i="1" s="1"/>
  <c r="G352" i="1"/>
  <c r="I352" i="1" s="1"/>
  <c r="K352" i="1" s="1"/>
  <c r="F352" i="1"/>
  <c r="H352" i="1" s="1"/>
  <c r="J352" i="1" s="1"/>
  <c r="H49" i="1" l="1"/>
  <c r="G49" i="1"/>
  <c r="H48" i="1"/>
  <c r="G48" i="1"/>
  <c r="H47" i="1"/>
  <c r="G47" i="1"/>
  <c r="H46" i="1"/>
  <c r="G46" i="1"/>
  <c r="H45" i="1"/>
  <c r="G45" i="1"/>
  <c r="H44" i="1"/>
  <c r="G44" i="1"/>
  <c r="H43" i="1"/>
  <c r="G43" i="1"/>
  <c r="H42" i="1"/>
  <c r="G42" i="1"/>
  <c r="H41" i="1"/>
  <c r="G41" i="1"/>
  <c r="H40" i="1"/>
  <c r="G40" i="1"/>
  <c r="H39" i="1"/>
  <c r="G39" i="1"/>
  <c r="H38" i="1"/>
  <c r="G38" i="1"/>
  <c r="C36" i="1"/>
  <c r="E8" i="1"/>
  <c r="E7" i="1"/>
  <c r="AK7" i="1" l="1"/>
  <c r="AO12" i="1"/>
  <c r="C86" i="1"/>
  <c r="C87" i="1"/>
  <c r="C91" i="1"/>
  <c r="C94" i="1"/>
  <c r="C90" i="1"/>
  <c r="C93" i="1"/>
  <c r="C96" i="1"/>
  <c r="C92" i="1"/>
  <c r="C95" i="1"/>
  <c r="C88" i="1"/>
  <c r="C89" i="1"/>
  <c r="C97" i="1"/>
  <c r="I44" i="1"/>
  <c r="I41" i="1"/>
  <c r="I43" i="1"/>
  <c r="I45" i="1"/>
  <c r="I48" i="1"/>
  <c r="I49" i="1"/>
  <c r="I39" i="1"/>
  <c r="I38" i="1"/>
  <c r="I46" i="1"/>
  <c r="I47" i="1"/>
  <c r="I40" i="1"/>
  <c r="H203" i="1"/>
  <c r="J203" i="1" s="1"/>
  <c r="L203" i="1" s="1"/>
  <c r="I42" i="1"/>
  <c r="AO20" i="1"/>
  <c r="AO18" i="1"/>
  <c r="AO16" i="1"/>
  <c r="AO19" i="1"/>
  <c r="AO15" i="1"/>
  <c r="AO14" i="1"/>
  <c r="G205" i="1"/>
  <c r="I205" i="1" s="1"/>
  <c r="K205" i="1" s="1"/>
  <c r="G259" i="1"/>
  <c r="I259" i="1" s="1"/>
  <c r="K259" i="1" s="1"/>
  <c r="H259" i="1"/>
  <c r="J259" i="1" s="1"/>
  <c r="L259" i="1" s="1"/>
  <c r="G256" i="1"/>
  <c r="I256" i="1" s="1"/>
  <c r="K256" i="1" s="1"/>
  <c r="G261" i="1"/>
  <c r="I261" i="1" s="1"/>
  <c r="K261" i="1" s="1"/>
  <c r="H256" i="1"/>
  <c r="J256" i="1" s="1"/>
  <c r="L256" i="1" s="1"/>
  <c r="H261" i="1"/>
  <c r="J261" i="1" s="1"/>
  <c r="L261" i="1" s="1"/>
  <c r="G255" i="1"/>
  <c r="I255" i="1" s="1"/>
  <c r="K255" i="1" s="1"/>
  <c r="G257" i="1"/>
  <c r="I257" i="1" s="1"/>
  <c r="K257" i="1" s="1"/>
  <c r="G260" i="1"/>
  <c r="I260" i="1" s="1"/>
  <c r="K260" i="1" s="1"/>
  <c r="H255" i="1"/>
  <c r="J255" i="1" s="1"/>
  <c r="L255" i="1" s="1"/>
  <c r="H257" i="1"/>
  <c r="J257" i="1" s="1"/>
  <c r="L257" i="1" s="1"/>
  <c r="H260" i="1"/>
  <c r="J260" i="1" s="1"/>
  <c r="L260" i="1" s="1"/>
  <c r="H204" i="1"/>
  <c r="G204" i="1"/>
  <c r="G203" i="1"/>
  <c r="H205" i="1"/>
  <c r="AK8" i="1"/>
  <c r="I204" i="1" l="1"/>
  <c r="K204" i="1" s="1"/>
  <c r="J204" i="1"/>
  <c r="L204" i="1" s="1"/>
  <c r="I203" i="1"/>
  <c r="K203" i="1" s="1"/>
  <c r="J205" i="1"/>
  <c r="L205" i="1" s="1"/>
</calcChain>
</file>

<file path=xl/sharedStrings.xml><?xml version="1.0" encoding="utf-8"?>
<sst xmlns="http://schemas.openxmlformats.org/spreadsheetml/2006/main" count="361" uniqueCount="224">
  <si>
    <t>Output Net Name:</t>
  </si>
  <si>
    <t>Tests Performed</t>
  </si>
  <si>
    <t xml:space="preserve">NOTES &amp; CHANGES:
</t>
  </si>
  <si>
    <t>Voltage vs Current</t>
  </si>
  <si>
    <t>Motherboard Rev:</t>
  </si>
  <si>
    <t>Efficiency</t>
  </si>
  <si>
    <t>Output Voltage:</t>
  </si>
  <si>
    <t>V</t>
  </si>
  <si>
    <t>Bode Plots</t>
  </si>
  <si>
    <t>Output Maximum Limit:</t>
  </si>
  <si>
    <t>Output Ripple Voltage</t>
  </si>
  <si>
    <t>Output Minimum Limit:</t>
  </si>
  <si>
    <t>Transient Response</t>
  </si>
  <si>
    <t>Controller:</t>
  </si>
  <si>
    <t>Jitter Testing</t>
  </si>
  <si>
    <t>Switching Frequency:</t>
  </si>
  <si>
    <t>Overcurrent Testing</t>
  </si>
  <si>
    <t>Driver:</t>
  </si>
  <si>
    <t>Turn-On Response Testing</t>
  </si>
  <si>
    <t>Turn-Off Response Testing</t>
  </si>
  <si>
    <t>VDS:</t>
  </si>
  <si>
    <t>Deadtime Testing (normal)</t>
  </si>
  <si>
    <t>VGS:</t>
  </si>
  <si>
    <t>Deadtime Testing (Transient Response)</t>
  </si>
  <si>
    <t>Deadtime Testing (Turn on Response)</t>
  </si>
  <si>
    <t>FET Vds stress</t>
  </si>
  <si>
    <t>Output Choke:</t>
  </si>
  <si>
    <t>ICC MAX:</t>
  </si>
  <si>
    <t>TDC Load:</t>
  </si>
  <si>
    <t>Transient Current:</t>
  </si>
  <si>
    <t>Transient Slew Rate:</t>
  </si>
  <si>
    <t>Load Point:</t>
  </si>
  <si>
    <t>Output Voltage Measurement Point:</t>
  </si>
  <si>
    <t>Vin cap:</t>
  </si>
  <si>
    <t>Vout cap:</t>
  </si>
  <si>
    <t>Voltage vs. Current</t>
  </si>
  <si>
    <t xml:space="preserve">Measurement Point(Input voltage):  </t>
  </si>
  <si>
    <t>Measurement Point(Output voltage):</t>
  </si>
  <si>
    <t>Output A</t>
  </si>
  <si>
    <r>
      <t>V</t>
    </r>
    <r>
      <rPr>
        <b/>
        <vertAlign val="subscript"/>
        <sz val="10"/>
        <color rgb="FF000000"/>
        <rFont val="Arial1"/>
      </rPr>
      <t>INPUT</t>
    </r>
  </si>
  <si>
    <r>
      <t>I</t>
    </r>
    <r>
      <rPr>
        <b/>
        <vertAlign val="subscript"/>
        <sz val="10"/>
        <color rgb="FF000000"/>
        <rFont val="Arial1"/>
      </rPr>
      <t>INPUT</t>
    </r>
  </si>
  <si>
    <t>Input power (W)</t>
  </si>
  <si>
    <t>Output Power (W)</t>
  </si>
  <si>
    <t>Cap V</t>
  </si>
  <si>
    <t>A</t>
  </si>
  <si>
    <t>Load Amps</t>
  </si>
  <si>
    <t>Minimum Load</t>
  </si>
  <si>
    <t>TDC Load</t>
  </si>
  <si>
    <t>CH1: Output Voltage</t>
  </si>
  <si>
    <t>CH3: Output Current</t>
  </si>
  <si>
    <t>Source 0%~50%</t>
  </si>
  <si>
    <t>Frequency: 100Hz</t>
  </si>
  <si>
    <t>Frequency: 1 KHz</t>
  </si>
  <si>
    <t>Frequency: 10 KHz</t>
  </si>
  <si>
    <t>Source 50%~100%</t>
  </si>
  <si>
    <t>Input Ripple Analysis</t>
  </si>
  <si>
    <t>CH1:  Input Voltage</t>
  </si>
  <si>
    <t>CH3:  Output Current</t>
  </si>
  <si>
    <t>Transient load</t>
  </si>
  <si>
    <t>CH4: Phase Node</t>
  </si>
  <si>
    <t>CH1:  Output Voltage</t>
  </si>
  <si>
    <t>CH2:  IC VCC</t>
  </si>
  <si>
    <t>CH3:  Enable Signal</t>
  </si>
  <si>
    <t>CH4: Output Voltage</t>
  </si>
  <si>
    <t>Minimum Load (zoomed in)</t>
  </si>
  <si>
    <t>TDC Load (zoomed in)</t>
  </si>
  <si>
    <t>Power Button</t>
  </si>
  <si>
    <t>Power Button (zoomed in)</t>
  </si>
  <si>
    <t>AC Power</t>
  </si>
  <si>
    <t>AC Power (zoomed in)</t>
  </si>
  <si>
    <t>CH1:  HS Gate</t>
  </si>
  <si>
    <t>CH3:  LS Gate</t>
  </si>
  <si>
    <t>Full Cycle</t>
  </si>
  <si>
    <t>Minimum Load (Rising Edge)</t>
  </si>
  <si>
    <t>TDC Load (Rising Edge)</t>
  </si>
  <si>
    <t>Min Load (Falling Edge)</t>
  </si>
  <si>
    <t>TDC Load (Falling Edge)</t>
  </si>
  <si>
    <t>Rising Edge</t>
  </si>
  <si>
    <t>FALLING EDGE</t>
  </si>
  <si>
    <t>Deadtime Testing (Turn on Response with TDC load)</t>
  </si>
  <si>
    <t>TURN ON</t>
  </si>
  <si>
    <t>Full Cycle 1</t>
  </si>
  <si>
    <t>2ND CYCLE</t>
  </si>
  <si>
    <t>CH1:  HS Source (LS VDS)</t>
  </si>
  <si>
    <t>CH4: HS DRAIN</t>
  </si>
  <si>
    <t>F1:  CH4 – CH1 (HS VDS)</t>
  </si>
  <si>
    <t>TDC load</t>
  </si>
  <si>
    <t>TRANSIENT LOAD</t>
  </si>
  <si>
    <t>Max Load</t>
  </si>
  <si>
    <t>Low  Side</t>
  </si>
  <si>
    <t>High side</t>
  </si>
  <si>
    <t>Vout measured data</t>
  </si>
  <si>
    <t>Min</t>
  </si>
  <si>
    <t>TDC</t>
  </si>
  <si>
    <t>Max</t>
  </si>
  <si>
    <t>Mean</t>
  </si>
  <si>
    <t>limit(-)</t>
  </si>
  <si>
    <t>limit (+)</t>
  </si>
  <si>
    <t>margin (-)</t>
  </si>
  <si>
    <t>margin (+)</t>
  </si>
  <si>
    <t>0-50 100Hz</t>
  </si>
  <si>
    <t>0-50 1000Hz</t>
  </si>
  <si>
    <t>0-50 10000Hz</t>
  </si>
  <si>
    <t>50-100 100Hz</t>
  </si>
  <si>
    <t>50-100 1000Hz</t>
  </si>
  <si>
    <t>50-100 10000Hz</t>
  </si>
  <si>
    <t>margin (-%)</t>
  </si>
  <si>
    <t>margin (+%)</t>
  </si>
  <si>
    <t>Jitter Measurements</t>
  </si>
  <si>
    <t>Std_Dev</t>
  </si>
  <si>
    <t>Switching frequency</t>
  </si>
  <si>
    <t>Duty Cycle</t>
  </si>
  <si>
    <t>Input Voltage measurements</t>
  </si>
  <si>
    <t>Transient</t>
  </si>
  <si>
    <t>Input Voltage</t>
  </si>
  <si>
    <t>Input ripple voltage</t>
  </si>
  <si>
    <t>Make a copy of this template into the results folder from Labview</t>
  </si>
  <si>
    <t>Overcurrent measurements</t>
  </si>
  <si>
    <t>Output Current</t>
  </si>
  <si>
    <t>Peak (100ms) Current</t>
  </si>
  <si>
    <t>Iout</t>
  </si>
  <si>
    <t>MOSFET VDS measurments</t>
  </si>
  <si>
    <t>Rise Time</t>
  </si>
  <si>
    <t>Fall Time</t>
  </si>
  <si>
    <t>Min load</t>
  </si>
  <si>
    <t>Min load Zoom</t>
  </si>
  <si>
    <t>TDC Load zoom</t>
  </si>
  <si>
    <t>Turn On Measurements</t>
  </si>
  <si>
    <t>Turn Off Measurements</t>
  </si>
  <si>
    <t>Power button</t>
  </si>
  <si>
    <t>Power button Zoom</t>
  </si>
  <si>
    <t xml:space="preserve">AC Power </t>
  </si>
  <si>
    <t>AC Power zoom</t>
  </si>
  <si>
    <t>Output low level</t>
  </si>
  <si>
    <t>CH4:  LS Drain</t>
  </si>
  <si>
    <t>CH2:  HS Drain</t>
  </si>
  <si>
    <t>Dead time measurements</t>
  </si>
  <si>
    <t>Min rising</t>
  </si>
  <si>
    <t>Min Falling</t>
  </si>
  <si>
    <t>TDC Rising</t>
  </si>
  <si>
    <t>TDC Falling</t>
  </si>
  <si>
    <t>Dead Time L -&gt; H</t>
  </si>
  <si>
    <t>Dead Time H -&gt; L</t>
  </si>
  <si>
    <t>Rising edge</t>
  </si>
  <si>
    <t>1st</t>
  </si>
  <si>
    <t>2nd</t>
  </si>
  <si>
    <t>Turn - on</t>
  </si>
  <si>
    <t>Falling edge</t>
  </si>
  <si>
    <t>Regulator</t>
  </si>
  <si>
    <t>Test Conditions</t>
  </si>
  <si>
    <t>Efficiency (AT TDC)</t>
  </si>
  <si>
    <t>Output Ripple Voltage @ Min Load</t>
  </si>
  <si>
    <t>Output Ripple Voltage @ TDC Load</t>
  </si>
  <si>
    <t>0%~50%</t>
  </si>
  <si>
    <t xml:space="preserve">    Transient Response@ Freq.= 100 HZ</t>
  </si>
  <si>
    <t xml:space="preserve">    Transient response@ Freq.= 1 KHZ</t>
  </si>
  <si>
    <t xml:space="preserve">    Transient response@ Freq.= 10 KHz</t>
  </si>
  <si>
    <t>50%~100%</t>
  </si>
  <si>
    <t>Input Ripple Voltage @ Min Load</t>
  </si>
  <si>
    <t>Input Ripple Voltage @ TDC Load</t>
  </si>
  <si>
    <t>Input Ripple Voltage @ Transient Load</t>
  </si>
  <si>
    <t>Jitter Testing @ Min Load (DUTY CYCLE)</t>
  </si>
  <si>
    <t>Jitter Testing @ TDC Load (DUTY CYCLE)</t>
  </si>
  <si>
    <t>FET Vds stress (HS)</t>
  </si>
  <si>
    <t>FET Vds stress (LS)</t>
  </si>
  <si>
    <t>Test Result</t>
  </si>
  <si>
    <t>Specification</t>
  </si>
  <si>
    <t>SUMMARY</t>
  </si>
  <si>
    <t>&gt;85%</t>
  </si>
  <si>
    <t>controlled repsonse, no overshoot</t>
  </si>
  <si>
    <t>controlled repsonse, no undershoot</t>
  </si>
  <si>
    <t>NO CROSS CONDUCTION</t>
  </si>
  <si>
    <t>High Side FET:</t>
  </si>
  <si>
    <t xml:space="preserve">Low Side FET:  </t>
  </si>
  <si>
    <t>Vth_max:</t>
  </si>
  <si>
    <t>ONLOGIC CONFIDENTIAL</t>
  </si>
  <si>
    <t>Test Engineer</t>
  </si>
  <si>
    <t>Date of test</t>
  </si>
  <si>
    <t>Test location</t>
  </si>
  <si>
    <t>[Expansion card tests] Motherboard revision used</t>
  </si>
  <si>
    <t>Test instructions</t>
  </si>
  <si>
    <t>Test plan revision #</t>
  </si>
  <si>
    <t>Test equipment used</t>
  </si>
  <si>
    <t>Calibration Due Date</t>
  </si>
  <si>
    <t>Summary of results</t>
  </si>
  <si>
    <t>Observed Anomalies</t>
  </si>
  <si>
    <t>Follow-up Steps</t>
  </si>
  <si>
    <t>Prepared by:</t>
  </si>
  <si>
    <t>[Name + Date]</t>
  </si>
  <si>
    <t>Reviewed by:</t>
  </si>
  <si>
    <t>WITHIN LIMITS</t>
  </si>
  <si>
    <t>Bode Plot measured data</t>
  </si>
  <si>
    <t>Phase margin (degrees)</t>
  </si>
  <si>
    <t>Gain Margin (dB)</t>
  </si>
  <si>
    <t>Test Limit</t>
  </si>
  <si>
    <t>Bode Plots Minimum load</t>
  </si>
  <si>
    <t>Bode Plots TDC load</t>
  </si>
  <si>
    <t xml:space="preserve">[Project xxx]
Voltage regulator tests(External MOSFET) </t>
  </si>
  <si>
    <t xml:space="preserve">Orange cells are results that are close to test limits (&lt;1% margin for voltage tests). 
Red cells are results that exceed test limits
Check test results tables below for exact values </t>
  </si>
  <si>
    <t>Phase Limit  (degrees)</t>
  </si>
  <si>
    <t>Gain Limit(dB)</t>
  </si>
  <si>
    <t>Bode Plots (Optional if control loop not exposed)</t>
  </si>
  <si>
    <t>HEAT GENERATED (w)</t>
  </si>
  <si>
    <t>DC-DC Test instructions V1.0</t>
  </si>
  <si>
    <t>V1.0</t>
  </si>
  <si>
    <t>HDO6104A</t>
  </si>
  <si>
    <t>Bode 100</t>
  </si>
  <si>
    <t>DL10-HCM</t>
  </si>
  <si>
    <t>BK9202</t>
  </si>
  <si>
    <t>Chroma 63004</t>
  </si>
  <si>
    <t>Ripple (% Vin)</t>
  </si>
  <si>
    <t>V1.1</t>
  </si>
  <si>
    <t>version</t>
  </si>
  <si>
    <t>change notes</t>
  </si>
  <si>
    <t>-Initial release</t>
  </si>
  <si>
    <t>Input Ripple percentage @ TDC Load</t>
  </si>
  <si>
    <t>&lt;2%</t>
  </si>
  <si>
    <t>Ripple (%)</t>
  </si>
  <si>
    <t>-added Vin ripple parameter to account for DC drop during testing
-Added Vout ripple parameter to measurement table &amp; summary</t>
  </si>
  <si>
    <t>V1.1.1</t>
  </si>
  <si>
    <t>-fixed conditional formatting for ripple % reporting and Bode results</t>
  </si>
  <si>
    <t>V1.2</t>
  </si>
  <si>
    <t>"-fixed switching frequency not importing from parameters
-Added automatic adding efficiency results to table &amp; Eff. graph
-changelog moved to google sheets</t>
  </si>
  <si>
    <t>V1.4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</si>
</sst>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.000"/>
    <numFmt numFmtId="166" formatCode="0.0000"/>
    <numFmt numFmtId="167" formatCode="0.0%"/>
  </numFmts>
  <fonts count="35">
    <font>
      <sz val="11"/>
      <color theme="1"/>
      <name val="Arial"/>
      <family val="2"/>
    </font>
    <font>
      <sz val="12"/>
      <color theme="1"/>
      <name val="Arial1"/>
    </font>
    <font>
      <sz val="14"/>
      <color rgb="FF000000"/>
      <name val="Arial1"/>
    </font>
    <font>
      <b/>
      <sz val="14"/>
      <color rgb="FF0000FF"/>
      <name val="Arial1"/>
    </font>
    <font>
      <b/>
      <sz val="12"/>
      <color rgb="FF0000FF"/>
      <name val="Arial1"/>
    </font>
    <font>
      <sz val="12"/>
      <color rgb="FF000080"/>
      <name val="Arial1"/>
    </font>
    <font>
      <sz val="12"/>
      <color rgb="FF0000FF"/>
      <name val="Arial1"/>
    </font>
    <font>
      <b/>
      <sz val="16"/>
      <color rgb="FF0000FF"/>
      <name val="Arial1"/>
    </font>
    <font>
      <sz val="12"/>
      <color rgb="FFFFFFFF"/>
      <name val="Arial1"/>
    </font>
    <font>
      <b/>
      <i/>
      <sz val="10"/>
      <color rgb="FFFFFFFF"/>
      <name val="Arial1"/>
    </font>
    <font>
      <b/>
      <sz val="10"/>
      <color rgb="FF000000"/>
      <name val="Arial1"/>
    </font>
    <font>
      <b/>
      <vertAlign val="subscript"/>
      <sz val="10"/>
      <color rgb="FF000000"/>
      <name val="Arial1"/>
    </font>
    <font>
      <b/>
      <sz val="11"/>
      <color rgb="FF000000"/>
      <name val="Noto Sans Symbols"/>
    </font>
    <font>
      <b/>
      <i/>
      <sz val="10"/>
      <color rgb="FF003366"/>
      <name val="Arial1"/>
    </font>
    <font>
      <b/>
      <sz val="10"/>
      <color theme="1"/>
      <name val="Arial1"/>
    </font>
    <font>
      <sz val="10"/>
      <color theme="1"/>
      <name val="Arial1"/>
    </font>
    <font>
      <sz val="11"/>
      <color theme="1"/>
      <name val="Cambria"/>
      <family val="1"/>
    </font>
    <font>
      <b/>
      <sz val="12"/>
      <color theme="1"/>
      <name val="Arial1"/>
    </font>
    <font>
      <sz val="12"/>
      <color theme="1"/>
      <name val="PMingLiU"/>
      <family val="1"/>
    </font>
    <font>
      <sz val="24"/>
      <color theme="1"/>
      <name val="Arial1"/>
    </font>
    <font>
      <sz val="24"/>
      <color theme="1"/>
      <name val="Arial"/>
      <family val="2"/>
    </font>
    <font>
      <b/>
      <sz val="14"/>
      <color rgb="FF000000"/>
      <name val="Arial1"/>
    </font>
    <font>
      <b/>
      <sz val="14"/>
      <color theme="1"/>
      <name val="Arial1"/>
    </font>
    <font>
      <sz val="11"/>
      <color rgb="FF000000"/>
      <name val="Arial"/>
      <family val="2"/>
    </font>
    <font>
      <sz val="14"/>
      <color theme="1"/>
      <name val="Arial1"/>
    </font>
    <font>
      <sz val="22"/>
      <color theme="1"/>
      <name val="Arial"/>
      <family val="2"/>
    </font>
    <font>
      <sz val="18"/>
      <color theme="1"/>
      <name val="Arial"/>
      <family val="2"/>
    </font>
    <font>
      <sz val="10"/>
      <color rgb="FF000000"/>
      <name val="Arial"/>
      <family val="2"/>
    </font>
    <font>
      <b/>
      <sz val="14"/>
      <color theme="1"/>
      <name val="Heebo"/>
    </font>
    <font>
      <b/>
      <sz val="18"/>
      <color theme="1"/>
      <name val="Heebo"/>
    </font>
    <font>
      <sz val="10"/>
      <name val="Arial"/>
      <family val="2"/>
    </font>
    <font>
      <u/>
      <sz val="11"/>
      <color theme="10"/>
      <name val="Arial"/>
      <family val="2"/>
    </font>
    <font>
      <sz val="14"/>
      <color theme="1"/>
      <name val="Heebo"/>
    </font>
    <font>
      <sz val="10"/>
      <color theme="1"/>
      <name val="Arial"/>
      <family val="2"/>
    </font>
    <font>
      <sz val="12"/>
      <color theme="0"/>
      <name val="Arial1"/>
    </font>
  </fonts>
  <fills count="22">
    <fill>
      <patternFill patternType="none"/>
    </fill>
    <fill>
      <patternFill patternType="gray125"/>
    </fill>
    <fill>
      <patternFill patternType="solid">
        <fgColor rgb="FF99CCFF"/>
        <bgColor rgb="FF99CCFF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DDDDDD"/>
        <bgColor rgb="FFDDDDDD"/>
      </patternFill>
    </fill>
    <fill>
      <patternFill patternType="solid">
        <fgColor rgb="FFFFCC00"/>
        <bgColor rgb="FFFFCC00"/>
      </patternFill>
    </fill>
    <fill>
      <patternFill patternType="solid">
        <fgColor rgb="FF99CC00"/>
        <bgColor rgb="FF99CC00"/>
      </patternFill>
    </fill>
    <fill>
      <patternFill patternType="solid">
        <fgColor rgb="FF6FA8DC"/>
        <bgColor rgb="FF6FA8DC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rgb="FF00FF00"/>
      </patternFill>
    </fill>
    <fill>
      <patternFill patternType="solid">
        <fgColor rgb="FFFF3399"/>
        <bgColor rgb="FFFF3399"/>
      </patternFill>
    </fill>
    <fill>
      <patternFill patternType="solid">
        <fgColor rgb="FFFF9900"/>
        <bgColor rgb="FFFF99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0D3D4"/>
        <bgColor rgb="FFD0D3D4"/>
      </patternFill>
    </fill>
    <fill>
      <patternFill patternType="solid">
        <fgColor rgb="FFFF8200"/>
        <bgColor rgb="FFFF8200"/>
      </patternFill>
    </fill>
  </fills>
  <borders count="8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FF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27" fillId="0" borderId="0"/>
    <xf numFmtId="0" fontId="31" fillId="0" borderId="0" applyNumberFormat="0" applyFill="0" applyBorder="0" applyAlignment="0" applyProtection="0"/>
  </cellStyleXfs>
  <cellXfs count="247">
    <xf numFmtId="0" fontId="0" fillId="0" borderId="0" xfId="0"/>
    <xf numFmtId="0" fontId="1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left" vertical="top" wrapText="1"/>
    </xf>
    <xf numFmtId="0" fontId="1" fillId="0" borderId="4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164" fontId="9" fillId="0" borderId="0" xfId="0" applyNumberFormat="1" applyFont="1" applyAlignment="1">
      <alignment horizontal="center"/>
    </xf>
    <xf numFmtId="0" fontId="10" fillId="6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center" vertical="center" wrapText="1"/>
    </xf>
    <xf numFmtId="0" fontId="10" fillId="7" borderId="8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 wrapText="1"/>
    </xf>
    <xf numFmtId="2" fontId="13" fillId="0" borderId="1" xfId="0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center"/>
    </xf>
    <xf numFmtId="1" fontId="13" fillId="0" borderId="1" xfId="0" applyNumberFormat="1" applyFont="1" applyBorder="1" applyAlignment="1">
      <alignment horizontal="center"/>
    </xf>
    <xf numFmtId="166" fontId="13" fillId="0" borderId="1" xfId="0" applyNumberFormat="1" applyFont="1" applyBorder="1" applyAlignment="1">
      <alignment horizontal="center"/>
    </xf>
    <xf numFmtId="1" fontId="13" fillId="0" borderId="1" xfId="0" applyNumberFormat="1" applyFont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/>
    </xf>
    <xf numFmtId="167" fontId="15" fillId="0" borderId="1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Border="1"/>
    <xf numFmtId="0" fontId="1" fillId="0" borderId="0" xfId="0" applyFont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27" fillId="0" borderId="0" xfId="1" applyFont="1" applyAlignment="1"/>
    <xf numFmtId="0" fontId="1" fillId="15" borderId="10" xfId="0" applyFont="1" applyFill="1" applyBorder="1" applyAlignment="1">
      <alignment horizontal="center" vertical="center"/>
    </xf>
    <xf numFmtId="0" fontId="1" fillId="15" borderId="10" xfId="0" quotePrefix="1" applyFont="1" applyFill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0" fillId="14" borderId="13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1" fillId="0" borderId="10" xfId="0" applyFont="1" applyBorder="1" applyAlignment="1">
      <alignment horizontal="center" vertical="center" wrapText="1"/>
    </xf>
    <xf numFmtId="0" fontId="5" fillId="0" borderId="78" xfId="0" applyFont="1" applyBorder="1" applyAlignment="1">
      <alignment vertical="center"/>
    </xf>
    <xf numFmtId="0" fontId="5" fillId="0" borderId="63" xfId="0" applyFont="1" applyBorder="1" applyAlignment="1">
      <alignment vertical="center"/>
    </xf>
    <xf numFmtId="0" fontId="5" fillId="0" borderId="80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0" xfId="0" applyBorder="1"/>
    <xf numFmtId="0" fontId="0" fillId="0" borderId="10" xfId="0" quotePrefix="1" applyBorder="1"/>
    <xf numFmtId="0" fontId="1" fillId="0" borderId="10" xfId="0" applyFont="1" applyBorder="1" applyAlignment="1">
      <alignment horizontal="center" vertical="center"/>
    </xf>
    <xf numFmtId="0" fontId="0" fillId="0" borderId="10" xfId="0" quotePrefix="1" applyBorder="1" applyAlignment="1">
      <alignment wrapText="1"/>
    </xf>
    <xf numFmtId="0" fontId="33" fillId="0" borderId="0" xfId="0" applyFont="1"/>
    <xf numFmtId="0" fontId="0" fillId="0" borderId="10" xfId="0" applyBorder="1" applyAlignment="1">
      <alignment wrapText="1"/>
    </xf>
    <xf numFmtId="0" fontId="34" fillId="0" borderId="0" xfId="0" applyFont="1" applyAlignment="1">
      <alignment vertical="center"/>
    </xf>
    <xf numFmtId="0" fontId="28" fillId="20" borderId="0" xfId="1" applyFont="1" applyFill="1" applyAlignment="1">
      <alignment horizontal="right"/>
    </xf>
    <xf numFmtId="0" fontId="27" fillId="0" borderId="0" xfId="1" applyFont="1" applyAlignment="1"/>
    <xf numFmtId="0" fontId="29" fillId="21" borderId="6" xfId="1" applyFont="1" applyFill="1" applyBorder="1" applyAlignment="1">
      <alignment horizontal="center" vertical="center" wrapText="1"/>
    </xf>
    <xf numFmtId="0" fontId="30" fillId="0" borderId="21" xfId="1" applyFont="1" applyBorder="1"/>
    <xf numFmtId="0" fontId="30" fillId="0" borderId="29" xfId="1" applyFont="1" applyBorder="1"/>
    <xf numFmtId="0" fontId="30" fillId="0" borderId="12" xfId="1" applyFont="1" applyBorder="1"/>
    <xf numFmtId="0" fontId="30" fillId="0" borderId="2" xfId="1" applyFont="1" applyBorder="1"/>
    <xf numFmtId="0" fontId="30" fillId="0" borderId="9" xfId="1" applyFont="1" applyBorder="1"/>
    <xf numFmtId="0" fontId="30" fillId="0" borderId="22" xfId="1" applyFont="1" applyBorder="1"/>
    <xf numFmtId="0" fontId="30" fillId="0" borderId="30" xfId="1" applyFont="1" applyBorder="1"/>
    <xf numFmtId="0" fontId="28" fillId="0" borderId="31" xfId="1" applyFont="1" applyBorder="1" applyAlignment="1">
      <alignment horizontal="left"/>
    </xf>
    <xf numFmtId="0" fontId="30" fillId="0" borderId="32" xfId="1" applyFont="1" applyBorder="1"/>
    <xf numFmtId="0" fontId="30" fillId="0" borderId="33" xfId="1" applyFont="1" applyBorder="1"/>
    <xf numFmtId="0" fontId="28" fillId="0" borderId="34" xfId="1" applyFont="1" applyBorder="1" applyAlignment="1">
      <alignment horizontal="left"/>
    </xf>
    <xf numFmtId="0" fontId="30" fillId="0" borderId="35" xfId="1" applyFont="1" applyBorder="1"/>
    <xf numFmtId="0" fontId="28" fillId="0" borderId="36" xfId="1" applyFont="1" applyBorder="1" applyAlignment="1">
      <alignment horizontal="left"/>
    </xf>
    <xf numFmtId="0" fontId="30" fillId="0" borderId="17" xfId="1" applyFont="1" applyBorder="1"/>
    <xf numFmtId="0" fontId="30" fillId="0" borderId="11" xfId="1" applyFont="1" applyBorder="1"/>
    <xf numFmtId="14" fontId="28" fillId="0" borderId="7" xfId="1" applyNumberFormat="1" applyFont="1" applyBorder="1" applyAlignment="1">
      <alignment horizontal="left"/>
    </xf>
    <xf numFmtId="0" fontId="30" fillId="0" borderId="37" xfId="1" applyFont="1" applyBorder="1"/>
    <xf numFmtId="0" fontId="28" fillId="0" borderId="45" xfId="1" applyFont="1" applyBorder="1" applyAlignment="1">
      <alignment horizontal="left"/>
    </xf>
    <xf numFmtId="0" fontId="30" fillId="0" borderId="46" xfId="1" applyFont="1" applyBorder="1"/>
    <xf numFmtId="0" fontId="30" fillId="0" borderId="47" xfId="1" applyFont="1" applyBorder="1"/>
    <xf numFmtId="0" fontId="28" fillId="0" borderId="48" xfId="1" applyFont="1" applyBorder="1" applyAlignment="1">
      <alignment horizontal="left"/>
    </xf>
    <xf numFmtId="0" fontId="30" fillId="0" borderId="49" xfId="1" applyFont="1" applyBorder="1"/>
    <xf numFmtId="0" fontId="28" fillId="0" borderId="7" xfId="1" applyFont="1" applyBorder="1" applyAlignment="1">
      <alignment horizontal="left"/>
    </xf>
    <xf numFmtId="0" fontId="28" fillId="0" borderId="38" xfId="1" applyFont="1" applyBorder="1" applyAlignment="1">
      <alignment horizontal="left" wrapText="1"/>
    </xf>
    <xf numFmtId="0" fontId="30" fillId="0" borderId="39" xfId="1" applyFont="1" applyBorder="1"/>
    <xf numFmtId="0" fontId="30" fillId="0" borderId="40" xfId="1" applyFont="1" applyBorder="1"/>
    <xf numFmtId="0" fontId="28" fillId="0" borderId="41" xfId="1" applyFont="1" applyBorder="1" applyAlignment="1">
      <alignment horizontal="left"/>
    </xf>
    <xf numFmtId="0" fontId="30" fillId="0" borderId="42" xfId="1" applyFont="1" applyBorder="1"/>
    <xf numFmtId="0" fontId="28" fillId="0" borderId="43" xfId="1" applyFont="1" applyBorder="1" applyAlignment="1">
      <alignment horizontal="left"/>
    </xf>
    <xf numFmtId="0" fontId="28" fillId="0" borderId="0" xfId="1" applyFont="1" applyAlignment="1">
      <alignment horizontal="left"/>
    </xf>
    <xf numFmtId="0" fontId="30" fillId="0" borderId="44" xfId="1" applyFont="1" applyBorder="1"/>
    <xf numFmtId="0" fontId="31" fillId="0" borderId="34" xfId="2" applyBorder="1" applyAlignment="1">
      <alignment horizontal="left"/>
    </xf>
    <xf numFmtId="0" fontId="31" fillId="0" borderId="32" xfId="2" applyBorder="1"/>
    <xf numFmtId="0" fontId="31" fillId="0" borderId="35" xfId="2" applyBorder="1"/>
    <xf numFmtId="0" fontId="28" fillId="0" borderId="38" xfId="1" applyFont="1" applyBorder="1" applyAlignment="1">
      <alignment horizontal="left"/>
    </xf>
    <xf numFmtId="0" fontId="30" fillId="0" borderId="43" xfId="1" applyFont="1" applyBorder="1"/>
    <xf numFmtId="0" fontId="32" fillId="0" borderId="50" xfId="1" applyFont="1" applyBorder="1" applyAlignment="1">
      <alignment horizontal="center"/>
    </xf>
    <xf numFmtId="0" fontId="30" fillId="0" borderId="22" xfId="1" applyFont="1" applyBorder="1" applyAlignment="1">
      <alignment horizontal="center"/>
    </xf>
    <xf numFmtId="0" fontId="30" fillId="0" borderId="30" xfId="1" applyFont="1" applyBorder="1" applyAlignment="1">
      <alignment horizontal="center"/>
    </xf>
    <xf numFmtId="14" fontId="28" fillId="0" borderId="9" xfId="1" applyNumberFormat="1" applyFont="1" applyBorder="1" applyAlignment="1">
      <alignment horizontal="left"/>
    </xf>
    <xf numFmtId="0" fontId="30" fillId="0" borderId="51" xfId="1" applyFont="1" applyBorder="1"/>
    <xf numFmtId="0" fontId="32" fillId="0" borderId="36" xfId="1" applyFont="1" applyBorder="1" applyAlignment="1">
      <alignment horizontal="center"/>
    </xf>
    <xf numFmtId="0" fontId="30" fillId="0" borderId="17" xfId="1" applyFont="1" applyBorder="1" applyAlignment="1">
      <alignment horizontal="center"/>
    </xf>
    <xf numFmtId="0" fontId="30" fillId="0" borderId="11" xfId="1" applyFont="1" applyBorder="1" applyAlignment="1">
      <alignment horizontal="center"/>
    </xf>
    <xf numFmtId="0" fontId="28" fillId="0" borderId="48" xfId="1" applyFont="1" applyBorder="1" applyAlignment="1">
      <alignment horizontal="left" wrapText="1"/>
    </xf>
    <xf numFmtId="0" fontId="30" fillId="0" borderId="46" xfId="1" applyFont="1" applyBorder="1" applyAlignment="1">
      <alignment wrapText="1"/>
    </xf>
    <xf numFmtId="0" fontId="30" fillId="0" borderId="49" xfId="1" applyFont="1" applyBorder="1" applyAlignment="1">
      <alignment wrapText="1"/>
    </xf>
    <xf numFmtId="0" fontId="25" fillId="18" borderId="23" xfId="0" applyFont="1" applyFill="1" applyBorder="1" applyAlignment="1">
      <alignment horizontal="center"/>
    </xf>
    <xf numFmtId="0" fontId="25" fillId="18" borderId="24" xfId="0" applyFont="1" applyFill="1" applyBorder="1" applyAlignment="1">
      <alignment horizontal="center"/>
    </xf>
    <xf numFmtId="0" fontId="25" fillId="18" borderId="25" xfId="0" applyFont="1" applyFill="1" applyBorder="1" applyAlignment="1">
      <alignment horizontal="center"/>
    </xf>
    <xf numFmtId="0" fontId="25" fillId="18" borderId="26" xfId="0" applyFont="1" applyFill="1" applyBorder="1" applyAlignment="1">
      <alignment horizontal="center"/>
    </xf>
    <xf numFmtId="0" fontId="25" fillId="18" borderId="27" xfId="0" applyFont="1" applyFill="1" applyBorder="1" applyAlignment="1">
      <alignment horizontal="center"/>
    </xf>
    <xf numFmtId="0" fontId="25" fillId="18" borderId="28" xfId="0" applyFont="1" applyFill="1" applyBorder="1" applyAlignment="1">
      <alignment horizontal="center"/>
    </xf>
    <xf numFmtId="0" fontId="1" fillId="5" borderId="18" xfId="0" applyFont="1" applyFill="1" applyBorder="1" applyAlignment="1">
      <alignment horizontal="center"/>
    </xf>
    <xf numFmtId="0" fontId="1" fillId="5" borderId="19" xfId="0" applyFont="1" applyFill="1" applyBorder="1" applyAlignment="1">
      <alignment horizontal="center" vertical="top"/>
    </xf>
    <xf numFmtId="0" fontId="1" fillId="5" borderId="20" xfId="0" applyFont="1" applyFill="1" applyBorder="1" applyAlignment="1">
      <alignment horizontal="center" vertical="top"/>
    </xf>
    <xf numFmtId="0" fontId="0" fillId="0" borderId="10" xfId="0" applyBorder="1" applyAlignment="1">
      <alignment horizontal="center"/>
    </xf>
    <xf numFmtId="0" fontId="24" fillId="4" borderId="6" xfId="0" applyFont="1" applyFill="1" applyBorder="1" applyAlignment="1">
      <alignment horizontal="center" vertical="center"/>
    </xf>
    <xf numFmtId="0" fontId="24" fillId="4" borderId="21" xfId="0" applyFont="1" applyFill="1" applyBorder="1" applyAlignment="1">
      <alignment horizontal="center" vertical="center"/>
    </xf>
    <xf numFmtId="0" fontId="24" fillId="4" borderId="9" xfId="0" applyFont="1" applyFill="1" applyBorder="1" applyAlignment="1">
      <alignment horizontal="center" vertical="center"/>
    </xf>
    <xf numFmtId="0" fontId="24" fillId="4" borderId="22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 vertical="top"/>
    </xf>
    <xf numFmtId="0" fontId="1" fillId="5" borderId="17" xfId="0" applyFont="1" applyFill="1" applyBorder="1" applyAlignment="1">
      <alignment horizontal="center" vertical="top"/>
    </xf>
    <xf numFmtId="0" fontId="1" fillId="4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19" borderId="10" xfId="0" applyFill="1" applyBorder="1" applyAlignment="1">
      <alignment horizontal="center"/>
    </xf>
    <xf numFmtId="0" fontId="1" fillId="0" borderId="7" xfId="0" applyFont="1" applyFill="1" applyBorder="1" applyAlignment="1">
      <alignment horizontal="center" vertical="top"/>
    </xf>
    <xf numFmtId="0" fontId="1" fillId="0" borderId="17" xfId="0" applyFont="1" applyFill="1" applyBorder="1" applyAlignment="1">
      <alignment horizontal="center" vertical="top"/>
    </xf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/>
    </xf>
    <xf numFmtId="0" fontId="17" fillId="9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17" fillId="11" borderId="0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22" fillId="17" borderId="0" xfId="0" applyFont="1" applyFill="1" applyAlignment="1">
      <alignment horizontal="center" vertical="center"/>
    </xf>
    <xf numFmtId="0" fontId="1" fillId="4" borderId="0" xfId="0" applyFont="1" applyFill="1" applyBorder="1" applyAlignment="1">
      <alignment vertical="center"/>
    </xf>
    <xf numFmtId="0" fontId="17" fillId="12" borderId="0" xfId="0" applyFont="1" applyFill="1" applyBorder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20" fillId="13" borderId="0" xfId="0" applyFont="1" applyFill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9" borderId="0" xfId="0" applyFont="1" applyFill="1" applyBorder="1" applyAlignment="1">
      <alignment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ill="1" applyBorder="1"/>
    <xf numFmtId="0" fontId="2" fillId="3" borderId="1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center" vertical="center" wrapText="1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14" fillId="0" borderId="8" xfId="0" applyFont="1" applyFill="1" applyBorder="1" applyAlignment="1">
      <alignment horizontal="center" vertical="center"/>
    </xf>
    <xf numFmtId="0" fontId="2" fillId="2" borderId="79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0" fillId="4" borderId="8" xfId="0" applyFill="1" applyBorder="1"/>
    <xf numFmtId="0" fontId="0" fillId="4" borderId="80" xfId="0" applyFill="1" applyBorder="1"/>
    <xf numFmtId="0" fontId="2" fillId="2" borderId="64" xfId="0" applyFont="1" applyFill="1" applyBorder="1" applyAlignment="1">
      <alignment horizontal="left" vertical="center"/>
    </xf>
    <xf numFmtId="0" fontId="2" fillId="2" borderId="65" xfId="0" applyFont="1" applyFill="1" applyBorder="1" applyAlignment="1">
      <alignment horizontal="left" vertical="center"/>
    </xf>
    <xf numFmtId="0" fontId="0" fillId="4" borderId="65" xfId="0" applyFill="1" applyBorder="1"/>
    <xf numFmtId="0" fontId="0" fillId="4" borderId="66" xfId="0" applyFill="1" applyBorder="1"/>
    <xf numFmtId="0" fontId="2" fillId="3" borderId="64" xfId="0" applyFont="1" applyFill="1" applyBorder="1" applyAlignment="1">
      <alignment horizontal="left" vertical="center"/>
    </xf>
    <xf numFmtId="0" fontId="2" fillId="3" borderId="65" xfId="0" applyFont="1" applyFill="1" applyBorder="1" applyAlignment="1">
      <alignment horizontal="left" vertical="center"/>
    </xf>
    <xf numFmtId="0" fontId="0" fillId="0" borderId="65" xfId="0" applyFill="1" applyBorder="1"/>
    <xf numFmtId="0" fontId="0" fillId="0" borderId="66" xfId="0" applyFill="1" applyBorder="1"/>
    <xf numFmtId="0" fontId="4" fillId="0" borderId="16" xfId="0" applyFont="1" applyFill="1" applyBorder="1" applyAlignment="1">
      <alignment horizontal="left" vertical="center"/>
    </xf>
    <xf numFmtId="0" fontId="4" fillId="0" borderId="10" xfId="0" applyFont="1" applyFill="1" applyBorder="1" applyAlignment="1">
      <alignment horizontal="left" vertical="center"/>
    </xf>
    <xf numFmtId="0" fontId="4" fillId="0" borderId="56" xfId="0" applyFont="1" applyFill="1" applyBorder="1" applyAlignment="1">
      <alignment horizontal="left" vertical="center"/>
    </xf>
    <xf numFmtId="0" fontId="2" fillId="2" borderId="70" xfId="0" applyFont="1" applyFill="1" applyBorder="1" applyAlignment="1">
      <alignment horizontal="left" vertical="center"/>
    </xf>
    <xf numFmtId="0" fontId="2" fillId="2" borderId="71" xfId="0" applyFont="1" applyFill="1" applyBorder="1" applyAlignment="1">
      <alignment horizontal="left" vertical="center"/>
    </xf>
    <xf numFmtId="0" fontId="0" fillId="4" borderId="71" xfId="0" applyFill="1" applyBorder="1"/>
    <xf numFmtId="0" fontId="0" fillId="4" borderId="72" xfId="0" applyFill="1" applyBorder="1"/>
    <xf numFmtId="0" fontId="4" fillId="0" borderId="69" xfId="0" applyFont="1" applyFill="1" applyBorder="1" applyAlignment="1">
      <alignment horizontal="left" vertical="center"/>
    </xf>
    <xf numFmtId="0" fontId="4" fillId="0" borderId="58" xfId="0" applyFont="1" applyFill="1" applyBorder="1" applyAlignment="1">
      <alignment horizontal="left" vertical="center"/>
    </xf>
    <xf numFmtId="0" fontId="4" fillId="0" borderId="59" xfId="0" applyFont="1" applyFill="1" applyBorder="1" applyAlignment="1">
      <alignment horizontal="left" vertical="center"/>
    </xf>
    <xf numFmtId="0" fontId="2" fillId="3" borderId="77" xfId="0" applyFont="1" applyFill="1" applyBorder="1" applyAlignment="1">
      <alignment horizontal="left" vertical="center"/>
    </xf>
    <xf numFmtId="0" fontId="26" fillId="0" borderId="52" xfId="0" applyFont="1" applyBorder="1" applyAlignment="1">
      <alignment horizontal="center" vertical="center" wrapText="1"/>
    </xf>
    <xf numFmtId="0" fontId="26" fillId="0" borderId="53" xfId="0" applyFont="1" applyBorder="1" applyAlignment="1">
      <alignment horizontal="center" vertical="center" wrapText="1"/>
    </xf>
    <xf numFmtId="0" fontId="26" fillId="0" borderId="54" xfId="0" applyFont="1" applyBorder="1" applyAlignment="1">
      <alignment horizontal="center" vertical="center" wrapText="1"/>
    </xf>
    <xf numFmtId="0" fontId="26" fillId="0" borderId="55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 vertical="center" wrapText="1"/>
    </xf>
    <xf numFmtId="0" fontId="26" fillId="0" borderId="56" xfId="0" applyFont="1" applyBorder="1" applyAlignment="1">
      <alignment horizontal="center" vertical="center" wrapText="1"/>
    </xf>
    <xf numFmtId="0" fontId="26" fillId="0" borderId="57" xfId="0" applyFont="1" applyBorder="1" applyAlignment="1">
      <alignment horizontal="center" vertical="center" wrapText="1"/>
    </xf>
    <xf numFmtId="0" fontId="26" fillId="0" borderId="58" xfId="0" applyFont="1" applyBorder="1" applyAlignment="1">
      <alignment horizontal="center" vertical="center" wrapText="1"/>
    </xf>
    <xf numFmtId="0" fontId="26" fillId="0" borderId="59" xfId="0" applyFont="1" applyBorder="1" applyAlignment="1">
      <alignment horizontal="center" vertical="center" wrapText="1"/>
    </xf>
    <xf numFmtId="0" fontId="0" fillId="0" borderId="1" xfId="0" applyFill="1" applyBorder="1"/>
    <xf numFmtId="0" fontId="0" fillId="0" borderId="78" xfId="0" applyFill="1" applyBorder="1"/>
    <xf numFmtId="0" fontId="2" fillId="0" borderId="81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0" fillId="0" borderId="5" xfId="0" applyFill="1" applyBorder="1"/>
    <xf numFmtId="0" fontId="0" fillId="0" borderId="82" xfId="0" applyFill="1" applyBorder="1"/>
    <xf numFmtId="0" fontId="21" fillId="2" borderId="70" xfId="0" applyFont="1" applyFill="1" applyBorder="1" applyAlignment="1">
      <alignment horizontal="left" vertical="center"/>
    </xf>
    <xf numFmtId="0" fontId="21" fillId="2" borderId="71" xfId="0" applyFont="1" applyFill="1" applyBorder="1" applyAlignment="1">
      <alignment horizontal="left" vertical="center"/>
    </xf>
    <xf numFmtId="0" fontId="0" fillId="0" borderId="71" xfId="0" applyFill="1" applyBorder="1"/>
    <xf numFmtId="0" fontId="0" fillId="0" borderId="72" xfId="0" applyFill="1" applyBorder="1"/>
    <xf numFmtId="0" fontId="21" fillId="3" borderId="77" xfId="0" applyFont="1" applyFill="1" applyBorder="1" applyAlignment="1">
      <alignment horizontal="left" vertical="center"/>
    </xf>
    <xf numFmtId="0" fontId="21" fillId="3" borderId="1" xfId="0" applyFont="1" applyFill="1" applyBorder="1" applyAlignment="1">
      <alignment horizontal="left" vertical="center"/>
    </xf>
    <xf numFmtId="0" fontId="2" fillId="3" borderId="70" xfId="0" applyFont="1" applyFill="1" applyBorder="1" applyAlignment="1">
      <alignment horizontal="left" vertical="center"/>
    </xf>
    <xf numFmtId="0" fontId="2" fillId="3" borderId="71" xfId="0" applyFont="1" applyFill="1" applyBorder="1" applyAlignment="1">
      <alignment horizontal="left" vertical="center"/>
    </xf>
    <xf numFmtId="0" fontId="2" fillId="0" borderId="64" xfId="0" applyFont="1" applyFill="1" applyBorder="1" applyAlignment="1">
      <alignment horizontal="left" vertical="center"/>
    </xf>
    <xf numFmtId="0" fontId="2" fillId="0" borderId="65" xfId="0" applyFont="1" applyFill="1" applyBorder="1" applyAlignment="1">
      <alignment horizontal="left" vertical="center"/>
    </xf>
    <xf numFmtId="0" fontId="21" fillId="2" borderId="79" xfId="0" applyFont="1" applyFill="1" applyBorder="1" applyAlignment="1">
      <alignment horizontal="left" vertical="center"/>
    </xf>
    <xf numFmtId="0" fontId="21" fillId="2" borderId="8" xfId="0" applyFont="1" applyFill="1" applyBorder="1" applyAlignment="1">
      <alignment horizontal="left" vertical="center"/>
    </xf>
    <xf numFmtId="0" fontId="5" fillId="0" borderId="8" xfId="0" applyFont="1" applyFill="1" applyBorder="1" applyAlignment="1">
      <alignment horizontal="center" vertical="center"/>
    </xf>
    <xf numFmtId="0" fontId="2" fillId="0" borderId="73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74" xfId="0" applyFont="1" applyFill="1" applyBorder="1" applyAlignment="1">
      <alignment horizontal="center" vertical="center"/>
    </xf>
    <xf numFmtId="0" fontId="2" fillId="0" borderId="75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76" xfId="0" applyFont="1" applyFill="1" applyBorder="1" applyAlignment="1">
      <alignment horizontal="center" vertical="center"/>
    </xf>
    <xf numFmtId="0" fontId="3" fillId="0" borderId="68" xfId="0" applyFont="1" applyFill="1" applyBorder="1" applyAlignment="1">
      <alignment horizontal="center" vertical="center"/>
    </xf>
    <xf numFmtId="0" fontId="3" fillId="0" borderId="53" xfId="0" applyFont="1" applyFill="1" applyBorder="1" applyAlignment="1">
      <alignment horizontal="center" vertical="center"/>
    </xf>
    <xf numFmtId="0" fontId="3" fillId="0" borderId="54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70" xfId="0" applyFont="1" applyFill="1" applyBorder="1" applyAlignment="1">
      <alignment horizontal="left" vertical="center"/>
    </xf>
    <xf numFmtId="0" fontId="2" fillId="0" borderId="71" xfId="0" applyFont="1" applyFill="1" applyBorder="1" applyAlignment="1">
      <alignment horizontal="left" vertical="center"/>
    </xf>
    <xf numFmtId="0" fontId="21" fillId="2" borderId="62" xfId="0" applyFont="1" applyFill="1" applyBorder="1" applyAlignment="1">
      <alignment horizontal="left" vertical="center"/>
    </xf>
    <xf numFmtId="0" fontId="21" fillId="2" borderId="3" xfId="0" applyFont="1" applyFill="1" applyBorder="1" applyAlignment="1">
      <alignment horizontal="left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/>
    </xf>
    <xf numFmtId="0" fontId="1" fillId="0" borderId="67" xfId="0" applyFont="1" applyFill="1" applyBorder="1" applyAlignment="1">
      <alignment horizontal="left" vertical="top" wrapText="1"/>
    </xf>
    <xf numFmtId="0" fontId="1" fillId="0" borderId="60" xfId="0" applyFont="1" applyFill="1" applyBorder="1" applyAlignment="1">
      <alignment horizontal="left" vertical="top" wrapText="1"/>
    </xf>
    <xf numFmtId="0" fontId="1" fillId="0" borderId="61" xfId="0" applyFont="1" applyFill="1" applyBorder="1" applyAlignment="1">
      <alignment horizontal="left" vertical="top" wrapText="1"/>
    </xf>
    <xf numFmtId="0" fontId="1" fillId="0" borderId="29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left" vertical="top" wrapText="1"/>
    </xf>
    <xf numFmtId="0" fontId="1" fillId="0" borderId="63" xfId="0" applyFont="1" applyFill="1" applyBorder="1" applyAlignment="1">
      <alignment horizontal="left" vertical="top" wrapText="1"/>
    </xf>
    <xf numFmtId="0" fontId="1" fillId="0" borderId="62" xfId="0" applyFont="1" applyFill="1" applyBorder="1" applyAlignment="1">
      <alignment horizontal="left" vertical="top" wrapText="1"/>
    </xf>
    <xf numFmtId="0" fontId="1" fillId="0" borderId="64" xfId="0" applyFont="1" applyFill="1" applyBorder="1" applyAlignment="1">
      <alignment horizontal="left" vertical="top" wrapText="1"/>
    </xf>
    <xf numFmtId="0" fontId="1" fillId="0" borderId="65" xfId="0" applyFont="1" applyFill="1" applyBorder="1" applyAlignment="1">
      <alignment horizontal="left" vertical="top" wrapText="1"/>
    </xf>
    <xf numFmtId="0" fontId="1" fillId="0" borderId="66" xfId="0" applyFont="1" applyFill="1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Normal 2" xfId="1" xr:uid="{562B3A6E-056B-4016-8AEC-07164443E03B}"/>
  </cellStyles>
  <dxfs count="32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rgb="FFF4C7C3"/>
          <bgColor rgb="FFF4C7C3"/>
        </patternFill>
      </fill>
    </dxf>
  </dxfs>
  <tableStyles count="0" defaultTableStyle="TableStyleMedium2" defaultPivotStyle="PivotStyleLight16"/>
  <colors>
    <mruColors>
      <color rgb="FFFF7C80"/>
      <color rgb="FFFF9933"/>
      <color rgb="FFFF0000"/>
      <color rgb="FFFB5C15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390525</xdr:colOff>
      <xdr:row>0</xdr:row>
      <xdr:rowOff>104775</xdr:rowOff>
    </xdr:from>
    <xdr:ext cx="2124075" cy="5429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0525" y="104775"/>
          <a:ext cx="2124075" cy="542925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3</xdr:row>
          <xdr:rowOff>200025</xdr:rowOff>
        </xdr:from>
        <xdr:to>
          <xdr:col>26</xdr:col>
          <xdr:colOff>609600</xdr:colOff>
          <xdr:row>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Results from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google.com/document/d/1_y9WS4fOdisfRefzAwLMQFyz9u9yI_hNgfXlCaGQaq4/edi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9561B-5F3F-4C1B-89FD-EEC9051783B4}">
  <sheetPr codeName="Sheet2">
    <outlinePr summaryBelow="0" summaryRight="0"/>
    <pageSetUpPr autoPageBreaks="0"/>
  </sheetPr>
  <dimension ref="A1:H37"/>
  <sheetViews>
    <sheetView workbookViewId="0">
      <selection activeCell="P11" sqref="P11"/>
    </sheetView>
  </sheetViews>
  <sheetFormatPr defaultColWidth="12.625" defaultRowHeight="15.75" customHeight="1"/>
  <cols>
    <col min="1" max="1" width="17.375" style="41" customWidth="1"/>
    <col min="2" max="2" width="9.25" style="41" customWidth="1"/>
    <col min="3" max="4" width="5.875" style="41" customWidth="1"/>
    <col min="5" max="5" width="17.125" style="41" customWidth="1"/>
    <col min="6" max="6" width="15.75" style="41" customWidth="1"/>
    <col min="7" max="7" width="16.375" style="41" customWidth="1"/>
    <col min="8" max="8" width="19.625" style="41" customWidth="1"/>
    <col min="9" max="16384" width="12.625" style="41"/>
  </cols>
  <sheetData>
    <row r="1" spans="1:8" ht="12.75">
      <c r="A1" s="61" t="s">
        <v>175</v>
      </c>
      <c r="B1" s="62"/>
      <c r="C1" s="62"/>
      <c r="D1" s="62"/>
      <c r="E1" s="62"/>
      <c r="F1" s="62"/>
      <c r="G1" s="62"/>
      <c r="H1" s="62"/>
    </row>
    <row r="2" spans="1:8" ht="15.75" customHeight="1">
      <c r="A2" s="62"/>
      <c r="B2" s="62"/>
      <c r="C2" s="62"/>
      <c r="D2" s="62"/>
      <c r="E2" s="62"/>
      <c r="F2" s="62"/>
      <c r="G2" s="62"/>
      <c r="H2" s="62"/>
    </row>
    <row r="3" spans="1:8" ht="15.75" customHeight="1">
      <c r="A3" s="62"/>
      <c r="B3" s="62"/>
      <c r="C3" s="62"/>
      <c r="D3" s="62"/>
      <c r="E3" s="62"/>
      <c r="F3" s="62"/>
      <c r="G3" s="62"/>
      <c r="H3" s="62"/>
    </row>
    <row r="4" spans="1:8" ht="15.75" customHeight="1">
      <c r="A4" s="62"/>
      <c r="B4" s="62"/>
      <c r="C4" s="62"/>
      <c r="D4" s="62"/>
      <c r="E4" s="62"/>
      <c r="F4" s="62"/>
      <c r="G4" s="62"/>
      <c r="H4" s="62"/>
    </row>
    <row r="5" spans="1:8" ht="12.75">
      <c r="A5" s="63" t="s">
        <v>197</v>
      </c>
      <c r="B5" s="64"/>
      <c r="C5" s="64"/>
      <c r="D5" s="64"/>
      <c r="E5" s="64"/>
      <c r="F5" s="64"/>
      <c r="G5" s="64"/>
      <c r="H5" s="65"/>
    </row>
    <row r="6" spans="1:8" ht="12.75">
      <c r="A6" s="66"/>
      <c r="B6" s="62"/>
      <c r="C6" s="62"/>
      <c r="D6" s="62"/>
      <c r="E6" s="62"/>
      <c r="F6" s="62"/>
      <c r="G6" s="62"/>
      <c r="H6" s="67"/>
    </row>
    <row r="7" spans="1:8" ht="12.75">
      <c r="A7" s="66"/>
      <c r="B7" s="62"/>
      <c r="C7" s="62"/>
      <c r="D7" s="62"/>
      <c r="E7" s="62"/>
      <c r="F7" s="62"/>
      <c r="G7" s="62"/>
      <c r="H7" s="67"/>
    </row>
    <row r="8" spans="1:8" ht="12.75">
      <c r="A8" s="66"/>
      <c r="B8" s="62"/>
      <c r="C8" s="62"/>
      <c r="D8" s="62"/>
      <c r="E8" s="62"/>
      <c r="F8" s="62"/>
      <c r="G8" s="62"/>
      <c r="H8" s="67"/>
    </row>
    <row r="9" spans="1:8" ht="13.5" thickBot="1">
      <c r="A9" s="68"/>
      <c r="B9" s="69"/>
      <c r="C9" s="69"/>
      <c r="D9" s="69"/>
      <c r="E9" s="69"/>
      <c r="F9" s="69"/>
      <c r="G9" s="69"/>
      <c r="H9" s="70"/>
    </row>
    <row r="10" spans="1:8" ht="18">
      <c r="A10" s="71" t="s">
        <v>176</v>
      </c>
      <c r="B10" s="72"/>
      <c r="C10" s="72"/>
      <c r="D10" s="73"/>
      <c r="E10" s="74"/>
      <c r="F10" s="72"/>
      <c r="G10" s="72"/>
      <c r="H10" s="75"/>
    </row>
    <row r="11" spans="1:8" ht="18">
      <c r="A11" s="76" t="s">
        <v>177</v>
      </c>
      <c r="B11" s="77"/>
      <c r="C11" s="77"/>
      <c r="D11" s="78"/>
      <c r="E11" s="79"/>
      <c r="F11" s="77"/>
      <c r="G11" s="77"/>
      <c r="H11" s="80"/>
    </row>
    <row r="12" spans="1:8" ht="18">
      <c r="A12" s="76" t="s">
        <v>178</v>
      </c>
      <c r="B12" s="77"/>
      <c r="C12" s="77"/>
      <c r="D12" s="78"/>
      <c r="E12" s="86"/>
      <c r="F12" s="77"/>
      <c r="G12" s="77"/>
      <c r="H12" s="80"/>
    </row>
    <row r="13" spans="1:8" ht="18.75" thickBot="1">
      <c r="A13" s="87" t="s">
        <v>179</v>
      </c>
      <c r="B13" s="88"/>
      <c r="C13" s="88"/>
      <c r="D13" s="89"/>
      <c r="E13" s="90"/>
      <c r="F13" s="88"/>
      <c r="G13" s="88"/>
      <c r="H13" s="91"/>
    </row>
    <row r="14" spans="1:8" ht="18.75" thickBot="1">
      <c r="A14" s="92"/>
      <c r="B14" s="62"/>
      <c r="C14" s="62"/>
      <c r="D14" s="62"/>
      <c r="E14" s="93"/>
      <c r="F14" s="62"/>
      <c r="G14" s="62"/>
      <c r="H14" s="94"/>
    </row>
    <row r="15" spans="1:8" ht="18">
      <c r="A15" s="71" t="s">
        <v>180</v>
      </c>
      <c r="B15" s="72"/>
      <c r="C15" s="72"/>
      <c r="D15" s="73"/>
      <c r="E15" s="95" t="s">
        <v>203</v>
      </c>
      <c r="F15" s="96"/>
      <c r="G15" s="96"/>
      <c r="H15" s="97"/>
    </row>
    <row r="16" spans="1:8" ht="18.75" thickBot="1">
      <c r="A16" s="98" t="s">
        <v>181</v>
      </c>
      <c r="B16" s="88"/>
      <c r="C16" s="88"/>
      <c r="D16" s="89"/>
      <c r="E16" s="90" t="s">
        <v>223</v>
      </c>
      <c r="F16" s="88"/>
      <c r="G16" s="88"/>
      <c r="H16" s="91"/>
    </row>
    <row r="17" spans="1:8" ht="12.75">
      <c r="A17" s="92"/>
      <c r="B17" s="62"/>
      <c r="C17" s="62"/>
      <c r="D17" s="62"/>
      <c r="E17" s="62"/>
      <c r="F17" s="62"/>
      <c r="G17" s="62"/>
      <c r="H17" s="94"/>
    </row>
    <row r="18" spans="1:8" ht="13.5" thickBot="1">
      <c r="A18" s="99"/>
      <c r="B18" s="62"/>
      <c r="C18" s="62"/>
      <c r="D18" s="62"/>
      <c r="E18" s="62"/>
      <c r="F18" s="62"/>
      <c r="G18" s="62"/>
      <c r="H18" s="94"/>
    </row>
    <row r="19" spans="1:8" ht="18.75" thickBot="1">
      <c r="A19" s="81" t="s">
        <v>182</v>
      </c>
      <c r="B19" s="82"/>
      <c r="C19" s="82"/>
      <c r="D19" s="83"/>
      <c r="E19" s="84" t="s">
        <v>183</v>
      </c>
      <c r="F19" s="82"/>
      <c r="G19" s="82"/>
      <c r="H19" s="85"/>
    </row>
    <row r="20" spans="1:8" ht="18">
      <c r="A20" s="100" t="s">
        <v>205</v>
      </c>
      <c r="B20" s="101"/>
      <c r="C20" s="101"/>
      <c r="D20" s="102"/>
      <c r="E20" s="103"/>
      <c r="F20" s="69"/>
      <c r="G20" s="69"/>
      <c r="H20" s="104"/>
    </row>
    <row r="21" spans="1:8" ht="18">
      <c r="A21" s="105" t="s">
        <v>206</v>
      </c>
      <c r="B21" s="106"/>
      <c r="C21" s="106"/>
      <c r="D21" s="107"/>
      <c r="E21" s="103"/>
      <c r="F21" s="69"/>
      <c r="G21" s="69"/>
      <c r="H21" s="104"/>
    </row>
    <row r="22" spans="1:8" ht="18">
      <c r="A22" s="105" t="s">
        <v>207</v>
      </c>
      <c r="B22" s="106"/>
      <c r="C22" s="106"/>
      <c r="D22" s="107"/>
      <c r="E22" s="103"/>
      <c r="F22" s="69"/>
      <c r="G22" s="69"/>
      <c r="H22" s="104"/>
    </row>
    <row r="23" spans="1:8" ht="18">
      <c r="A23" s="105" t="s">
        <v>208</v>
      </c>
      <c r="B23" s="106"/>
      <c r="C23" s="106"/>
      <c r="D23" s="107"/>
      <c r="E23" s="103"/>
      <c r="F23" s="69"/>
      <c r="G23" s="69"/>
      <c r="H23" s="104"/>
    </row>
    <row r="24" spans="1:8" ht="18">
      <c r="A24" s="105" t="s">
        <v>209</v>
      </c>
      <c r="B24" s="106"/>
      <c r="C24" s="106"/>
      <c r="D24" s="107"/>
      <c r="E24" s="103"/>
      <c r="F24" s="69"/>
      <c r="G24" s="69"/>
      <c r="H24" s="104"/>
    </row>
    <row r="25" spans="1:8" ht="18">
      <c r="A25" s="76"/>
      <c r="B25" s="77"/>
      <c r="C25" s="77"/>
      <c r="D25" s="78"/>
      <c r="E25" s="103"/>
      <c r="F25" s="69"/>
      <c r="G25" s="69"/>
      <c r="H25" s="104"/>
    </row>
    <row r="26" spans="1:8" ht="18">
      <c r="A26" s="76"/>
      <c r="B26" s="77"/>
      <c r="C26" s="77"/>
      <c r="D26" s="78"/>
      <c r="E26" s="103"/>
      <c r="F26" s="69"/>
      <c r="G26" s="69"/>
      <c r="H26" s="104"/>
    </row>
    <row r="27" spans="1:8" ht="18.75" thickBot="1">
      <c r="A27" s="98"/>
      <c r="B27" s="88"/>
      <c r="C27" s="88"/>
      <c r="D27" s="89"/>
      <c r="E27" s="103"/>
      <c r="F27" s="69"/>
      <c r="G27" s="69"/>
      <c r="H27" s="104"/>
    </row>
    <row r="28" spans="1:8" ht="12.75">
      <c r="A28" s="92"/>
      <c r="B28" s="62"/>
      <c r="C28" s="62"/>
      <c r="D28" s="62"/>
      <c r="E28" s="62"/>
      <c r="F28" s="62"/>
      <c r="G28" s="62"/>
      <c r="H28" s="94"/>
    </row>
    <row r="29" spans="1:8" ht="13.5" thickBot="1">
      <c r="A29" s="99"/>
      <c r="B29" s="62"/>
      <c r="C29" s="62"/>
      <c r="D29" s="62"/>
      <c r="E29" s="62"/>
      <c r="F29" s="62"/>
      <c r="G29" s="62"/>
      <c r="H29" s="94"/>
    </row>
    <row r="30" spans="1:8" ht="60" customHeight="1" thickBot="1">
      <c r="A30" s="81" t="s">
        <v>184</v>
      </c>
      <c r="B30" s="82"/>
      <c r="C30" s="82"/>
      <c r="D30" s="83"/>
      <c r="E30" s="108"/>
      <c r="F30" s="109"/>
      <c r="G30" s="109"/>
      <c r="H30" s="110"/>
    </row>
    <row r="31" spans="1:8" ht="18.75" thickBot="1">
      <c r="A31" s="92"/>
      <c r="B31" s="62"/>
      <c r="C31" s="62"/>
      <c r="D31" s="62"/>
      <c r="E31" s="93"/>
      <c r="F31" s="62"/>
      <c r="G31" s="62"/>
      <c r="H31" s="94"/>
    </row>
    <row r="32" spans="1:8" ht="57" customHeight="1" thickBot="1">
      <c r="A32" s="81" t="s">
        <v>185</v>
      </c>
      <c r="B32" s="82"/>
      <c r="C32" s="82"/>
      <c r="D32" s="83"/>
      <c r="E32" s="108"/>
      <c r="F32" s="109"/>
      <c r="G32" s="109"/>
      <c r="H32" s="110"/>
    </row>
    <row r="33" spans="1:8" ht="18.75" thickBot="1">
      <c r="A33" s="92"/>
      <c r="B33" s="62"/>
      <c r="C33" s="62"/>
      <c r="D33" s="62"/>
      <c r="E33" s="93"/>
      <c r="F33" s="62"/>
      <c r="G33" s="62"/>
      <c r="H33" s="94"/>
    </row>
    <row r="34" spans="1:8" ht="53.25" customHeight="1" thickBot="1">
      <c r="A34" s="81" t="s">
        <v>186</v>
      </c>
      <c r="B34" s="82"/>
      <c r="C34" s="82"/>
      <c r="D34" s="83"/>
      <c r="E34" s="108"/>
      <c r="F34" s="109"/>
      <c r="G34" s="109"/>
      <c r="H34" s="110"/>
    </row>
    <row r="35" spans="1:8" ht="18.75" thickBot="1">
      <c r="A35" s="92"/>
      <c r="B35" s="62"/>
      <c r="C35" s="62"/>
      <c r="D35" s="62"/>
      <c r="E35" s="62"/>
      <c r="F35" s="62"/>
      <c r="G35" s="62"/>
      <c r="H35" s="94"/>
    </row>
    <row r="36" spans="1:8" ht="18">
      <c r="A36" s="71" t="s">
        <v>187</v>
      </c>
      <c r="B36" s="72"/>
      <c r="C36" s="72"/>
      <c r="D36" s="73"/>
      <c r="E36" s="74" t="s">
        <v>188</v>
      </c>
      <c r="F36" s="72"/>
      <c r="G36" s="72"/>
      <c r="H36" s="75"/>
    </row>
    <row r="37" spans="1:8" ht="18.75" thickBot="1">
      <c r="A37" s="98" t="s">
        <v>189</v>
      </c>
      <c r="B37" s="88"/>
      <c r="C37" s="88"/>
      <c r="D37" s="89"/>
      <c r="E37" s="90" t="s">
        <v>188</v>
      </c>
      <c r="F37" s="88"/>
      <c r="G37" s="88"/>
      <c r="H37" s="91"/>
    </row>
  </sheetData>
  <mergeCells count="51">
    <mergeCell ref="A37:D37"/>
    <mergeCell ref="E37:H37"/>
    <mergeCell ref="A31:D31"/>
    <mergeCell ref="E31:H31"/>
    <mergeCell ref="A32:D32"/>
    <mergeCell ref="E32:H32"/>
    <mergeCell ref="A33:D33"/>
    <mergeCell ref="E33:H33"/>
    <mergeCell ref="A34:D34"/>
    <mergeCell ref="E34:H34"/>
    <mergeCell ref="A35:H35"/>
    <mergeCell ref="A36:D36"/>
    <mergeCell ref="E36:H36"/>
    <mergeCell ref="A30:D30"/>
    <mergeCell ref="E30:H30"/>
    <mergeCell ref="A23:D23"/>
    <mergeCell ref="E23:H23"/>
    <mergeCell ref="A24:D24"/>
    <mergeCell ref="E24:H24"/>
    <mergeCell ref="A25:D25"/>
    <mergeCell ref="E25:H25"/>
    <mergeCell ref="A26:D26"/>
    <mergeCell ref="E26:H26"/>
    <mergeCell ref="A27:D27"/>
    <mergeCell ref="E27:H27"/>
    <mergeCell ref="A28:H29"/>
    <mergeCell ref="A20:D20"/>
    <mergeCell ref="E20:H20"/>
    <mergeCell ref="A21:D21"/>
    <mergeCell ref="E21:H21"/>
    <mergeCell ref="A22:D22"/>
    <mergeCell ref="E22:H22"/>
    <mergeCell ref="A19:D19"/>
    <mergeCell ref="E19:H19"/>
    <mergeCell ref="A12:D12"/>
    <mergeCell ref="E12:H12"/>
    <mergeCell ref="A13:D13"/>
    <mergeCell ref="E13:H13"/>
    <mergeCell ref="A14:D14"/>
    <mergeCell ref="E14:H14"/>
    <mergeCell ref="A15:D15"/>
    <mergeCell ref="E15:H15"/>
    <mergeCell ref="A16:D16"/>
    <mergeCell ref="E16:H16"/>
    <mergeCell ref="A17:H18"/>
    <mergeCell ref="A1:H4"/>
    <mergeCell ref="A5:H9"/>
    <mergeCell ref="A10:D10"/>
    <mergeCell ref="E10:H10"/>
    <mergeCell ref="A11:D11"/>
    <mergeCell ref="E11:H11"/>
  </mergeCells>
  <conditionalFormatting sqref="E20:H27">
    <cfRule type="expression" dxfId="31" priority="1">
      <formula>AND(ISNUMBER(E20),TRUNC(E20)&lt;TODAY())</formula>
    </cfRule>
  </conditionalFormatting>
  <dataValidations disablePrompts="1" count="1">
    <dataValidation type="list" allowBlank="1" sqref="E12" xr:uid="{BA105A16-8C9F-456B-9C53-EA182510EA9F}">
      <formula1>"OnLogic US-VT,OnLogic US-NC,Onlogic TW,Onlogic MY"</formula1>
    </dataValidation>
  </dataValidations>
  <hyperlinks>
    <hyperlink ref="E15:H15" r:id="rId1" display="DC-DC Test instructions V1.0" xr:uid="{973C772A-C6BE-4C33-ABB1-16F7F8E2C5C9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XFC1164"/>
  <sheetViews>
    <sheetView tabSelected="1" topLeftCell="S1" zoomScale="70" zoomScaleNormal="70" workbookViewId="0">
      <selection activeCell="AA28" sqref="AA28"/>
    </sheetView>
  </sheetViews>
  <sheetFormatPr defaultColWidth="0" defaultRowHeight="15" customHeight="1"/>
  <cols>
    <col min="1" max="2" width="8.375" customWidth="1"/>
    <col min="3" max="3" width="17.125" customWidth="1"/>
    <col min="4" max="5" width="13.375" bestFit="1" customWidth="1"/>
    <col min="6" max="6" width="13.875" customWidth="1"/>
    <col min="7" max="7" width="13.25" customWidth="1"/>
    <col min="8" max="8" width="11.5" customWidth="1"/>
    <col min="9" max="9" width="11.625" customWidth="1"/>
    <col min="10" max="10" width="13.375" customWidth="1"/>
    <col min="11" max="11" width="11.875" customWidth="1"/>
    <col min="12" max="12" width="14.25" bestFit="1" customWidth="1"/>
    <col min="13" max="13" width="11.25" customWidth="1"/>
    <col min="14" max="16" width="8.375" customWidth="1"/>
    <col min="17" max="17" width="12.25" customWidth="1"/>
    <col min="18" max="31" width="8.375" customWidth="1"/>
    <col min="32" max="45" width="10.375" customWidth="1"/>
    <col min="46" max="47" width="5.625" customWidth="1"/>
    <col min="48" max="48" width="9.375" customWidth="1"/>
    <col min="49" max="63" width="10.375" customWidth="1"/>
    <col min="64" max="701" width="10.375" hidden="1"/>
    <col min="702" max="16383" width="9" hidden="1"/>
  </cols>
  <sheetData>
    <row r="1" spans="1:44" ht="14.25" customHeight="1" thickBot="1">
      <c r="A1" s="156"/>
      <c r="B1" s="156"/>
      <c r="C1" s="156"/>
      <c r="D1" s="156"/>
      <c r="E1" s="156"/>
      <c r="F1" s="156"/>
      <c r="G1" s="156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11" t="s">
        <v>167</v>
      </c>
      <c r="AG1" s="112"/>
      <c r="AH1" s="112"/>
      <c r="AI1" s="112"/>
      <c r="AJ1" s="112"/>
      <c r="AK1" s="112"/>
      <c r="AL1" s="112"/>
      <c r="AM1" s="112"/>
      <c r="AN1" s="113"/>
      <c r="AO1" s="111" t="s">
        <v>194</v>
      </c>
      <c r="AP1" s="112"/>
      <c r="AQ1" s="112"/>
      <c r="AR1" s="112"/>
    </row>
    <row r="2" spans="1:44" ht="18" customHeight="1" thickBot="1">
      <c r="A2" s="225" t="s">
        <v>0</v>
      </c>
      <c r="B2" s="226"/>
      <c r="C2" s="226"/>
      <c r="D2" s="226"/>
      <c r="E2" s="203"/>
      <c r="F2" s="203"/>
      <c r="G2" s="204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F2" s="114"/>
      <c r="AG2" s="115"/>
      <c r="AH2" s="115"/>
      <c r="AI2" s="115"/>
      <c r="AJ2" s="115"/>
      <c r="AK2" s="115"/>
      <c r="AL2" s="115"/>
      <c r="AM2" s="115"/>
      <c r="AN2" s="116"/>
      <c r="AO2" s="114"/>
      <c r="AP2" s="115"/>
      <c r="AQ2" s="115"/>
      <c r="AR2" s="115"/>
    </row>
    <row r="3" spans="1:44" ht="18" customHeight="1">
      <c r="A3" s="214"/>
      <c r="B3" s="215"/>
      <c r="C3" s="215"/>
      <c r="D3" s="215"/>
      <c r="E3" s="215"/>
      <c r="F3" s="215"/>
      <c r="G3" s="216"/>
      <c r="H3" s="220" t="s">
        <v>1</v>
      </c>
      <c r="I3" s="221"/>
      <c r="J3" s="221"/>
      <c r="K3" s="221"/>
      <c r="L3" s="222"/>
      <c r="M3" s="231" t="s">
        <v>2</v>
      </c>
      <c r="N3" s="232"/>
      <c r="O3" s="232"/>
      <c r="P3" s="232"/>
      <c r="Q3" s="232"/>
      <c r="R3" s="233"/>
      <c r="S3" s="1"/>
      <c r="T3" s="1"/>
      <c r="U3" s="145" t="s">
        <v>116</v>
      </c>
      <c r="V3" s="145"/>
      <c r="W3" s="145"/>
      <c r="X3" s="145"/>
      <c r="Y3" s="145"/>
      <c r="Z3" s="145"/>
      <c r="AA3" s="145"/>
      <c r="AB3" s="145"/>
      <c r="AC3" s="145"/>
      <c r="AD3" s="145"/>
      <c r="AF3" s="245" t="s">
        <v>148</v>
      </c>
      <c r="AG3" s="246"/>
      <c r="AH3" s="246"/>
      <c r="AI3" s="246"/>
      <c r="AJ3" s="246"/>
      <c r="AK3" s="120">
        <f>E2</f>
        <v>0</v>
      </c>
      <c r="AL3" s="120"/>
      <c r="AM3" s="120"/>
      <c r="AN3" s="120"/>
      <c r="AO3" s="241"/>
      <c r="AP3" s="242"/>
      <c r="AQ3" s="242"/>
      <c r="AR3" s="242"/>
    </row>
    <row r="4" spans="1:44" ht="18" customHeight="1">
      <c r="A4" s="217"/>
      <c r="B4" s="218"/>
      <c r="C4" s="218"/>
      <c r="D4" s="218"/>
      <c r="E4" s="218"/>
      <c r="F4" s="218"/>
      <c r="G4" s="219"/>
      <c r="H4" s="175" t="s">
        <v>3</v>
      </c>
      <c r="I4" s="176"/>
      <c r="J4" s="176"/>
      <c r="K4" s="176"/>
      <c r="L4" s="177"/>
      <c r="M4" s="234"/>
      <c r="N4" s="235"/>
      <c r="O4" s="235"/>
      <c r="P4" s="235"/>
      <c r="Q4" s="235"/>
      <c r="R4" s="236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F4" s="127" t="s">
        <v>166</v>
      </c>
      <c r="AG4" s="128"/>
      <c r="AH4" s="128"/>
      <c r="AI4" s="128"/>
      <c r="AJ4" s="128"/>
      <c r="AK4" s="120" t="str">
        <f>CONCATENATE("Voltage: ",DUT_VOUT,"V")</f>
        <v>Voltage: 0V</v>
      </c>
      <c r="AL4" s="120"/>
      <c r="AM4" s="120"/>
      <c r="AN4" s="120"/>
      <c r="AO4" s="136"/>
      <c r="AP4" s="137"/>
      <c r="AQ4" s="137"/>
      <c r="AR4" s="137"/>
    </row>
    <row r="5" spans="1:44" ht="18" customHeight="1" thickBot="1">
      <c r="A5" s="209" t="s">
        <v>4</v>
      </c>
      <c r="B5" s="210"/>
      <c r="C5" s="210"/>
      <c r="D5" s="210"/>
      <c r="E5" s="173"/>
      <c r="F5" s="173"/>
      <c r="G5" s="174"/>
      <c r="H5" s="175" t="s">
        <v>5</v>
      </c>
      <c r="I5" s="176"/>
      <c r="J5" s="176"/>
      <c r="K5" s="176"/>
      <c r="L5" s="177"/>
      <c r="M5" s="234"/>
      <c r="N5" s="235"/>
      <c r="O5" s="235"/>
      <c r="P5" s="235"/>
      <c r="Q5" s="235"/>
      <c r="R5" s="236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F5" s="121" t="s">
        <v>149</v>
      </c>
      <c r="AG5" s="122"/>
      <c r="AH5" s="122"/>
      <c r="AI5" s="122"/>
      <c r="AJ5" s="122"/>
      <c r="AK5" s="120" t="str">
        <f>CONCATENATE("MAX CURRENT: ",ICCMAX,"A")</f>
        <v>MAX CURRENT: A</v>
      </c>
      <c r="AL5" s="120"/>
      <c r="AM5" s="120"/>
      <c r="AN5" s="120"/>
      <c r="AO5" s="136"/>
      <c r="AP5" s="137"/>
      <c r="AQ5" s="137"/>
      <c r="AR5" s="137"/>
    </row>
    <row r="6" spans="1:44" ht="18" customHeight="1">
      <c r="A6" s="211" t="s">
        <v>6</v>
      </c>
      <c r="B6" s="212"/>
      <c r="C6" s="212"/>
      <c r="D6" s="212"/>
      <c r="E6" s="213">
        <v>0</v>
      </c>
      <c r="F6" s="213"/>
      <c r="G6" s="51" t="s">
        <v>7</v>
      </c>
      <c r="H6" s="223" t="s">
        <v>201</v>
      </c>
      <c r="I6" s="223"/>
      <c r="J6" s="223"/>
      <c r="K6" s="223"/>
      <c r="L6" s="223"/>
      <c r="M6" s="234"/>
      <c r="N6" s="235"/>
      <c r="O6" s="235"/>
      <c r="P6" s="235"/>
      <c r="Q6" s="235"/>
      <c r="R6" s="236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F6" s="123"/>
      <c r="AG6" s="124"/>
      <c r="AH6" s="124"/>
      <c r="AI6" s="124"/>
      <c r="AJ6" s="124"/>
      <c r="AK6" s="120" t="str">
        <f>CONCATENATE("TDC  CURRENT: ",ICCTDC,"A")</f>
        <v>TDC  CURRENT: A</v>
      </c>
      <c r="AL6" s="120"/>
      <c r="AM6" s="120"/>
      <c r="AN6" s="120"/>
      <c r="AO6" s="243"/>
      <c r="AP6" s="244"/>
      <c r="AQ6" s="244"/>
      <c r="AR6" s="244"/>
    </row>
    <row r="7" spans="1:44" ht="18" customHeight="1">
      <c r="A7" s="185" t="s">
        <v>9</v>
      </c>
      <c r="B7" s="157"/>
      <c r="C7" s="157"/>
      <c r="D7" s="157"/>
      <c r="E7" s="224">
        <f>E6*1.05</f>
        <v>0</v>
      </c>
      <c r="F7" s="224"/>
      <c r="G7" s="49" t="s">
        <v>7</v>
      </c>
      <c r="H7" s="175" t="s">
        <v>10</v>
      </c>
      <c r="I7" s="176"/>
      <c r="J7" s="176"/>
      <c r="K7" s="176"/>
      <c r="L7" s="177"/>
      <c r="M7" s="234"/>
      <c r="N7" s="235"/>
      <c r="O7" s="235"/>
      <c r="P7" s="235"/>
      <c r="Q7" s="235"/>
      <c r="R7" s="236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F7" s="129" t="s">
        <v>3</v>
      </c>
      <c r="AG7" s="130"/>
      <c r="AH7" s="130"/>
      <c r="AI7" s="130"/>
      <c r="AJ7" s="130"/>
      <c r="AK7" s="120" t="str">
        <f>IF(COUNTA(C38:C79),IF(AND(MIN(C38:C79)&gt;E8,MAX(C38:C79)&lt;E7),"WITH SPEC","OUT OF SPEC"),"")</f>
        <v/>
      </c>
      <c r="AL7" s="120"/>
      <c r="AM7" s="120"/>
      <c r="AN7" s="120"/>
      <c r="AO7" s="120" t="s">
        <v>190</v>
      </c>
      <c r="AP7" s="120"/>
      <c r="AQ7" s="120"/>
      <c r="AR7" s="120"/>
    </row>
    <row r="8" spans="1:44" ht="18" customHeight="1">
      <c r="A8" s="185" t="s">
        <v>11</v>
      </c>
      <c r="B8" s="157"/>
      <c r="C8" s="157"/>
      <c r="D8" s="157"/>
      <c r="E8" s="224">
        <f>E6*0.95</f>
        <v>0</v>
      </c>
      <c r="F8" s="224"/>
      <c r="G8" s="49" t="s">
        <v>7</v>
      </c>
      <c r="H8" s="175" t="s">
        <v>12</v>
      </c>
      <c r="I8" s="176"/>
      <c r="J8" s="176"/>
      <c r="K8" s="176"/>
      <c r="L8" s="177"/>
      <c r="M8" s="234"/>
      <c r="N8" s="235"/>
      <c r="O8" s="235"/>
      <c r="P8" s="235"/>
      <c r="Q8" s="235"/>
      <c r="R8" s="236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F8" s="129" t="s">
        <v>150</v>
      </c>
      <c r="AG8" s="130"/>
      <c r="AH8" s="130"/>
      <c r="AI8" s="130"/>
      <c r="AJ8" s="130"/>
      <c r="AK8" s="120" t="str">
        <f>IF(COUNTA(C38:C79),VLOOKUP(ICCTDC,B86:C127,2),"")</f>
        <v/>
      </c>
      <c r="AL8" s="120"/>
      <c r="AM8" s="120"/>
      <c r="AN8" s="120"/>
      <c r="AO8" s="120" t="s">
        <v>168</v>
      </c>
      <c r="AP8" s="120"/>
      <c r="AQ8" s="120"/>
      <c r="AR8" s="120"/>
    </row>
    <row r="9" spans="1:44" ht="18" customHeight="1" thickBot="1">
      <c r="A9" s="227" t="s">
        <v>114</v>
      </c>
      <c r="B9" s="228"/>
      <c r="C9" s="228"/>
      <c r="D9" s="228"/>
      <c r="E9" s="229">
        <v>0</v>
      </c>
      <c r="F9" s="230"/>
      <c r="G9" s="50" t="s">
        <v>7</v>
      </c>
      <c r="H9" s="175" t="s">
        <v>115</v>
      </c>
      <c r="I9" s="176"/>
      <c r="J9" s="176"/>
      <c r="K9" s="176"/>
      <c r="L9" s="177"/>
      <c r="M9" s="234"/>
      <c r="N9" s="235"/>
      <c r="O9" s="235"/>
      <c r="P9" s="235"/>
      <c r="Q9" s="235"/>
      <c r="R9" s="236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F9" s="129" t="s">
        <v>195</v>
      </c>
      <c r="AG9" s="130"/>
      <c r="AH9" s="130"/>
      <c r="AI9" s="130"/>
      <c r="AJ9" s="130"/>
      <c r="AK9" s="120" t="str">
        <f>IF(COUNTA(D133:E133)=2,CONCATENATE(D133," Deg PM, ",E133," dB GM",),"")</f>
        <v/>
      </c>
      <c r="AL9" s="120"/>
      <c r="AM9" s="120"/>
      <c r="AN9" s="120"/>
      <c r="AO9" s="120" t="str">
        <f>CONCATENATE("&gt;",F133," Deg PM, &gt;",G133,"dB GM")</f>
        <v>&gt;45 Deg PM, &gt;15dB GM</v>
      </c>
      <c r="AP9" s="120"/>
      <c r="AQ9" s="120"/>
      <c r="AR9" s="120"/>
    </row>
    <row r="10" spans="1:44" ht="18" customHeight="1">
      <c r="A10" s="178" t="s">
        <v>13</v>
      </c>
      <c r="B10" s="179"/>
      <c r="C10" s="179"/>
      <c r="D10" s="179"/>
      <c r="E10" s="180"/>
      <c r="F10" s="180"/>
      <c r="G10" s="181"/>
      <c r="H10" s="175" t="s">
        <v>14</v>
      </c>
      <c r="I10" s="176"/>
      <c r="J10" s="176"/>
      <c r="K10" s="176"/>
      <c r="L10" s="177"/>
      <c r="M10" s="234"/>
      <c r="N10" s="235"/>
      <c r="O10" s="235"/>
      <c r="P10" s="235"/>
      <c r="Q10" s="235"/>
      <c r="R10" s="236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F10" s="129" t="s">
        <v>196</v>
      </c>
      <c r="AG10" s="130"/>
      <c r="AH10" s="130"/>
      <c r="AI10" s="130"/>
      <c r="AJ10" s="130"/>
      <c r="AK10" s="120" t="str">
        <f>IF(COUNTA(D134:E134)=2,CONCATENATE(D134," Deg PM, ",E134," dB GM",),"")</f>
        <v/>
      </c>
      <c r="AL10" s="120"/>
      <c r="AM10" s="120"/>
      <c r="AN10" s="120"/>
      <c r="AO10" s="120" t="str">
        <f>CONCATENATE("&gt;",F134," Deg PM, &gt;",G134,"dB GM")</f>
        <v>&gt;45 Deg PM, &gt;15dB GM</v>
      </c>
      <c r="AP10" s="120"/>
      <c r="AQ10" s="120"/>
      <c r="AR10" s="120"/>
    </row>
    <row r="11" spans="1:44" ht="18" customHeight="1">
      <c r="A11" s="205" t="s">
        <v>15</v>
      </c>
      <c r="B11" s="206"/>
      <c r="C11" s="206"/>
      <c r="D11" s="206"/>
      <c r="E11" s="195"/>
      <c r="F11" s="195"/>
      <c r="G11" s="196"/>
      <c r="H11" s="175" t="s">
        <v>16</v>
      </c>
      <c r="I11" s="176"/>
      <c r="J11" s="176"/>
      <c r="K11" s="176"/>
      <c r="L11" s="177"/>
      <c r="M11" s="234"/>
      <c r="N11" s="235"/>
      <c r="O11" s="235"/>
      <c r="P11" s="235"/>
      <c r="Q11" s="235"/>
      <c r="R11" s="236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F11" s="129" t="s">
        <v>151</v>
      </c>
      <c r="AG11" s="130"/>
      <c r="AH11" s="130"/>
      <c r="AI11" s="130"/>
      <c r="AJ11" s="130"/>
      <c r="AK11" s="133" t="e">
        <f>CONCATENATE(F203,"V - ",D203,"V :", LEFT(M203,4), "% ripple")</f>
        <v>#DIV/0!</v>
      </c>
      <c r="AL11" s="120"/>
      <c r="AM11" s="120"/>
      <c r="AN11" s="120"/>
      <c r="AO11" s="120" t="str">
        <f>CONCATENATE(E$8,"V - ",E$7,"V: &lt;1%")</f>
        <v>0V - 0V: &lt;1%</v>
      </c>
      <c r="AP11" s="120"/>
      <c r="AQ11" s="120"/>
      <c r="AR11" s="120"/>
    </row>
    <row r="12" spans="1:44" ht="18" customHeight="1" thickBot="1">
      <c r="A12" s="209" t="s">
        <v>17</v>
      </c>
      <c r="B12" s="210"/>
      <c r="C12" s="210"/>
      <c r="D12" s="210"/>
      <c r="E12" s="173"/>
      <c r="F12" s="173"/>
      <c r="G12" s="174"/>
      <c r="H12" s="175" t="s">
        <v>18</v>
      </c>
      <c r="I12" s="176"/>
      <c r="J12" s="176"/>
      <c r="K12" s="176"/>
      <c r="L12" s="177"/>
      <c r="M12" s="234"/>
      <c r="N12" s="235"/>
      <c r="O12" s="235"/>
      <c r="P12" s="235"/>
      <c r="Q12" s="235"/>
      <c r="R12" s="236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F12" s="129" t="s">
        <v>152</v>
      </c>
      <c r="AG12" s="130"/>
      <c r="AH12" s="130"/>
      <c r="AI12" s="130"/>
      <c r="AJ12" s="130"/>
      <c r="AK12" s="133" t="e">
        <f>CONCATENATE(F204,"V - ",D204,"V :", LEFT(M204,4), "% ripple")</f>
        <v>#DIV/0!</v>
      </c>
      <c r="AL12" s="120"/>
      <c r="AM12" s="120"/>
      <c r="AN12" s="120"/>
      <c r="AO12" s="120" t="str">
        <f>CONCATENATE(E$8,"V - ",E$7,"V: &lt;1%")</f>
        <v>0V - 0V: &lt;1%</v>
      </c>
      <c r="AP12" s="120"/>
      <c r="AQ12" s="120"/>
      <c r="AR12" s="120"/>
    </row>
    <row r="13" spans="1:44" ht="18" customHeight="1">
      <c r="A13" s="178" t="s">
        <v>172</v>
      </c>
      <c r="B13" s="179"/>
      <c r="C13" s="179"/>
      <c r="D13" s="179"/>
      <c r="E13" s="180"/>
      <c r="F13" s="180"/>
      <c r="G13" s="181"/>
      <c r="H13" s="175" t="s">
        <v>19</v>
      </c>
      <c r="I13" s="176"/>
      <c r="J13" s="176"/>
      <c r="K13" s="176"/>
      <c r="L13" s="177"/>
      <c r="M13" s="234"/>
      <c r="N13" s="235"/>
      <c r="O13" s="235"/>
      <c r="P13" s="235"/>
      <c r="Q13" s="235"/>
      <c r="R13" s="236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F13" s="134" t="s">
        <v>153</v>
      </c>
      <c r="AG13" s="135"/>
      <c r="AH13" s="135"/>
      <c r="AI13" s="135"/>
      <c r="AJ13" s="135"/>
      <c r="AK13" s="120"/>
      <c r="AL13" s="120"/>
      <c r="AM13" s="120"/>
      <c r="AN13" s="120"/>
      <c r="AO13" s="120"/>
      <c r="AP13" s="120"/>
      <c r="AQ13" s="120"/>
      <c r="AR13" s="120"/>
    </row>
    <row r="14" spans="1:44" ht="18" customHeight="1">
      <c r="A14" s="185" t="s">
        <v>20</v>
      </c>
      <c r="B14" s="157"/>
      <c r="C14" s="157"/>
      <c r="D14" s="157"/>
      <c r="E14" s="195"/>
      <c r="F14" s="195"/>
      <c r="G14" s="196"/>
      <c r="H14" s="175" t="s">
        <v>21</v>
      </c>
      <c r="I14" s="176"/>
      <c r="J14" s="176"/>
      <c r="K14" s="176"/>
      <c r="L14" s="177"/>
      <c r="M14" s="234"/>
      <c r="N14" s="235"/>
      <c r="O14" s="235"/>
      <c r="P14" s="235"/>
      <c r="Q14" s="235"/>
      <c r="R14" s="236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F14" s="129" t="s">
        <v>154</v>
      </c>
      <c r="AG14" s="130"/>
      <c r="AH14" s="130"/>
      <c r="AI14" s="130"/>
      <c r="AJ14" s="130"/>
      <c r="AK14" s="120" t="str">
        <f>CONCATENATE(F255,"V - ",D255,"V")</f>
        <v>V - V</v>
      </c>
      <c r="AL14" s="120"/>
      <c r="AM14" s="120"/>
      <c r="AN14" s="120"/>
      <c r="AO14" s="120" t="str">
        <f>CONCATENATE(E$8,"V - ",E$7,"V")</f>
        <v>0V - 0V</v>
      </c>
      <c r="AP14" s="120"/>
      <c r="AQ14" s="120"/>
      <c r="AR14" s="120"/>
    </row>
    <row r="15" spans="1:44" ht="18" customHeight="1">
      <c r="A15" s="185" t="s">
        <v>22</v>
      </c>
      <c r="B15" s="157"/>
      <c r="C15" s="157"/>
      <c r="D15" s="157"/>
      <c r="E15" s="195"/>
      <c r="F15" s="195"/>
      <c r="G15" s="196"/>
      <c r="H15" s="175" t="s">
        <v>23</v>
      </c>
      <c r="I15" s="176"/>
      <c r="J15" s="176"/>
      <c r="K15" s="176"/>
      <c r="L15" s="177"/>
      <c r="M15" s="234"/>
      <c r="N15" s="235"/>
      <c r="O15" s="235"/>
      <c r="P15" s="235"/>
      <c r="Q15" s="235"/>
      <c r="R15" s="23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F15" s="129" t="s">
        <v>155</v>
      </c>
      <c r="AG15" s="130"/>
      <c r="AH15" s="130"/>
      <c r="AI15" s="130"/>
      <c r="AJ15" s="130"/>
      <c r="AK15" s="120" t="str">
        <f>CONCATENATE(F256,"V - ",D256,"V")</f>
        <v>V - V</v>
      </c>
      <c r="AL15" s="120"/>
      <c r="AM15" s="120"/>
      <c r="AN15" s="120"/>
      <c r="AO15" s="120" t="str">
        <f>CONCATENATE(E$8,"V - ",E$7,"V")</f>
        <v>0V - 0V</v>
      </c>
      <c r="AP15" s="120"/>
      <c r="AQ15" s="120"/>
      <c r="AR15" s="120"/>
    </row>
    <row r="16" spans="1:44" ht="18" customHeight="1" thickBot="1">
      <c r="A16" s="171" t="s">
        <v>174</v>
      </c>
      <c r="B16" s="172"/>
      <c r="C16" s="172"/>
      <c r="D16" s="172"/>
      <c r="E16" s="173"/>
      <c r="F16" s="173"/>
      <c r="G16" s="174"/>
      <c r="H16" s="175" t="s">
        <v>24</v>
      </c>
      <c r="I16" s="176"/>
      <c r="J16" s="176"/>
      <c r="K16" s="176"/>
      <c r="L16" s="177"/>
      <c r="M16" s="234"/>
      <c r="N16" s="235"/>
      <c r="O16" s="235"/>
      <c r="P16" s="235"/>
      <c r="Q16" s="235"/>
      <c r="R16" s="236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F16" s="129" t="s">
        <v>156</v>
      </c>
      <c r="AG16" s="130"/>
      <c r="AH16" s="130"/>
      <c r="AI16" s="130"/>
      <c r="AJ16" s="130"/>
      <c r="AK16" s="120" t="str">
        <f>CONCATENATE(F257,"V - ",D257,"V")</f>
        <v>V - V</v>
      </c>
      <c r="AL16" s="120"/>
      <c r="AM16" s="120"/>
      <c r="AN16" s="120"/>
      <c r="AO16" s="120" t="str">
        <f>CONCATENATE(E$8,"V - ",E$7,"V")</f>
        <v>0V - 0V</v>
      </c>
      <c r="AP16" s="120"/>
      <c r="AQ16" s="120"/>
      <c r="AR16" s="120"/>
    </row>
    <row r="17" spans="1:44" ht="18" customHeight="1" thickBot="1">
      <c r="A17" s="178" t="s">
        <v>173</v>
      </c>
      <c r="B17" s="179"/>
      <c r="C17" s="179"/>
      <c r="D17" s="179"/>
      <c r="E17" s="180"/>
      <c r="F17" s="180"/>
      <c r="G17" s="181"/>
      <c r="H17" s="182" t="s">
        <v>25</v>
      </c>
      <c r="I17" s="183"/>
      <c r="J17" s="183"/>
      <c r="K17" s="183"/>
      <c r="L17" s="184"/>
      <c r="M17" s="234"/>
      <c r="N17" s="235"/>
      <c r="O17" s="235"/>
      <c r="P17" s="235"/>
      <c r="Q17" s="235"/>
      <c r="R17" s="236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F17" s="134" t="s">
        <v>157</v>
      </c>
      <c r="AG17" s="135"/>
      <c r="AH17" s="135"/>
      <c r="AI17" s="135"/>
      <c r="AJ17" s="135"/>
      <c r="AK17" s="120"/>
      <c r="AL17" s="120"/>
      <c r="AM17" s="120"/>
      <c r="AN17" s="120"/>
      <c r="AO17" s="120"/>
      <c r="AP17" s="120"/>
      <c r="AQ17" s="120"/>
      <c r="AR17" s="120"/>
    </row>
    <row r="18" spans="1:44" ht="18" customHeight="1">
      <c r="A18" s="185" t="s">
        <v>20</v>
      </c>
      <c r="B18" s="157"/>
      <c r="C18" s="157"/>
      <c r="D18" s="157"/>
      <c r="E18" s="195"/>
      <c r="F18" s="195"/>
      <c r="G18" s="196"/>
      <c r="H18" s="1"/>
      <c r="I18" s="1"/>
      <c r="J18" s="1"/>
      <c r="K18" s="1"/>
      <c r="L18" s="1"/>
      <c r="M18" s="237"/>
      <c r="N18" s="235"/>
      <c r="O18" s="235"/>
      <c r="P18" s="235"/>
      <c r="Q18" s="235"/>
      <c r="R18" s="236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F18" s="129" t="s">
        <v>154</v>
      </c>
      <c r="AG18" s="130"/>
      <c r="AH18" s="130"/>
      <c r="AI18" s="130"/>
      <c r="AJ18" s="130"/>
      <c r="AK18" s="120" t="str">
        <f>CONCATENATE(F259,"V - ",D259,"V")</f>
        <v>V - V</v>
      </c>
      <c r="AL18" s="120"/>
      <c r="AM18" s="120"/>
      <c r="AN18" s="120"/>
      <c r="AO18" s="120" t="str">
        <f t="shared" ref="AO18:AO20" si="0">CONCATENATE(E$8,"V - ",E$7,"V")</f>
        <v>0V - 0V</v>
      </c>
      <c r="AP18" s="120"/>
      <c r="AQ18" s="120"/>
      <c r="AR18" s="120"/>
    </row>
    <row r="19" spans="1:44" ht="18" customHeight="1">
      <c r="A19" s="185" t="s">
        <v>22</v>
      </c>
      <c r="B19" s="157"/>
      <c r="C19" s="157"/>
      <c r="D19" s="157"/>
      <c r="E19" s="195"/>
      <c r="F19" s="195"/>
      <c r="G19" s="196"/>
      <c r="H19" s="1"/>
      <c r="I19" s="1"/>
      <c r="J19" s="1"/>
      <c r="K19" s="1"/>
      <c r="L19" s="1"/>
      <c r="M19" s="237"/>
      <c r="N19" s="235"/>
      <c r="O19" s="235"/>
      <c r="P19" s="235"/>
      <c r="Q19" s="235"/>
      <c r="R19" s="236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F19" s="129" t="s">
        <v>155</v>
      </c>
      <c r="AG19" s="130"/>
      <c r="AH19" s="130"/>
      <c r="AI19" s="130"/>
      <c r="AJ19" s="130"/>
      <c r="AK19" s="120" t="str">
        <f>CONCATENATE(F260,"V - ",D260,"V")</f>
        <v>V - V</v>
      </c>
      <c r="AL19" s="120"/>
      <c r="AM19" s="120"/>
      <c r="AN19" s="120"/>
      <c r="AO19" s="120" t="str">
        <f t="shared" si="0"/>
        <v>0V - 0V</v>
      </c>
      <c r="AP19" s="120"/>
      <c r="AQ19" s="120"/>
      <c r="AR19" s="120"/>
    </row>
    <row r="20" spans="1:44" ht="18" customHeight="1" thickBot="1">
      <c r="A20" s="171" t="s">
        <v>174</v>
      </c>
      <c r="B20" s="172"/>
      <c r="C20" s="172"/>
      <c r="D20" s="172"/>
      <c r="E20" s="173"/>
      <c r="F20" s="173"/>
      <c r="G20" s="174"/>
      <c r="H20" s="1"/>
      <c r="I20" s="1"/>
      <c r="J20" s="1"/>
      <c r="K20" s="1"/>
      <c r="L20" s="1"/>
      <c r="M20" s="237"/>
      <c r="N20" s="235"/>
      <c r="O20" s="235"/>
      <c r="P20" s="235"/>
      <c r="Q20" s="235"/>
      <c r="R20" s="236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F20" s="129" t="s">
        <v>156</v>
      </c>
      <c r="AG20" s="130"/>
      <c r="AH20" s="130"/>
      <c r="AI20" s="130"/>
      <c r="AJ20" s="130"/>
      <c r="AK20" s="120" t="str">
        <f>CONCATENATE(F261,"V - ",D261,"V")</f>
        <v>V - V</v>
      </c>
      <c r="AL20" s="120"/>
      <c r="AM20" s="120"/>
      <c r="AN20" s="120"/>
      <c r="AO20" s="120" t="str">
        <f t="shared" si="0"/>
        <v>0V - 0V</v>
      </c>
      <c r="AP20" s="120"/>
      <c r="AQ20" s="120"/>
      <c r="AR20" s="120"/>
    </row>
    <row r="21" spans="1:44" ht="18" customHeight="1" thickBot="1">
      <c r="A21" s="197" t="s">
        <v>26</v>
      </c>
      <c r="B21" s="198"/>
      <c r="C21" s="198"/>
      <c r="D21" s="198"/>
      <c r="E21" s="199"/>
      <c r="F21" s="199"/>
      <c r="G21" s="200"/>
      <c r="H21" s="1"/>
      <c r="I21" s="1"/>
      <c r="J21" s="1"/>
      <c r="K21" s="1"/>
      <c r="L21" s="1"/>
      <c r="M21" s="237"/>
      <c r="N21" s="235"/>
      <c r="O21" s="235"/>
      <c r="P21" s="235"/>
      <c r="Q21" s="235"/>
      <c r="R21" s="236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F21" s="129" t="s">
        <v>18</v>
      </c>
      <c r="AG21" s="130"/>
      <c r="AH21" s="130"/>
      <c r="AI21" s="130"/>
      <c r="AJ21" s="130"/>
      <c r="AK21" s="120"/>
      <c r="AL21" s="120"/>
      <c r="AM21" s="120"/>
      <c r="AN21" s="120"/>
      <c r="AO21" s="120" t="s">
        <v>169</v>
      </c>
      <c r="AP21" s="120"/>
      <c r="AQ21" s="120"/>
      <c r="AR21" s="120"/>
    </row>
    <row r="22" spans="1:44" ht="18" customHeight="1">
      <c r="A22" s="201" t="s">
        <v>27</v>
      </c>
      <c r="B22" s="202"/>
      <c r="C22" s="202"/>
      <c r="D22" s="202"/>
      <c r="E22" s="203"/>
      <c r="F22" s="203"/>
      <c r="G22" s="204"/>
      <c r="H22" s="1"/>
      <c r="I22" s="1"/>
      <c r="J22" s="1"/>
      <c r="K22" s="1"/>
      <c r="L22" s="1"/>
      <c r="M22" s="237"/>
      <c r="N22" s="235"/>
      <c r="O22" s="235"/>
      <c r="P22" s="235"/>
      <c r="Q22" s="235"/>
      <c r="R22" s="236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F22" s="129" t="s">
        <v>19</v>
      </c>
      <c r="AG22" s="130"/>
      <c r="AH22" s="130"/>
      <c r="AI22" s="130"/>
      <c r="AJ22" s="130"/>
      <c r="AK22" s="120"/>
      <c r="AL22" s="120"/>
      <c r="AM22" s="120"/>
      <c r="AN22" s="120"/>
      <c r="AO22" s="120" t="s">
        <v>170</v>
      </c>
      <c r="AP22" s="120"/>
      <c r="AQ22" s="120"/>
      <c r="AR22" s="120"/>
    </row>
    <row r="23" spans="1:44" ht="18" customHeight="1">
      <c r="A23" s="205" t="s">
        <v>28</v>
      </c>
      <c r="B23" s="206"/>
      <c r="C23" s="206"/>
      <c r="D23" s="206"/>
      <c r="E23" s="195"/>
      <c r="F23" s="195"/>
      <c r="G23" s="196"/>
      <c r="H23" s="1"/>
      <c r="I23" s="1"/>
      <c r="J23" s="1"/>
      <c r="K23" s="1"/>
      <c r="L23" s="1"/>
      <c r="M23" s="237"/>
      <c r="N23" s="235"/>
      <c r="O23" s="235"/>
      <c r="P23" s="235"/>
      <c r="Q23" s="235"/>
      <c r="R23" s="236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F23" s="129" t="s">
        <v>158</v>
      </c>
      <c r="AG23" s="130"/>
      <c r="AH23" s="130"/>
      <c r="AI23" s="130"/>
      <c r="AJ23" s="130"/>
      <c r="AK23" s="120" t="str">
        <f>CONCATENATE(E352,"V - ",D352,"V")</f>
        <v>V - V</v>
      </c>
      <c r="AL23" s="120"/>
      <c r="AM23" s="120"/>
      <c r="AN23" s="120"/>
      <c r="AO23" s="120" t="str">
        <f>CONCATENATE(E$9*0.95,"V - ",E$9*1.05,"V")</f>
        <v>0V - 0V</v>
      </c>
      <c r="AP23" s="120"/>
      <c r="AQ23" s="120"/>
      <c r="AR23" s="120"/>
    </row>
    <row r="24" spans="1:44" ht="18" customHeight="1">
      <c r="A24" s="185" t="s">
        <v>29</v>
      </c>
      <c r="B24" s="157"/>
      <c r="C24" s="157"/>
      <c r="D24" s="157"/>
      <c r="E24" s="195"/>
      <c r="F24" s="195"/>
      <c r="G24" s="196"/>
      <c r="H24" s="1"/>
      <c r="I24" s="1"/>
      <c r="J24" s="1"/>
      <c r="K24" s="1"/>
      <c r="L24" s="1"/>
      <c r="M24" s="237"/>
      <c r="N24" s="235"/>
      <c r="O24" s="235"/>
      <c r="P24" s="235"/>
      <c r="Q24" s="235"/>
      <c r="R24" s="236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F24" s="129" t="s">
        <v>159</v>
      </c>
      <c r="AG24" s="130"/>
      <c r="AH24" s="130"/>
      <c r="AI24" s="130"/>
      <c r="AJ24" s="130"/>
      <c r="AK24" s="120" t="str">
        <f>CONCATENATE(E353,"V - ",D353,"V")</f>
        <v>V - V</v>
      </c>
      <c r="AL24" s="120"/>
      <c r="AM24" s="120"/>
      <c r="AN24" s="120"/>
      <c r="AO24" s="120" t="str">
        <f t="shared" ref="AO24:AO26" si="1">CONCATENATE(E$9*0.95,"V - ",E$9*1.05,"V")</f>
        <v>0V - 0V</v>
      </c>
      <c r="AP24" s="120"/>
      <c r="AQ24" s="120"/>
      <c r="AR24" s="120"/>
    </row>
    <row r="25" spans="1:44" ht="18" customHeight="1" thickBot="1">
      <c r="A25" s="171" t="s">
        <v>30</v>
      </c>
      <c r="B25" s="172"/>
      <c r="C25" s="172"/>
      <c r="D25" s="172"/>
      <c r="E25" s="173"/>
      <c r="F25" s="173"/>
      <c r="G25" s="174"/>
      <c r="H25" s="1"/>
      <c r="I25" s="1"/>
      <c r="J25" s="1"/>
      <c r="K25" s="1"/>
      <c r="L25" s="1"/>
      <c r="M25" s="238"/>
      <c r="N25" s="239"/>
      <c r="O25" s="239"/>
      <c r="P25" s="239"/>
      <c r="Q25" s="239"/>
      <c r="R25" s="240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F25" s="129" t="s">
        <v>215</v>
      </c>
      <c r="AG25" s="130"/>
      <c r="AH25" s="130"/>
      <c r="AI25" s="130"/>
      <c r="AJ25" s="130"/>
      <c r="AK25" s="120" t="e">
        <f>CONCATENATE(LEFT(L353,4),"% ")</f>
        <v>#DIV/0!</v>
      </c>
      <c r="AL25" s="120"/>
      <c r="AM25" s="120"/>
      <c r="AN25" s="120"/>
      <c r="AO25" s="120" t="s">
        <v>216</v>
      </c>
      <c r="AP25" s="120"/>
      <c r="AQ25" s="120"/>
      <c r="AR25" s="120"/>
    </row>
    <row r="26" spans="1:44" ht="18" customHeight="1">
      <c r="A26" s="207" t="s">
        <v>31</v>
      </c>
      <c r="B26" s="208"/>
      <c r="C26" s="208"/>
      <c r="D26" s="208"/>
      <c r="E26" s="203"/>
      <c r="F26" s="203"/>
      <c r="G26" s="204"/>
      <c r="H26" s="2"/>
      <c r="I26" s="2"/>
      <c r="J26" s="2"/>
      <c r="K26" s="2"/>
      <c r="L26" s="1"/>
      <c r="M26" s="3"/>
      <c r="N26" s="3"/>
      <c r="O26" s="3"/>
      <c r="P26" s="3"/>
      <c r="Q26" s="3"/>
      <c r="R26" s="3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F26" s="129" t="s">
        <v>160</v>
      </c>
      <c r="AG26" s="130"/>
      <c r="AH26" s="130"/>
      <c r="AI26" s="130"/>
      <c r="AJ26" s="130"/>
      <c r="AK26" s="120" t="str">
        <f>CONCATENATE(E355,"V - ",D355,"V")</f>
        <v>V - V</v>
      </c>
      <c r="AL26" s="120"/>
      <c r="AM26" s="120"/>
      <c r="AN26" s="120"/>
      <c r="AO26" s="120" t="str">
        <f t="shared" si="1"/>
        <v>0V - 0V</v>
      </c>
      <c r="AP26" s="120"/>
      <c r="AQ26" s="120"/>
      <c r="AR26" s="120"/>
    </row>
    <row r="27" spans="1:44" ht="18" customHeight="1" thickBot="1">
      <c r="A27" s="171" t="s">
        <v>32</v>
      </c>
      <c r="B27" s="172"/>
      <c r="C27" s="172"/>
      <c r="D27" s="172"/>
      <c r="E27" s="173"/>
      <c r="F27" s="173"/>
      <c r="G27" s="174"/>
      <c r="H27" s="2"/>
      <c r="I27" s="2"/>
      <c r="J27" s="2"/>
      <c r="K27" s="2"/>
      <c r="L27" s="1"/>
      <c r="M27" s="3"/>
      <c r="N27" s="3"/>
      <c r="O27" s="3"/>
      <c r="P27" s="3"/>
      <c r="Q27" s="3"/>
      <c r="R27" s="3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F27" s="129" t="s">
        <v>16</v>
      </c>
      <c r="AG27" s="130"/>
      <c r="AH27" s="130"/>
      <c r="AI27" s="130"/>
      <c r="AJ27" s="130"/>
      <c r="AK27" s="120" t="str">
        <f>CONCATENATE("@ ",OCP_MEAS,"A")</f>
        <v>@ A</v>
      </c>
      <c r="AL27" s="120"/>
      <c r="AM27" s="120"/>
      <c r="AN27" s="120"/>
      <c r="AO27" s="120" t="str">
        <f>CONCATENATE("&gt;",E22*1.2,"A")</f>
        <v>&gt;0A</v>
      </c>
      <c r="AP27" s="120"/>
      <c r="AQ27" s="120"/>
      <c r="AR27" s="120"/>
    </row>
    <row r="28" spans="1:44" ht="18" customHeight="1">
      <c r="A28" s="163" t="s">
        <v>33</v>
      </c>
      <c r="B28" s="164"/>
      <c r="C28" s="164"/>
      <c r="D28" s="164"/>
      <c r="E28" s="165"/>
      <c r="F28" s="165"/>
      <c r="G28" s="166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F28" s="129" t="s">
        <v>161</v>
      </c>
      <c r="AG28" s="130"/>
      <c r="AH28" s="130"/>
      <c r="AI28" s="130"/>
      <c r="AJ28" s="130"/>
      <c r="AK28" s="120" t="str">
        <f>CONCATENATE(G407,"% - ",H407,"%")</f>
        <v>% - %</v>
      </c>
      <c r="AL28" s="120"/>
      <c r="AM28" s="120"/>
      <c r="AN28" s="120"/>
      <c r="AO28" s="120" t="e">
        <f>CONCATENATE(TEXT((DUT_VOUT/DUT_VIN)*0.975,"0.0%")," -",TEXT((DUT_VOUT/DUT_VIN)*1.025,"0.0%"))</f>
        <v>#DIV/0!</v>
      </c>
      <c r="AP28" s="120"/>
      <c r="AQ28" s="120"/>
      <c r="AR28" s="120"/>
    </row>
    <row r="29" spans="1:44" ht="18" customHeight="1" thickBot="1">
      <c r="A29" s="167" t="s">
        <v>34</v>
      </c>
      <c r="B29" s="168"/>
      <c r="C29" s="168"/>
      <c r="D29" s="168"/>
      <c r="E29" s="169"/>
      <c r="F29" s="169"/>
      <c r="G29" s="170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F29" s="129" t="s">
        <v>162</v>
      </c>
      <c r="AG29" s="130"/>
      <c r="AH29" s="130"/>
      <c r="AI29" s="130"/>
      <c r="AJ29" s="130"/>
      <c r="AK29" s="120" t="str">
        <f>CONCATENATE(G408,"% - ",H408,"%")</f>
        <v>% - %</v>
      </c>
      <c r="AL29" s="120"/>
      <c r="AM29" s="120"/>
      <c r="AN29" s="120"/>
      <c r="AO29" s="120" t="e">
        <f>CONCATENATE(TEXT((DUT_VOUT/DUT_VIN)*0.99,"0.0%")," -",TEXT((DUT_VOUT/DUT_VIN)*1.08,"0.0%"))</f>
        <v>#DIV/0!</v>
      </c>
      <c r="AP29" s="120"/>
      <c r="AQ29" s="120"/>
      <c r="AR29" s="120"/>
    </row>
    <row r="30" spans="1:44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F30" s="129" t="s">
        <v>110</v>
      </c>
      <c r="AG30" s="130"/>
      <c r="AH30" s="130"/>
      <c r="AI30" s="130"/>
      <c r="AJ30" s="130"/>
      <c r="AK30" s="120" t="str">
        <f>IF(COUNTA(E407:E409)=3,CONCATENATE(TEXT(AVERAGE(E408:E409)/1000,"0")," kHz",),"")</f>
        <v/>
      </c>
      <c r="AL30" s="120"/>
      <c r="AM30" s="120"/>
      <c r="AN30" s="120"/>
      <c r="AO30" s="120" t="str">
        <f>CONCATENATE(SWITCH_FREQ*0.95," kHz - ",SWITCH_FREQ*1.05," kHz")</f>
        <v>0 kHz - 0 kHz</v>
      </c>
      <c r="AP30" s="120"/>
      <c r="AQ30" s="120"/>
      <c r="AR30" s="120"/>
    </row>
    <row r="31" spans="1:44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F31" s="125" t="s">
        <v>21</v>
      </c>
      <c r="AG31" s="126"/>
      <c r="AH31" s="126"/>
      <c r="AI31" s="126"/>
      <c r="AJ31" s="126"/>
      <c r="AK31" s="120"/>
      <c r="AL31" s="120"/>
      <c r="AM31" s="120"/>
      <c r="AN31" s="120"/>
      <c r="AO31" s="120" t="s">
        <v>171</v>
      </c>
      <c r="AP31" s="120"/>
      <c r="AQ31" s="120"/>
      <c r="AR31" s="120"/>
    </row>
    <row r="32" spans="1:44" ht="20.25" customHeight="1" thickBot="1">
      <c r="A32" s="140" t="s">
        <v>35</v>
      </c>
      <c r="B32" s="140"/>
      <c r="C32" s="140"/>
      <c r="D32" s="140"/>
      <c r="E32" s="140"/>
      <c r="F32" s="4"/>
      <c r="G32" s="5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1"/>
      <c r="Z32" s="1"/>
      <c r="AA32" s="1"/>
      <c r="AB32" s="1"/>
      <c r="AC32" s="1"/>
      <c r="AF32" s="125" t="s">
        <v>24</v>
      </c>
      <c r="AG32" s="126"/>
      <c r="AH32" s="126"/>
      <c r="AI32" s="126"/>
      <c r="AJ32" s="126"/>
      <c r="AK32" s="120"/>
      <c r="AL32" s="120"/>
      <c r="AM32" s="120"/>
      <c r="AN32" s="120"/>
      <c r="AO32" s="120" t="s">
        <v>171</v>
      </c>
      <c r="AP32" s="120"/>
      <c r="AQ32" s="120"/>
      <c r="AR32" s="120"/>
    </row>
    <row r="33" spans="1:44" ht="15.75" customHeight="1">
      <c r="A33" s="157" t="s">
        <v>36</v>
      </c>
      <c r="B33" s="157"/>
      <c r="C33" s="157"/>
      <c r="D33" s="157"/>
      <c r="E33" s="6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F33" s="125" t="s">
        <v>23</v>
      </c>
      <c r="AG33" s="126"/>
      <c r="AH33" s="126"/>
      <c r="AI33" s="126"/>
      <c r="AJ33" s="126"/>
      <c r="AK33" s="120"/>
      <c r="AL33" s="120"/>
      <c r="AM33" s="120"/>
      <c r="AN33" s="120"/>
      <c r="AO33" s="120" t="s">
        <v>171</v>
      </c>
      <c r="AP33" s="120"/>
      <c r="AQ33" s="120"/>
      <c r="AR33" s="120"/>
    </row>
    <row r="34" spans="1:44" ht="15.75" customHeight="1">
      <c r="A34" s="157" t="s">
        <v>37</v>
      </c>
      <c r="B34" s="157"/>
      <c r="C34" s="157"/>
      <c r="D34" s="157"/>
      <c r="E34" s="6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F34" s="125" t="s">
        <v>163</v>
      </c>
      <c r="AG34" s="126"/>
      <c r="AH34" s="126"/>
      <c r="AI34" s="126"/>
      <c r="AJ34" s="126"/>
      <c r="AK34" s="120" t="str">
        <f>CONCATENATE("MAX: ",MAX(S1047:S1049),"V","  MIN: ",MIN(R1047:R1049),"V")</f>
        <v>MAX: 0V  MIN: 0V</v>
      </c>
      <c r="AL34" s="120"/>
      <c r="AM34" s="120"/>
      <c r="AN34" s="120"/>
      <c r="AO34" s="120" t="str">
        <f>CONCATENATE("Max V &lt;",0.8*E14)</f>
        <v>Max V &lt;0</v>
      </c>
      <c r="AP34" s="120"/>
      <c r="AQ34" s="120"/>
      <c r="AR34" s="120"/>
    </row>
    <row r="35" spans="1:44" ht="15.75" customHeight="1">
      <c r="A35" s="1"/>
      <c r="B35" s="1"/>
      <c r="C35" s="1"/>
      <c r="D35" s="1"/>
      <c r="E35" s="1"/>
      <c r="F35" s="1"/>
      <c r="G35" s="1"/>
      <c r="H35" s="1"/>
      <c r="I35" s="7"/>
      <c r="J35" s="8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F35" s="117" t="s">
        <v>164</v>
      </c>
      <c r="AG35" s="117"/>
      <c r="AH35" s="117"/>
      <c r="AI35" s="117"/>
      <c r="AJ35" s="117"/>
      <c r="AK35" s="120" t="str">
        <f>CONCATENATE("MAX: ",MAX(E1047:E1049),"V","  MIN: ",MIN(D1047:D1049),"V")</f>
        <v>MAX: 0V  MIN: 0V</v>
      </c>
      <c r="AL35" s="120"/>
      <c r="AM35" s="120"/>
      <c r="AN35" s="120"/>
      <c r="AO35" s="120" t="str">
        <f>CONCATENATE("Max V &lt;",0.8*E18)</f>
        <v>Max V &lt;0</v>
      </c>
      <c r="AP35" s="120"/>
      <c r="AQ35" s="120"/>
      <c r="AR35" s="120"/>
    </row>
    <row r="36" spans="1:44" ht="15.75" customHeight="1">
      <c r="A36" s="1"/>
      <c r="B36" s="158" t="s">
        <v>38</v>
      </c>
      <c r="C36" s="9">
        <f>E2</f>
        <v>0</v>
      </c>
      <c r="D36" s="10" t="s">
        <v>39</v>
      </c>
      <c r="E36" s="11" t="s">
        <v>40</v>
      </c>
      <c r="F36" s="12"/>
      <c r="G36" s="159" t="s">
        <v>41</v>
      </c>
      <c r="H36" s="159" t="s">
        <v>42</v>
      </c>
      <c r="I36" s="160" t="s">
        <v>202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F36" s="118" t="s">
        <v>165</v>
      </c>
      <c r="AG36" s="119"/>
      <c r="AH36" s="119"/>
      <c r="AI36" s="119"/>
      <c r="AJ36" s="119"/>
      <c r="AK36" s="120"/>
      <c r="AL36" s="120"/>
      <c r="AM36" s="120"/>
      <c r="AN36" s="120"/>
      <c r="AO36" s="120"/>
      <c r="AP36" s="120"/>
      <c r="AQ36" s="120"/>
      <c r="AR36" s="120"/>
    </row>
    <row r="37" spans="1:44" ht="28.5" customHeight="1" thickBot="1">
      <c r="A37" s="1"/>
      <c r="B37" s="158"/>
      <c r="C37" s="13" t="s">
        <v>43</v>
      </c>
      <c r="D37" s="14" t="s">
        <v>7</v>
      </c>
      <c r="E37" s="15" t="s">
        <v>44</v>
      </c>
      <c r="F37" s="16"/>
      <c r="G37" s="159"/>
      <c r="H37" s="159"/>
      <c r="I37" s="160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44" ht="15.75" customHeight="1">
      <c r="A38" s="1"/>
      <c r="B38" s="17">
        <v>0</v>
      </c>
      <c r="C38" s="18"/>
      <c r="D38" s="18"/>
      <c r="E38" s="18"/>
      <c r="F38" s="19"/>
      <c r="G38" s="20">
        <f>E38*D38</f>
        <v>0</v>
      </c>
      <c r="H38" s="20">
        <f t="shared" ref="H38:H49" si="2">C38*B38</f>
        <v>0</v>
      </c>
      <c r="I38" s="20">
        <f>G38-H38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F38" s="186" t="s">
        <v>198</v>
      </c>
      <c r="AG38" s="187"/>
      <c r="AH38" s="187"/>
      <c r="AI38" s="187"/>
      <c r="AJ38" s="187"/>
      <c r="AK38" s="187"/>
      <c r="AL38" s="187"/>
      <c r="AM38" s="187"/>
      <c r="AN38" s="187"/>
      <c r="AO38" s="187"/>
      <c r="AP38" s="187"/>
      <c r="AQ38" s="187"/>
      <c r="AR38" s="188"/>
    </row>
    <row r="39" spans="1:44" ht="15.75" customHeight="1">
      <c r="A39" s="1"/>
      <c r="B39" s="17"/>
      <c r="C39" s="18"/>
      <c r="D39" s="18"/>
      <c r="E39" s="18"/>
      <c r="F39" s="19"/>
      <c r="G39" s="20">
        <f t="shared" ref="G39:G79" si="3">(E39-E$38)*D39</f>
        <v>0</v>
      </c>
      <c r="H39" s="20">
        <f t="shared" si="2"/>
        <v>0</v>
      </c>
      <c r="I39" s="20">
        <f t="shared" ref="I39:I79" si="4">G39-H39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F39" s="189"/>
      <c r="AG39" s="190"/>
      <c r="AH39" s="190"/>
      <c r="AI39" s="190"/>
      <c r="AJ39" s="190"/>
      <c r="AK39" s="190"/>
      <c r="AL39" s="190"/>
      <c r="AM39" s="190"/>
      <c r="AN39" s="190"/>
      <c r="AO39" s="190"/>
      <c r="AP39" s="190"/>
      <c r="AQ39" s="190"/>
      <c r="AR39" s="191"/>
    </row>
    <row r="40" spans="1:44" ht="15.75" customHeight="1">
      <c r="A40" s="1"/>
      <c r="B40" s="17"/>
      <c r="C40" s="18"/>
      <c r="D40" s="18"/>
      <c r="E40" s="18"/>
      <c r="F40" s="19"/>
      <c r="G40" s="20">
        <f t="shared" si="3"/>
        <v>0</v>
      </c>
      <c r="H40" s="20">
        <f t="shared" si="2"/>
        <v>0</v>
      </c>
      <c r="I40" s="20">
        <f t="shared" si="4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F40" s="189"/>
      <c r="AG40" s="190"/>
      <c r="AH40" s="190"/>
      <c r="AI40" s="190"/>
      <c r="AJ40" s="190"/>
      <c r="AK40" s="190"/>
      <c r="AL40" s="190"/>
      <c r="AM40" s="190"/>
      <c r="AN40" s="190"/>
      <c r="AO40" s="190"/>
      <c r="AP40" s="190"/>
      <c r="AQ40" s="190"/>
      <c r="AR40" s="191"/>
    </row>
    <row r="41" spans="1:44" ht="15.75" customHeight="1">
      <c r="A41" s="1"/>
      <c r="B41" s="17"/>
      <c r="C41" s="18"/>
      <c r="D41" s="18"/>
      <c r="E41" s="18"/>
      <c r="F41" s="19"/>
      <c r="G41" s="20">
        <f t="shared" si="3"/>
        <v>0</v>
      </c>
      <c r="H41" s="20">
        <f t="shared" si="2"/>
        <v>0</v>
      </c>
      <c r="I41" s="20">
        <f t="shared" si="4"/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F41" s="189"/>
      <c r="AG41" s="190"/>
      <c r="AH41" s="190"/>
      <c r="AI41" s="190"/>
      <c r="AJ41" s="190"/>
      <c r="AK41" s="190"/>
      <c r="AL41" s="190"/>
      <c r="AM41" s="190"/>
      <c r="AN41" s="190"/>
      <c r="AO41" s="190"/>
      <c r="AP41" s="190"/>
      <c r="AQ41" s="190"/>
      <c r="AR41" s="191"/>
    </row>
    <row r="42" spans="1:44" ht="15.75" customHeight="1">
      <c r="A42" s="1"/>
      <c r="B42" s="17"/>
      <c r="C42" s="18"/>
      <c r="D42" s="18"/>
      <c r="E42" s="18"/>
      <c r="F42" s="19"/>
      <c r="G42" s="20">
        <f t="shared" si="3"/>
        <v>0</v>
      </c>
      <c r="H42" s="20">
        <f t="shared" si="2"/>
        <v>0</v>
      </c>
      <c r="I42" s="20">
        <f t="shared" si="4"/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F42" s="189"/>
      <c r="AG42" s="190"/>
      <c r="AH42" s="190"/>
      <c r="AI42" s="190"/>
      <c r="AJ42" s="190"/>
      <c r="AK42" s="190"/>
      <c r="AL42" s="190"/>
      <c r="AM42" s="190"/>
      <c r="AN42" s="190"/>
      <c r="AO42" s="190"/>
      <c r="AP42" s="190"/>
      <c r="AQ42" s="190"/>
      <c r="AR42" s="191"/>
    </row>
    <row r="43" spans="1:44" ht="15.75" customHeight="1">
      <c r="A43" s="1"/>
      <c r="B43" s="17"/>
      <c r="C43" s="18"/>
      <c r="D43" s="18"/>
      <c r="E43" s="18"/>
      <c r="F43" s="19"/>
      <c r="G43" s="20">
        <f t="shared" si="3"/>
        <v>0</v>
      </c>
      <c r="H43" s="20">
        <f t="shared" si="2"/>
        <v>0</v>
      </c>
      <c r="I43" s="20">
        <f t="shared" si="4"/>
        <v>0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F43" s="189"/>
      <c r="AG43" s="190"/>
      <c r="AH43" s="190"/>
      <c r="AI43" s="190"/>
      <c r="AJ43" s="190"/>
      <c r="AK43" s="190"/>
      <c r="AL43" s="190"/>
      <c r="AM43" s="190"/>
      <c r="AN43" s="190"/>
      <c r="AO43" s="190"/>
      <c r="AP43" s="190"/>
      <c r="AQ43" s="190"/>
      <c r="AR43" s="191"/>
    </row>
    <row r="44" spans="1:44" ht="15.75" customHeight="1">
      <c r="A44" s="1"/>
      <c r="B44" s="17"/>
      <c r="C44" s="18"/>
      <c r="D44" s="18"/>
      <c r="E44" s="18"/>
      <c r="F44" s="19"/>
      <c r="G44" s="20">
        <f t="shared" si="3"/>
        <v>0</v>
      </c>
      <c r="H44" s="20">
        <f t="shared" si="2"/>
        <v>0</v>
      </c>
      <c r="I44" s="20">
        <f t="shared" si="4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F44" s="189"/>
      <c r="AG44" s="190"/>
      <c r="AH44" s="190"/>
      <c r="AI44" s="190"/>
      <c r="AJ44" s="190"/>
      <c r="AK44" s="190"/>
      <c r="AL44" s="190"/>
      <c r="AM44" s="190"/>
      <c r="AN44" s="190"/>
      <c r="AO44" s="190"/>
      <c r="AP44" s="190"/>
      <c r="AQ44" s="190"/>
      <c r="AR44" s="191"/>
    </row>
    <row r="45" spans="1:44" ht="15.75" customHeight="1">
      <c r="A45" s="1"/>
      <c r="B45" s="17"/>
      <c r="C45" s="18"/>
      <c r="D45" s="18"/>
      <c r="E45" s="18"/>
      <c r="F45" s="19"/>
      <c r="G45" s="20">
        <f t="shared" si="3"/>
        <v>0</v>
      </c>
      <c r="H45" s="20">
        <f t="shared" si="2"/>
        <v>0</v>
      </c>
      <c r="I45" s="20">
        <f t="shared" si="4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F45" s="189"/>
      <c r="AG45" s="190"/>
      <c r="AH45" s="190"/>
      <c r="AI45" s="190"/>
      <c r="AJ45" s="190"/>
      <c r="AK45" s="190"/>
      <c r="AL45" s="190"/>
      <c r="AM45" s="190"/>
      <c r="AN45" s="190"/>
      <c r="AO45" s="190"/>
      <c r="AP45" s="190"/>
      <c r="AQ45" s="190"/>
      <c r="AR45" s="191"/>
    </row>
    <row r="46" spans="1:44" ht="15.75" customHeight="1" thickBot="1">
      <c r="A46" s="1"/>
      <c r="B46" s="17"/>
      <c r="C46" s="18"/>
      <c r="D46" s="18"/>
      <c r="E46" s="18"/>
      <c r="F46" s="19"/>
      <c r="G46" s="20">
        <f t="shared" si="3"/>
        <v>0</v>
      </c>
      <c r="H46" s="20">
        <f t="shared" si="2"/>
        <v>0</v>
      </c>
      <c r="I46" s="20">
        <f t="shared" si="4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F46" s="192"/>
      <c r="AG46" s="193"/>
      <c r="AH46" s="193"/>
      <c r="AI46" s="193"/>
      <c r="AJ46" s="193"/>
      <c r="AK46" s="193"/>
      <c r="AL46" s="193"/>
      <c r="AM46" s="193"/>
      <c r="AN46" s="193"/>
      <c r="AO46" s="193"/>
      <c r="AP46" s="193"/>
      <c r="AQ46" s="193"/>
      <c r="AR46" s="194"/>
    </row>
    <row r="47" spans="1:44" ht="15.75" customHeight="1">
      <c r="A47" s="1"/>
      <c r="B47" s="17"/>
      <c r="C47" s="18"/>
      <c r="D47" s="18"/>
      <c r="E47" s="18"/>
      <c r="F47" s="19"/>
      <c r="G47" s="20">
        <f t="shared" si="3"/>
        <v>0</v>
      </c>
      <c r="H47" s="20">
        <f t="shared" si="2"/>
        <v>0</v>
      </c>
      <c r="I47" s="20">
        <f t="shared" si="4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1:44" ht="15.75" customHeight="1">
      <c r="A48" s="1"/>
      <c r="B48" s="17"/>
      <c r="C48" s="18"/>
      <c r="D48" s="18"/>
      <c r="E48" s="18"/>
      <c r="F48" s="19"/>
      <c r="G48" s="20">
        <f t="shared" si="3"/>
        <v>0</v>
      </c>
      <c r="H48" s="20">
        <f t="shared" si="2"/>
        <v>0</v>
      </c>
      <c r="I48" s="20">
        <f t="shared" si="4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pans="1:30" ht="15.75" customHeight="1">
      <c r="A49" s="1"/>
      <c r="B49" s="17"/>
      <c r="C49" s="18"/>
      <c r="D49" s="18"/>
      <c r="E49" s="18"/>
      <c r="F49" s="21"/>
      <c r="G49" s="20">
        <f t="shared" si="3"/>
        <v>0</v>
      </c>
      <c r="H49" s="20">
        <f t="shared" si="2"/>
        <v>0</v>
      </c>
      <c r="I49" s="20">
        <f t="shared" si="4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spans="1:30" ht="15.75" customHeight="1">
      <c r="A50" s="1"/>
      <c r="B50" s="17"/>
      <c r="C50" s="18"/>
      <c r="D50" s="18"/>
      <c r="E50" s="18"/>
      <c r="F50" s="19"/>
      <c r="G50" s="20">
        <f t="shared" si="3"/>
        <v>0</v>
      </c>
      <c r="H50" s="20">
        <f t="shared" ref="H50:H79" si="5">C50*B50</f>
        <v>0</v>
      </c>
      <c r="I50" s="20">
        <f t="shared" si="4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</row>
    <row r="51" spans="1:30" ht="15.75" customHeight="1">
      <c r="A51" s="1"/>
      <c r="B51" s="17"/>
      <c r="C51" s="18"/>
      <c r="D51" s="18"/>
      <c r="E51" s="18"/>
      <c r="F51" s="19"/>
      <c r="G51" s="20">
        <f t="shared" si="3"/>
        <v>0</v>
      </c>
      <c r="H51" s="20">
        <f t="shared" si="5"/>
        <v>0</v>
      </c>
      <c r="I51" s="20">
        <f t="shared" si="4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</row>
    <row r="52" spans="1:30" ht="15.75" customHeight="1">
      <c r="A52" s="1"/>
      <c r="B52" s="17"/>
      <c r="C52" s="18"/>
      <c r="D52" s="18"/>
      <c r="E52" s="18"/>
      <c r="F52" s="19"/>
      <c r="G52" s="20">
        <f t="shared" si="3"/>
        <v>0</v>
      </c>
      <c r="H52" s="20">
        <f t="shared" si="5"/>
        <v>0</v>
      </c>
      <c r="I52" s="20">
        <f t="shared" si="4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</row>
    <row r="53" spans="1:30" ht="15.75" customHeight="1">
      <c r="A53" s="1"/>
      <c r="B53" s="17"/>
      <c r="C53" s="18"/>
      <c r="D53" s="18"/>
      <c r="E53" s="18"/>
      <c r="F53" s="19"/>
      <c r="G53" s="20">
        <f t="shared" si="3"/>
        <v>0</v>
      </c>
      <c r="H53" s="20">
        <f t="shared" si="5"/>
        <v>0</v>
      </c>
      <c r="I53" s="20">
        <f t="shared" si="4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1:30" ht="15.75" customHeight="1">
      <c r="A54" s="1"/>
      <c r="B54" s="17"/>
      <c r="C54" s="18"/>
      <c r="D54" s="18"/>
      <c r="E54" s="18"/>
      <c r="F54" s="19"/>
      <c r="G54" s="20">
        <f t="shared" si="3"/>
        <v>0</v>
      </c>
      <c r="H54" s="20">
        <f t="shared" si="5"/>
        <v>0</v>
      </c>
      <c r="I54" s="20">
        <f t="shared" si="4"/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1:30" ht="15.75" customHeight="1">
      <c r="A55" s="1"/>
      <c r="B55" s="17"/>
      <c r="C55" s="18"/>
      <c r="D55" s="18"/>
      <c r="E55" s="18"/>
      <c r="F55" s="19"/>
      <c r="G55" s="20">
        <f t="shared" si="3"/>
        <v>0</v>
      </c>
      <c r="H55" s="20">
        <f t="shared" si="5"/>
        <v>0</v>
      </c>
      <c r="I55" s="20">
        <f t="shared" si="4"/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1:30" ht="15.75" customHeight="1">
      <c r="A56" s="1"/>
      <c r="B56" s="17"/>
      <c r="C56" s="18"/>
      <c r="D56" s="18"/>
      <c r="E56" s="18"/>
      <c r="F56" s="19"/>
      <c r="G56" s="20">
        <f t="shared" si="3"/>
        <v>0</v>
      </c>
      <c r="H56" s="20">
        <f t="shared" si="5"/>
        <v>0</v>
      </c>
      <c r="I56" s="20">
        <f t="shared" si="4"/>
        <v>0</v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1:30" ht="15.75" customHeight="1">
      <c r="A57" s="1"/>
      <c r="B57" s="17"/>
      <c r="C57" s="18"/>
      <c r="D57" s="18"/>
      <c r="E57" s="18"/>
      <c r="F57" s="19"/>
      <c r="G57" s="20">
        <f t="shared" si="3"/>
        <v>0</v>
      </c>
      <c r="H57" s="20">
        <f t="shared" si="5"/>
        <v>0</v>
      </c>
      <c r="I57" s="20">
        <f t="shared" si="4"/>
        <v>0</v>
      </c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1:30" ht="15.75" customHeight="1">
      <c r="A58" s="1"/>
      <c r="B58" s="17"/>
      <c r="C58" s="18"/>
      <c r="D58" s="18"/>
      <c r="E58" s="18"/>
      <c r="F58" s="19"/>
      <c r="G58" s="20">
        <f t="shared" si="3"/>
        <v>0</v>
      </c>
      <c r="H58" s="20">
        <f t="shared" si="5"/>
        <v>0</v>
      </c>
      <c r="I58" s="20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1:30" ht="15.75" customHeight="1">
      <c r="A59" s="1"/>
      <c r="B59" s="17"/>
      <c r="C59" s="18"/>
      <c r="D59" s="18"/>
      <c r="E59" s="18"/>
      <c r="F59" s="19"/>
      <c r="G59" s="20">
        <f t="shared" si="3"/>
        <v>0</v>
      </c>
      <c r="H59" s="20">
        <f t="shared" si="5"/>
        <v>0</v>
      </c>
      <c r="I59" s="20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1:30" ht="15.75" customHeight="1">
      <c r="A60" s="1"/>
      <c r="B60" s="17"/>
      <c r="C60" s="18"/>
      <c r="D60" s="18"/>
      <c r="E60" s="18"/>
      <c r="F60" s="19"/>
      <c r="G60" s="20">
        <f t="shared" si="3"/>
        <v>0</v>
      </c>
      <c r="H60" s="20">
        <f t="shared" si="5"/>
        <v>0</v>
      </c>
      <c r="I60" s="20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1:30" ht="15.75" customHeight="1">
      <c r="A61" s="1"/>
      <c r="B61" s="17"/>
      <c r="C61" s="18"/>
      <c r="D61" s="18"/>
      <c r="E61" s="18"/>
      <c r="F61" s="21"/>
      <c r="G61" s="20">
        <f t="shared" si="3"/>
        <v>0</v>
      </c>
      <c r="H61" s="20">
        <f t="shared" si="5"/>
        <v>0</v>
      </c>
      <c r="I61" s="20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1:30" ht="15.75" customHeight="1">
      <c r="A62" s="1"/>
      <c r="B62" s="17"/>
      <c r="C62" s="18"/>
      <c r="D62" s="18"/>
      <c r="E62" s="18"/>
      <c r="F62" s="19"/>
      <c r="G62" s="20">
        <f t="shared" si="3"/>
        <v>0</v>
      </c>
      <c r="H62" s="20">
        <f t="shared" si="5"/>
        <v>0</v>
      </c>
      <c r="I62" s="20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1:30" ht="15.75" customHeight="1">
      <c r="A63" s="1"/>
      <c r="B63" s="17"/>
      <c r="C63" s="18"/>
      <c r="D63" s="18"/>
      <c r="E63" s="18"/>
      <c r="F63" s="19"/>
      <c r="G63" s="20">
        <f t="shared" si="3"/>
        <v>0</v>
      </c>
      <c r="H63" s="20">
        <f t="shared" si="5"/>
        <v>0</v>
      </c>
      <c r="I63" s="20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1:30" ht="15.75" customHeight="1">
      <c r="A64" s="1"/>
      <c r="B64" s="17"/>
      <c r="C64" s="18"/>
      <c r="D64" s="18"/>
      <c r="E64" s="18"/>
      <c r="F64" s="19"/>
      <c r="G64" s="20">
        <f t="shared" si="3"/>
        <v>0</v>
      </c>
      <c r="H64" s="20">
        <f t="shared" si="5"/>
        <v>0</v>
      </c>
      <c r="I64" s="20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1:31" ht="15.75" customHeight="1">
      <c r="A65" s="1"/>
      <c r="B65" s="17"/>
      <c r="C65" s="18"/>
      <c r="D65" s="18"/>
      <c r="E65" s="18"/>
      <c r="F65" s="19"/>
      <c r="G65" s="20">
        <f t="shared" si="3"/>
        <v>0</v>
      </c>
      <c r="H65" s="20">
        <f t="shared" si="5"/>
        <v>0</v>
      </c>
      <c r="I65" s="20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1:31" ht="15.75" customHeight="1">
      <c r="A66" s="1"/>
      <c r="B66" s="17"/>
      <c r="C66" s="18"/>
      <c r="D66" s="18"/>
      <c r="E66" s="18"/>
      <c r="F66" s="19"/>
      <c r="G66" s="20">
        <f t="shared" si="3"/>
        <v>0</v>
      </c>
      <c r="H66" s="20">
        <f t="shared" si="5"/>
        <v>0</v>
      </c>
      <c r="I66" s="20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1:31" ht="15.75" customHeight="1">
      <c r="A67" s="1"/>
      <c r="B67" s="17"/>
      <c r="C67" s="18"/>
      <c r="D67" s="18"/>
      <c r="E67" s="18"/>
      <c r="F67" s="19"/>
      <c r="G67" s="20">
        <f t="shared" si="3"/>
        <v>0</v>
      </c>
      <c r="H67" s="20">
        <f t="shared" si="5"/>
        <v>0</v>
      </c>
      <c r="I67" s="20">
        <f t="shared" si="4"/>
        <v>0</v>
      </c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1:31" ht="15.75" customHeight="1">
      <c r="A68" s="1"/>
      <c r="B68" s="17"/>
      <c r="C68" s="18"/>
      <c r="D68" s="18"/>
      <c r="E68" s="18"/>
      <c r="F68" s="19"/>
      <c r="G68" s="20">
        <f t="shared" si="3"/>
        <v>0</v>
      </c>
      <c r="H68" s="20">
        <f t="shared" si="5"/>
        <v>0</v>
      </c>
      <c r="I68" s="20">
        <f t="shared" si="4"/>
        <v>0</v>
      </c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1:31" ht="15.75" customHeight="1">
      <c r="A69" s="1"/>
      <c r="B69" s="17"/>
      <c r="C69" s="18"/>
      <c r="D69" s="18"/>
      <c r="E69" s="18"/>
      <c r="F69" s="19"/>
      <c r="G69" s="20">
        <f t="shared" si="3"/>
        <v>0</v>
      </c>
      <c r="H69" s="20">
        <f t="shared" si="5"/>
        <v>0</v>
      </c>
      <c r="I69" s="20">
        <f t="shared" si="4"/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</row>
    <row r="70" spans="1:31" ht="15.75" customHeight="1">
      <c r="A70" s="1"/>
      <c r="B70" s="17"/>
      <c r="C70" s="18"/>
      <c r="D70" s="18"/>
      <c r="E70" s="18"/>
      <c r="F70" s="19"/>
      <c r="G70" s="20">
        <f t="shared" si="3"/>
        <v>0</v>
      </c>
      <c r="H70" s="20">
        <f t="shared" si="5"/>
        <v>0</v>
      </c>
      <c r="I70" s="20">
        <f t="shared" si="4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</row>
    <row r="71" spans="1:31" ht="15.75" customHeight="1">
      <c r="A71" s="1"/>
      <c r="B71" s="17"/>
      <c r="C71" s="18"/>
      <c r="D71" s="18"/>
      <c r="E71" s="18"/>
      <c r="F71" s="19"/>
      <c r="G71" s="20">
        <f t="shared" si="3"/>
        <v>0</v>
      </c>
      <c r="H71" s="20">
        <f t="shared" si="5"/>
        <v>0</v>
      </c>
      <c r="I71" s="20">
        <f t="shared" si="4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</row>
    <row r="72" spans="1:31" ht="15.75" customHeight="1">
      <c r="A72" s="1"/>
      <c r="B72" s="17"/>
      <c r="C72" s="18"/>
      <c r="D72" s="18"/>
      <c r="E72" s="18"/>
      <c r="F72" s="19"/>
      <c r="G72" s="20">
        <f t="shared" si="3"/>
        <v>0</v>
      </c>
      <c r="H72" s="20">
        <f t="shared" si="5"/>
        <v>0</v>
      </c>
      <c r="I72" s="20">
        <f t="shared" si="4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</row>
    <row r="73" spans="1:31" ht="15.75" customHeight="1">
      <c r="A73" s="1"/>
      <c r="B73" s="17"/>
      <c r="C73" s="18"/>
      <c r="D73" s="18"/>
      <c r="E73" s="18"/>
      <c r="F73" s="21"/>
      <c r="G73" s="20">
        <f t="shared" si="3"/>
        <v>0</v>
      </c>
      <c r="H73" s="20">
        <f t="shared" si="5"/>
        <v>0</v>
      </c>
      <c r="I73" s="20">
        <f t="shared" si="4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</row>
    <row r="74" spans="1:31" ht="15.75" customHeight="1">
      <c r="A74" s="1"/>
      <c r="B74" s="17"/>
      <c r="C74" s="18"/>
      <c r="D74" s="18"/>
      <c r="E74" s="18"/>
      <c r="F74" s="19"/>
      <c r="G74" s="20">
        <f t="shared" si="3"/>
        <v>0</v>
      </c>
      <c r="H74" s="20">
        <f t="shared" si="5"/>
        <v>0</v>
      </c>
      <c r="I74" s="20">
        <f t="shared" si="4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</row>
    <row r="75" spans="1:31" ht="15.75" customHeight="1">
      <c r="A75" s="1"/>
      <c r="B75" s="17"/>
      <c r="C75" s="18"/>
      <c r="D75" s="18"/>
      <c r="E75" s="18"/>
      <c r="F75" s="19"/>
      <c r="G75" s="20">
        <f t="shared" si="3"/>
        <v>0</v>
      </c>
      <c r="H75" s="20">
        <f t="shared" si="5"/>
        <v>0</v>
      </c>
      <c r="I75" s="20">
        <f t="shared" si="4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</row>
    <row r="76" spans="1:31" ht="15.75" customHeight="1">
      <c r="A76" s="1"/>
      <c r="B76" s="17"/>
      <c r="C76" s="18"/>
      <c r="D76" s="18"/>
      <c r="E76" s="18"/>
      <c r="F76" s="19"/>
      <c r="G76" s="20">
        <f t="shared" si="3"/>
        <v>0</v>
      </c>
      <c r="H76" s="20">
        <f t="shared" si="5"/>
        <v>0</v>
      </c>
      <c r="I76" s="20">
        <f t="shared" si="4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</row>
    <row r="77" spans="1:31" ht="15.75" customHeight="1">
      <c r="A77" s="1"/>
      <c r="B77" s="17"/>
      <c r="C77" s="18"/>
      <c r="D77" s="18"/>
      <c r="E77" s="18"/>
      <c r="F77" s="19"/>
      <c r="G77" s="20">
        <f t="shared" si="3"/>
        <v>0</v>
      </c>
      <c r="H77" s="20">
        <f t="shared" si="5"/>
        <v>0</v>
      </c>
      <c r="I77" s="20">
        <f t="shared" si="4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</row>
    <row r="78" spans="1:31" ht="15.75" customHeight="1">
      <c r="A78" s="1"/>
      <c r="B78" s="17"/>
      <c r="C78" s="18"/>
      <c r="D78" s="18"/>
      <c r="E78" s="18"/>
      <c r="F78" s="19"/>
      <c r="G78" s="20">
        <f t="shared" si="3"/>
        <v>0</v>
      </c>
      <c r="H78" s="20">
        <f t="shared" si="5"/>
        <v>0</v>
      </c>
      <c r="I78" s="20">
        <f t="shared" si="4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</row>
    <row r="79" spans="1:31" ht="15.75" customHeight="1">
      <c r="A79" s="1"/>
      <c r="B79" s="17"/>
      <c r="C79" s="18"/>
      <c r="D79" s="18"/>
      <c r="E79" s="18"/>
      <c r="F79" s="19"/>
      <c r="G79" s="20">
        <f t="shared" si="3"/>
        <v>0</v>
      </c>
      <c r="H79" s="20">
        <f t="shared" si="5"/>
        <v>0</v>
      </c>
      <c r="I79" s="20">
        <f t="shared" si="4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</row>
    <row r="80" spans="1:31" ht="15.75" customHeight="1">
      <c r="A80" s="1"/>
      <c r="B80" s="22"/>
      <c r="C80" s="23"/>
      <c r="D80" s="23"/>
      <c r="E80" s="23"/>
      <c r="F80" s="23"/>
      <c r="G80" s="22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20.25" customHeight="1" thickBot="1">
      <c r="A81" s="140" t="s">
        <v>5</v>
      </c>
      <c r="B81" s="140"/>
      <c r="C81" s="140"/>
      <c r="D81" s="140"/>
      <c r="E81" s="140"/>
      <c r="F81" s="4"/>
      <c r="G81" s="5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1"/>
      <c r="Z81" s="1"/>
      <c r="AA81" s="1"/>
      <c r="AB81" s="1"/>
      <c r="AC81" s="1"/>
      <c r="AD81" s="1"/>
      <c r="AE81" s="1"/>
    </row>
    <row r="82" spans="1:31" ht="15.75" customHeight="1">
      <c r="A82" s="156"/>
      <c r="B82" s="156"/>
      <c r="C82" s="156"/>
      <c r="D82" s="156"/>
      <c r="E82" s="156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5.75" customHeight="1">
      <c r="A84" s="1"/>
      <c r="B84" s="161" t="s">
        <v>45</v>
      </c>
      <c r="C84" s="162" t="s">
        <v>5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5.75" customHeight="1">
      <c r="A85" s="1"/>
      <c r="B85" s="161"/>
      <c r="C85" s="162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5.75" customHeight="1">
      <c r="A86" s="1"/>
      <c r="B86" s="17">
        <f>B38</f>
        <v>0</v>
      </c>
      <c r="C86" s="24" t="str">
        <f>IF(COUNTA(C38:E38)=3,H38/(G38),"")</f>
        <v/>
      </c>
      <c r="D86" s="60">
        <f>COUNT(B87:B127)</f>
        <v>0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5.75" customHeight="1">
      <c r="A87" s="1"/>
      <c r="B87" s="17" t="str">
        <f t="shared" ref="B87:B127" si="6">IF(B39=0, "",B39)</f>
        <v/>
      </c>
      <c r="C87" s="24" t="str">
        <f>IF(COUNTA(C39:E39)=3,H39/(G39),"")</f>
        <v/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5.75" customHeight="1">
      <c r="A88" s="1"/>
      <c r="B88" s="17" t="str">
        <f t="shared" si="6"/>
        <v/>
      </c>
      <c r="C88" s="24" t="str">
        <f t="shared" ref="C88:C127" si="7">IF(COUNTA(C40:E40)=3,H40/(G40),"")</f>
        <v/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5.75" customHeight="1">
      <c r="A89" s="1"/>
      <c r="B89" s="17" t="str">
        <f t="shared" si="6"/>
        <v/>
      </c>
      <c r="C89" s="24" t="str">
        <f t="shared" si="7"/>
        <v/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5.75" customHeight="1">
      <c r="A90" s="1"/>
      <c r="B90" s="17" t="str">
        <f t="shared" si="6"/>
        <v/>
      </c>
      <c r="C90" s="24" t="str">
        <f t="shared" si="7"/>
        <v/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5.75" customHeight="1">
      <c r="A91" s="1"/>
      <c r="B91" s="17" t="str">
        <f t="shared" si="6"/>
        <v/>
      </c>
      <c r="C91" s="24" t="str">
        <f t="shared" si="7"/>
        <v/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5.75" customHeight="1">
      <c r="A92" s="1"/>
      <c r="B92" s="17" t="str">
        <f t="shared" si="6"/>
        <v/>
      </c>
      <c r="C92" s="24" t="str">
        <f t="shared" si="7"/>
        <v/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5.75" customHeight="1">
      <c r="A93" s="1"/>
      <c r="B93" s="17" t="str">
        <f t="shared" si="6"/>
        <v/>
      </c>
      <c r="C93" s="24" t="str">
        <f t="shared" si="7"/>
        <v/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5.75" customHeight="1">
      <c r="A94" s="1"/>
      <c r="B94" s="17" t="str">
        <f t="shared" si="6"/>
        <v/>
      </c>
      <c r="C94" s="24" t="str">
        <f t="shared" si="7"/>
        <v/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5.75" customHeight="1">
      <c r="A95" s="1"/>
      <c r="B95" s="17" t="str">
        <f t="shared" si="6"/>
        <v/>
      </c>
      <c r="C95" s="24" t="str">
        <f t="shared" si="7"/>
        <v/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5.75" customHeight="1">
      <c r="A96" s="1"/>
      <c r="B96" s="17" t="str">
        <f t="shared" si="6"/>
        <v/>
      </c>
      <c r="C96" s="24" t="str">
        <f t="shared" si="7"/>
        <v/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5.75" customHeight="1">
      <c r="A97" s="1"/>
      <c r="B97" s="17" t="str">
        <f t="shared" si="6"/>
        <v/>
      </c>
      <c r="C97" s="24" t="str">
        <f t="shared" si="7"/>
        <v/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5.75" customHeight="1">
      <c r="A98" s="1"/>
      <c r="B98" s="17" t="str">
        <f t="shared" si="6"/>
        <v/>
      </c>
      <c r="C98" s="24" t="str">
        <f t="shared" si="7"/>
        <v/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  <row r="99" spans="1:31" ht="15.75" customHeight="1">
      <c r="A99" s="1"/>
      <c r="B99" s="17" t="str">
        <f t="shared" si="6"/>
        <v/>
      </c>
      <c r="C99" s="24" t="str">
        <f t="shared" si="7"/>
        <v/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</row>
    <row r="100" spans="1:31" ht="15.75" customHeight="1">
      <c r="A100" s="1"/>
      <c r="B100" s="17" t="str">
        <f t="shared" si="6"/>
        <v/>
      </c>
      <c r="C100" s="24" t="str">
        <f t="shared" si="7"/>
        <v/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</row>
    <row r="101" spans="1:31" ht="15.75" customHeight="1">
      <c r="A101" s="1"/>
      <c r="B101" s="17" t="str">
        <f t="shared" si="6"/>
        <v/>
      </c>
      <c r="C101" s="24" t="str">
        <f t="shared" si="7"/>
        <v/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</row>
    <row r="102" spans="1:31" ht="15.75" customHeight="1">
      <c r="A102" s="1"/>
      <c r="B102" s="17" t="str">
        <f t="shared" si="6"/>
        <v/>
      </c>
      <c r="C102" s="24" t="str">
        <f t="shared" si="7"/>
        <v/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</row>
    <row r="103" spans="1:31" ht="15.75" customHeight="1">
      <c r="A103" s="1"/>
      <c r="B103" s="17" t="str">
        <f t="shared" si="6"/>
        <v/>
      </c>
      <c r="C103" s="24" t="str">
        <f t="shared" si="7"/>
        <v/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</row>
    <row r="104" spans="1:31" ht="15.75" customHeight="1">
      <c r="A104" s="1"/>
      <c r="B104" s="17" t="str">
        <f t="shared" si="6"/>
        <v/>
      </c>
      <c r="C104" s="24" t="str">
        <f t="shared" si="7"/>
        <v/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</row>
    <row r="105" spans="1:31" ht="15.75" customHeight="1">
      <c r="A105" s="1"/>
      <c r="B105" s="17" t="str">
        <f t="shared" si="6"/>
        <v/>
      </c>
      <c r="C105" s="24" t="str">
        <f t="shared" si="7"/>
        <v/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</row>
    <row r="106" spans="1:31" ht="15.75" customHeight="1">
      <c r="A106" s="1"/>
      <c r="B106" s="17" t="str">
        <f t="shared" si="6"/>
        <v/>
      </c>
      <c r="C106" s="24" t="str">
        <f t="shared" si="7"/>
        <v/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</row>
    <row r="107" spans="1:31" ht="15.75" customHeight="1">
      <c r="A107" s="1"/>
      <c r="B107" s="17" t="str">
        <f t="shared" si="6"/>
        <v/>
      </c>
      <c r="C107" s="24" t="str">
        <f t="shared" si="7"/>
        <v/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:31" ht="15.75" customHeight="1">
      <c r="A108" s="1"/>
      <c r="B108" s="17" t="str">
        <f t="shared" si="6"/>
        <v/>
      </c>
      <c r="C108" s="24" t="str">
        <f t="shared" si="7"/>
        <v/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:31" ht="15.75" customHeight="1">
      <c r="A109" s="1"/>
      <c r="B109" s="17" t="str">
        <f t="shared" si="6"/>
        <v/>
      </c>
      <c r="C109" s="24" t="str">
        <f t="shared" si="7"/>
        <v/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:31" ht="15.75" customHeight="1">
      <c r="A110" s="1"/>
      <c r="B110" s="17" t="str">
        <f t="shared" si="6"/>
        <v/>
      </c>
      <c r="C110" s="24" t="str">
        <f t="shared" si="7"/>
        <v/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31" ht="15.75" customHeight="1">
      <c r="A111" s="1"/>
      <c r="B111" s="17" t="str">
        <f t="shared" si="6"/>
        <v/>
      </c>
      <c r="C111" s="24" t="str">
        <f t="shared" si="7"/>
        <v/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31" ht="15.75" customHeight="1">
      <c r="A112" s="1"/>
      <c r="B112" s="17" t="str">
        <f t="shared" si="6"/>
        <v/>
      </c>
      <c r="C112" s="24" t="str">
        <f t="shared" si="7"/>
        <v/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 ht="15.75" customHeight="1">
      <c r="A113" s="1"/>
      <c r="B113" s="17" t="str">
        <f t="shared" si="6"/>
        <v/>
      </c>
      <c r="C113" s="24" t="str">
        <f t="shared" si="7"/>
        <v/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 ht="15.75" customHeight="1">
      <c r="A114" s="1"/>
      <c r="B114" s="17" t="str">
        <f t="shared" si="6"/>
        <v/>
      </c>
      <c r="C114" s="24" t="str">
        <f t="shared" si="7"/>
        <v/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 ht="15.75" customHeight="1">
      <c r="A115" s="1"/>
      <c r="B115" s="17" t="str">
        <f t="shared" si="6"/>
        <v/>
      </c>
      <c r="C115" s="24" t="str">
        <f t="shared" si="7"/>
        <v/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 ht="15.75" customHeight="1">
      <c r="A116" s="1"/>
      <c r="B116" s="17" t="str">
        <f t="shared" si="6"/>
        <v/>
      </c>
      <c r="C116" s="24" t="str">
        <f t="shared" si="7"/>
        <v/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 ht="15.75" customHeight="1">
      <c r="A117" s="1"/>
      <c r="B117" s="17" t="str">
        <f t="shared" si="6"/>
        <v/>
      </c>
      <c r="C117" s="24" t="str">
        <f t="shared" si="7"/>
        <v/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 ht="15.75" customHeight="1">
      <c r="A118" s="1"/>
      <c r="B118" s="17" t="str">
        <f t="shared" si="6"/>
        <v/>
      </c>
      <c r="C118" s="24" t="str">
        <f t="shared" si="7"/>
        <v/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31" ht="15.75" customHeight="1">
      <c r="A119" s="1"/>
      <c r="B119" s="17" t="str">
        <f t="shared" si="6"/>
        <v/>
      </c>
      <c r="C119" s="24" t="str">
        <f t="shared" si="7"/>
        <v/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 ht="15.75" customHeight="1">
      <c r="A120" s="1"/>
      <c r="B120" s="17" t="str">
        <f t="shared" si="6"/>
        <v/>
      </c>
      <c r="C120" s="24" t="str">
        <f t="shared" si="7"/>
        <v/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 ht="15.75" customHeight="1">
      <c r="A121" s="1"/>
      <c r="B121" s="17" t="str">
        <f t="shared" si="6"/>
        <v/>
      </c>
      <c r="C121" s="24" t="str">
        <f t="shared" si="7"/>
        <v/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 ht="15.75" customHeight="1">
      <c r="A122" s="1"/>
      <c r="B122" s="17" t="str">
        <f t="shared" si="6"/>
        <v/>
      </c>
      <c r="C122" s="24" t="str">
        <f t="shared" si="7"/>
        <v/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 ht="15.75" customHeight="1">
      <c r="A123" s="1"/>
      <c r="B123" s="17" t="str">
        <f t="shared" si="6"/>
        <v/>
      </c>
      <c r="C123" s="24" t="str">
        <f t="shared" si="7"/>
        <v/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 ht="15.75" customHeight="1">
      <c r="A124" s="1"/>
      <c r="B124" s="17" t="str">
        <f t="shared" si="6"/>
        <v/>
      </c>
      <c r="C124" s="24" t="str">
        <f t="shared" si="7"/>
        <v/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 ht="15.75" customHeight="1">
      <c r="A125" s="1"/>
      <c r="B125" s="17" t="str">
        <f t="shared" si="6"/>
        <v/>
      </c>
      <c r="C125" s="24" t="str">
        <f t="shared" si="7"/>
        <v/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 ht="15.75" customHeight="1">
      <c r="A126" s="1"/>
      <c r="B126" s="17" t="str">
        <f t="shared" si="6"/>
        <v/>
      </c>
      <c r="C126" s="24" t="str">
        <f t="shared" si="7"/>
        <v/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31" ht="15.75" customHeight="1">
      <c r="A127" s="1"/>
      <c r="B127" s="17" t="str">
        <f t="shared" si="6"/>
        <v/>
      </c>
      <c r="C127" s="24" t="str">
        <f t="shared" si="7"/>
        <v/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</row>
    <row r="128" spans="1:31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</row>
    <row r="129" spans="1:31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</row>
    <row r="130" spans="1:31" ht="20.25" customHeight="1" thickBot="1">
      <c r="A130" s="140" t="s">
        <v>8</v>
      </c>
      <c r="B130" s="140"/>
      <c r="C130" s="140"/>
      <c r="D130" s="140"/>
      <c r="E130" s="140"/>
      <c r="F130" s="4"/>
      <c r="G130" s="5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1"/>
      <c r="Z130" s="1"/>
      <c r="AA130" s="1"/>
      <c r="AB130" s="1"/>
      <c r="AC130" s="1"/>
      <c r="AD130" s="1"/>
      <c r="AE130" s="1"/>
    </row>
    <row r="131" spans="1: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</row>
    <row r="132" spans="1:31" ht="45.75" customHeight="1">
      <c r="A132" s="138" t="s">
        <v>191</v>
      </c>
      <c r="B132" s="138"/>
      <c r="C132" s="138"/>
      <c r="D132" s="40" t="s">
        <v>192</v>
      </c>
      <c r="E132" s="40" t="s">
        <v>193</v>
      </c>
      <c r="F132" s="48" t="s">
        <v>199</v>
      </c>
      <c r="G132" s="48" t="s">
        <v>200</v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31" ht="15.75" customHeight="1">
      <c r="A133" s="138" t="s">
        <v>92</v>
      </c>
      <c r="B133" s="138"/>
      <c r="C133" s="138"/>
      <c r="D133" s="34"/>
      <c r="E133" s="34"/>
      <c r="F133" s="42">
        <v>45</v>
      </c>
      <c r="G133" s="43">
        <v>15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31" ht="15.75" customHeight="1">
      <c r="A134" s="138" t="s">
        <v>93</v>
      </c>
      <c r="B134" s="138"/>
      <c r="C134" s="138"/>
      <c r="D134" s="34"/>
      <c r="E134" s="34"/>
      <c r="F134" s="42">
        <v>45</v>
      </c>
      <c r="G134" s="43">
        <v>15</v>
      </c>
      <c r="H134" s="1"/>
      <c r="I134" s="1"/>
      <c r="J134" s="1"/>
      <c r="K134" s="1"/>
      <c r="L134" s="1"/>
      <c r="M134" s="1"/>
      <c r="N134" s="1"/>
    </row>
    <row r="135" spans="1:31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</row>
    <row r="136" spans="1:31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</row>
    <row r="137" spans="1:31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</row>
    <row r="138" spans="1:31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 ht="15.75" customHeight="1">
      <c r="A139" s="131" t="s">
        <v>46</v>
      </c>
      <c r="B139" s="131"/>
      <c r="C139" s="131"/>
      <c r="D139" s="1"/>
      <c r="E139" s="1"/>
      <c r="F139" s="1"/>
      <c r="G139" s="1"/>
      <c r="H139" s="1"/>
      <c r="I139" s="1"/>
      <c r="J139" s="1"/>
      <c r="K139" s="1"/>
      <c r="M139" s="25"/>
      <c r="N139" s="131" t="s">
        <v>47</v>
      </c>
      <c r="O139" s="131"/>
      <c r="P139" s="13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ht="20.25" customHeight="1" thickBot="1">
      <c r="A200" s="140" t="s">
        <v>10</v>
      </c>
      <c r="B200" s="140"/>
      <c r="C200" s="140"/>
      <c r="D200" s="140"/>
      <c r="E200" s="140"/>
      <c r="F200" s="4"/>
      <c r="G200" s="5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1"/>
      <c r="Z200" s="1"/>
      <c r="AA200" s="1"/>
      <c r="AB200" s="1"/>
      <c r="AC200" s="1"/>
      <c r="AD200" s="1"/>
      <c r="AE200" s="1"/>
    </row>
    <row r="201" spans="1:31" ht="20.25" customHeight="1">
      <c r="A201" s="30"/>
      <c r="B201" s="30"/>
      <c r="C201" s="30"/>
      <c r="D201" s="30"/>
      <c r="E201" s="30"/>
      <c r="F201" s="30"/>
      <c r="G201" s="32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1"/>
      <c r="Z201" s="1"/>
      <c r="AA201" s="1"/>
      <c r="AB201" s="1"/>
      <c r="AC201" s="1"/>
      <c r="AD201" s="1"/>
      <c r="AE201" s="1"/>
    </row>
    <row r="202" spans="1:31" ht="20.25" customHeight="1">
      <c r="A202" s="138" t="s">
        <v>91</v>
      </c>
      <c r="B202" s="138"/>
      <c r="C202" s="138"/>
      <c r="D202" s="39" t="s">
        <v>94</v>
      </c>
      <c r="E202" s="39" t="s">
        <v>95</v>
      </c>
      <c r="F202" s="39" t="s">
        <v>92</v>
      </c>
      <c r="G202" s="39" t="s">
        <v>96</v>
      </c>
      <c r="H202" s="39" t="s">
        <v>97</v>
      </c>
      <c r="I202" s="39" t="s">
        <v>98</v>
      </c>
      <c r="J202" s="39" t="s">
        <v>99</v>
      </c>
      <c r="K202" s="39" t="s">
        <v>106</v>
      </c>
      <c r="L202" s="39" t="s">
        <v>107</v>
      </c>
      <c r="M202" s="56" t="s">
        <v>217</v>
      </c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1"/>
      <c r="Z202" s="1"/>
      <c r="AA202" s="1"/>
      <c r="AB202" s="1"/>
      <c r="AC202" s="1"/>
      <c r="AD202" s="1"/>
      <c r="AE202" s="1"/>
    </row>
    <row r="203" spans="1:31" ht="20.25" customHeight="1">
      <c r="A203" s="138" t="s">
        <v>92</v>
      </c>
      <c r="B203" s="138"/>
      <c r="C203" s="138"/>
      <c r="D203" s="34"/>
      <c r="E203" s="34"/>
      <c r="F203" s="34"/>
      <c r="G203" s="42">
        <f>E$8</f>
        <v>0</v>
      </c>
      <c r="H203" s="42">
        <f>E$7</f>
        <v>0</v>
      </c>
      <c r="I203" s="39">
        <f>F203-G203</f>
        <v>0</v>
      </c>
      <c r="J203" s="39">
        <f>H203-D203</f>
        <v>0</v>
      </c>
      <c r="K203" s="44" t="e">
        <f t="shared" ref="K203:L205" si="8">I203/DUT_VOUT*100</f>
        <v>#DIV/0!</v>
      </c>
      <c r="L203" s="44" t="e">
        <f t="shared" si="8"/>
        <v>#DIV/0!</v>
      </c>
      <c r="M203" s="44" t="e">
        <f>(ABS(D203-F203)/E203)*100</f>
        <v>#DIV/0!</v>
      </c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1"/>
      <c r="Z203" s="1"/>
      <c r="AA203" s="1"/>
      <c r="AB203" s="1"/>
      <c r="AC203" s="1"/>
      <c r="AD203" s="1"/>
      <c r="AE203" s="1"/>
    </row>
    <row r="204" spans="1:31" ht="20.25" customHeight="1">
      <c r="A204" s="138" t="s">
        <v>93</v>
      </c>
      <c r="B204" s="138"/>
      <c r="C204" s="138"/>
      <c r="D204" s="34"/>
      <c r="E204" s="34"/>
      <c r="F204" s="34"/>
      <c r="G204" s="42">
        <f t="shared" ref="G204:G205" si="9">E$8</f>
        <v>0</v>
      </c>
      <c r="H204" s="42">
        <f t="shared" ref="H204:H205" si="10">E$7</f>
        <v>0</v>
      </c>
      <c r="I204" s="39">
        <f t="shared" ref="I204:I205" si="11">F204-G204</f>
        <v>0</v>
      </c>
      <c r="J204" s="39">
        <f t="shared" ref="J204:J205" si="12">H204-D204</f>
        <v>0</v>
      </c>
      <c r="K204" s="44" t="e">
        <f t="shared" si="8"/>
        <v>#DIV/0!</v>
      </c>
      <c r="L204" s="44" t="e">
        <f t="shared" si="8"/>
        <v>#DIV/0!</v>
      </c>
      <c r="M204" s="44" t="e">
        <f t="shared" ref="M204:M205" si="13">(ABS(D204-F204)/E204)*100</f>
        <v>#DIV/0!</v>
      </c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1"/>
      <c r="Z204" s="1"/>
      <c r="AA204" s="1"/>
      <c r="AB204" s="1"/>
      <c r="AC204" s="1"/>
      <c r="AD204" s="1"/>
      <c r="AE204" s="1"/>
    </row>
    <row r="205" spans="1:31" ht="20.25" customHeight="1">
      <c r="A205" s="138" t="s">
        <v>94</v>
      </c>
      <c r="B205" s="138"/>
      <c r="C205" s="138"/>
      <c r="D205" s="34"/>
      <c r="E205" s="34"/>
      <c r="F205" s="34"/>
      <c r="G205" s="42">
        <f t="shared" si="9"/>
        <v>0</v>
      </c>
      <c r="H205" s="42">
        <f t="shared" si="10"/>
        <v>0</v>
      </c>
      <c r="I205" s="39">
        <f t="shared" si="11"/>
        <v>0</v>
      </c>
      <c r="J205" s="39">
        <f t="shared" si="12"/>
        <v>0</v>
      </c>
      <c r="K205" s="44" t="e">
        <f t="shared" si="8"/>
        <v>#DIV/0!</v>
      </c>
      <c r="L205" s="44" t="e">
        <f t="shared" si="8"/>
        <v>#DIV/0!</v>
      </c>
      <c r="M205" s="44" t="e">
        <f t="shared" si="13"/>
        <v>#DIV/0!</v>
      </c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1"/>
      <c r="Z205" s="1"/>
      <c r="AA205" s="1"/>
      <c r="AB205" s="1"/>
      <c r="AC205" s="1"/>
      <c r="AD205" s="1"/>
      <c r="AE205" s="1"/>
    </row>
    <row r="206" spans="1:31" ht="20.25" customHeight="1">
      <c r="A206" s="30"/>
      <c r="B206" s="30"/>
      <c r="C206" s="30"/>
      <c r="D206" s="30"/>
      <c r="E206" s="30"/>
      <c r="F206" s="30"/>
      <c r="G206" s="32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1"/>
      <c r="Z206" s="1"/>
      <c r="AA206" s="1"/>
      <c r="AB206" s="1"/>
      <c r="AC206" s="1"/>
      <c r="AD206" s="1"/>
      <c r="AE206" s="1"/>
    </row>
    <row r="207" spans="1:31" ht="20.25" customHeight="1">
      <c r="A207" s="30"/>
      <c r="B207" s="30"/>
      <c r="C207" s="30"/>
      <c r="D207" s="30"/>
      <c r="E207" s="30"/>
      <c r="F207" s="30"/>
      <c r="G207" s="32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1"/>
      <c r="Z207" s="1"/>
      <c r="AA207" s="1"/>
      <c r="AB207" s="1"/>
      <c r="AC207" s="1"/>
      <c r="AD207" s="1"/>
      <c r="AE207" s="1"/>
    </row>
    <row r="208" spans="1:31" ht="20.25" customHeight="1">
      <c r="A208" s="30"/>
      <c r="B208" s="30"/>
      <c r="C208" s="30"/>
      <c r="D208" s="30"/>
      <c r="E208" s="30"/>
      <c r="F208" s="30"/>
      <c r="G208" s="32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1"/>
      <c r="Z208" s="1"/>
      <c r="AA208" s="1"/>
      <c r="AB208" s="1"/>
      <c r="AC208" s="1"/>
      <c r="AD208" s="1"/>
      <c r="AE208" s="1"/>
    </row>
    <row r="209" spans="1:4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46" ht="15.75" customHeight="1">
      <c r="A210" s="131" t="s">
        <v>46</v>
      </c>
      <c r="B210" s="131"/>
      <c r="C210" s="131"/>
      <c r="D210" s="1"/>
      <c r="E210" s="1"/>
      <c r="F210" s="1"/>
      <c r="G210" s="1"/>
      <c r="H210" s="1"/>
      <c r="I210" s="1"/>
      <c r="K210" s="25"/>
      <c r="L210" s="25"/>
      <c r="M210" s="1"/>
      <c r="N210" s="131" t="s">
        <v>47</v>
      </c>
      <c r="O210" s="131"/>
      <c r="P210" s="13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31" t="s">
        <v>88</v>
      </c>
      <c r="AF210" s="131"/>
      <c r="AG210" s="131"/>
    </row>
    <row r="211" spans="1:4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46" ht="15.75" customHeight="1">
      <c r="A212" s="132"/>
      <c r="B212" s="132"/>
      <c r="C212" s="132"/>
      <c r="D212" s="132"/>
      <c r="E212" s="132"/>
      <c r="F212" s="132"/>
      <c r="G212" s="132"/>
      <c r="H212" s="132"/>
      <c r="I212" s="132"/>
      <c r="J212" s="132"/>
      <c r="K212" s="132"/>
      <c r="L212" s="132"/>
      <c r="M212" s="1"/>
      <c r="N212" s="132"/>
      <c r="O212" s="132"/>
      <c r="P212" s="132"/>
      <c r="Q212" s="132"/>
      <c r="R212" s="132"/>
      <c r="S212" s="132"/>
      <c r="T212" s="132"/>
      <c r="U212" s="132"/>
      <c r="V212" s="132"/>
      <c r="W212" s="132"/>
      <c r="X212" s="132"/>
      <c r="Y212" s="132"/>
      <c r="Z212" s="132"/>
      <c r="AA212" s="132"/>
      <c r="AB212" s="132"/>
      <c r="AC212" s="132"/>
      <c r="AD212" s="1"/>
      <c r="AE212" s="132"/>
      <c r="AF212" s="132"/>
      <c r="AG212" s="132"/>
      <c r="AH212" s="132"/>
      <c r="AI212" s="132"/>
      <c r="AJ212" s="132"/>
      <c r="AK212" s="132"/>
      <c r="AL212" s="132"/>
      <c r="AM212" s="132"/>
      <c r="AN212" s="132"/>
      <c r="AO212" s="132"/>
      <c r="AP212" s="132"/>
      <c r="AQ212" s="132"/>
      <c r="AR212" s="132"/>
      <c r="AS212" s="132"/>
      <c r="AT212" s="132"/>
    </row>
    <row r="213" spans="1:46" ht="15.75" customHeight="1">
      <c r="A213" s="132"/>
      <c r="B213" s="132"/>
      <c r="C213" s="132"/>
      <c r="D213" s="132"/>
      <c r="E213" s="132"/>
      <c r="F213" s="132"/>
      <c r="G213" s="132"/>
      <c r="H213" s="132"/>
      <c r="I213" s="132"/>
      <c r="J213" s="132"/>
      <c r="K213" s="132"/>
      <c r="L213" s="132"/>
      <c r="M213" s="1"/>
      <c r="N213" s="132"/>
      <c r="O213" s="132"/>
      <c r="P213" s="132"/>
      <c r="Q213" s="132"/>
      <c r="R213" s="132"/>
      <c r="S213" s="132"/>
      <c r="T213" s="132"/>
      <c r="U213" s="132"/>
      <c r="V213" s="132"/>
      <c r="W213" s="132"/>
      <c r="X213" s="132"/>
      <c r="Y213" s="132"/>
      <c r="Z213" s="132"/>
      <c r="AA213" s="132"/>
      <c r="AB213" s="132"/>
      <c r="AC213" s="132"/>
      <c r="AD213" s="1"/>
      <c r="AE213" s="132"/>
      <c r="AF213" s="132"/>
      <c r="AG213" s="132"/>
      <c r="AH213" s="132"/>
      <c r="AI213" s="132"/>
      <c r="AJ213" s="132"/>
      <c r="AK213" s="132"/>
      <c r="AL213" s="132"/>
      <c r="AM213" s="132"/>
      <c r="AN213" s="132"/>
      <c r="AO213" s="132"/>
      <c r="AP213" s="132"/>
      <c r="AQ213" s="132"/>
      <c r="AR213" s="132"/>
      <c r="AS213" s="132"/>
      <c r="AT213" s="132"/>
    </row>
    <row r="214" spans="1:46" ht="15.75" customHeight="1">
      <c r="A214" s="132"/>
      <c r="B214" s="132"/>
      <c r="C214" s="132"/>
      <c r="D214" s="132"/>
      <c r="E214" s="132"/>
      <c r="F214" s="132"/>
      <c r="G214" s="132"/>
      <c r="H214" s="132"/>
      <c r="I214" s="132"/>
      <c r="J214" s="132"/>
      <c r="K214" s="132"/>
      <c r="L214" s="132"/>
      <c r="M214" s="1"/>
      <c r="N214" s="132"/>
      <c r="O214" s="132"/>
      <c r="P214" s="132"/>
      <c r="Q214" s="132"/>
      <c r="R214" s="132"/>
      <c r="S214" s="132"/>
      <c r="T214" s="132"/>
      <c r="U214" s="132"/>
      <c r="V214" s="132"/>
      <c r="W214" s="132"/>
      <c r="X214" s="132"/>
      <c r="Y214" s="132"/>
      <c r="Z214" s="132"/>
      <c r="AA214" s="132"/>
      <c r="AB214" s="132"/>
      <c r="AC214" s="132"/>
      <c r="AD214" s="1"/>
      <c r="AE214" s="132"/>
      <c r="AF214" s="132"/>
      <c r="AG214" s="132"/>
      <c r="AH214" s="132"/>
      <c r="AI214" s="132"/>
      <c r="AJ214" s="132"/>
      <c r="AK214" s="132"/>
      <c r="AL214" s="132"/>
      <c r="AM214" s="132"/>
      <c r="AN214" s="132"/>
      <c r="AO214" s="132"/>
      <c r="AP214" s="132"/>
      <c r="AQ214" s="132"/>
      <c r="AR214" s="132"/>
      <c r="AS214" s="132"/>
      <c r="AT214" s="132"/>
    </row>
    <row r="215" spans="1:46" ht="15.75" customHeight="1">
      <c r="A215" s="132"/>
      <c r="B215" s="132"/>
      <c r="C215" s="132"/>
      <c r="D215" s="132"/>
      <c r="E215" s="132"/>
      <c r="F215" s="132"/>
      <c r="G215" s="132"/>
      <c r="H215" s="132"/>
      <c r="I215" s="132"/>
      <c r="J215" s="132"/>
      <c r="K215" s="132"/>
      <c r="L215" s="132"/>
      <c r="M215" s="1"/>
      <c r="N215" s="132"/>
      <c r="O215" s="132"/>
      <c r="P215" s="132"/>
      <c r="Q215" s="132"/>
      <c r="R215" s="132"/>
      <c r="S215" s="132"/>
      <c r="T215" s="132"/>
      <c r="U215" s="132"/>
      <c r="V215" s="132"/>
      <c r="W215" s="132"/>
      <c r="X215" s="132"/>
      <c r="Y215" s="132"/>
      <c r="Z215" s="132"/>
      <c r="AA215" s="132"/>
      <c r="AB215" s="132"/>
      <c r="AC215" s="132"/>
      <c r="AD215" s="1"/>
      <c r="AE215" s="132"/>
      <c r="AF215" s="132"/>
      <c r="AG215" s="132"/>
      <c r="AH215" s="132"/>
      <c r="AI215" s="132"/>
      <c r="AJ215" s="132"/>
      <c r="AK215" s="132"/>
      <c r="AL215" s="132"/>
      <c r="AM215" s="132"/>
      <c r="AN215" s="132"/>
      <c r="AO215" s="132"/>
      <c r="AP215" s="132"/>
      <c r="AQ215" s="132"/>
      <c r="AR215" s="132"/>
      <c r="AS215" s="132"/>
      <c r="AT215" s="132"/>
    </row>
    <row r="216" spans="1:46" ht="15.75" customHeight="1">
      <c r="A216" s="132"/>
      <c r="B216" s="132"/>
      <c r="C216" s="132"/>
      <c r="D216" s="132"/>
      <c r="E216" s="132"/>
      <c r="F216" s="132"/>
      <c r="G216" s="132"/>
      <c r="H216" s="132"/>
      <c r="I216" s="132"/>
      <c r="J216" s="132"/>
      <c r="K216" s="132"/>
      <c r="L216" s="132"/>
      <c r="M216" s="1"/>
      <c r="N216" s="132"/>
      <c r="O216" s="132"/>
      <c r="P216" s="132"/>
      <c r="Q216" s="132"/>
      <c r="R216" s="132"/>
      <c r="S216" s="132"/>
      <c r="T216" s="132"/>
      <c r="U216" s="132"/>
      <c r="V216" s="132"/>
      <c r="W216" s="132"/>
      <c r="X216" s="132"/>
      <c r="Y216" s="132"/>
      <c r="Z216" s="132"/>
      <c r="AA216" s="132"/>
      <c r="AB216" s="132"/>
      <c r="AC216" s="132"/>
      <c r="AD216" s="1"/>
      <c r="AE216" s="132"/>
      <c r="AF216" s="132"/>
      <c r="AG216" s="132"/>
      <c r="AH216" s="132"/>
      <c r="AI216" s="132"/>
      <c r="AJ216" s="132"/>
      <c r="AK216" s="132"/>
      <c r="AL216" s="132"/>
      <c r="AM216" s="132"/>
      <c r="AN216" s="132"/>
      <c r="AO216" s="132"/>
      <c r="AP216" s="132"/>
      <c r="AQ216" s="132"/>
      <c r="AR216" s="132"/>
      <c r="AS216" s="132"/>
      <c r="AT216" s="132"/>
    </row>
    <row r="217" spans="1:46" ht="15.75" customHeight="1">
      <c r="A217" s="132"/>
      <c r="B217" s="132"/>
      <c r="C217" s="132"/>
      <c r="D217" s="132"/>
      <c r="E217" s="132"/>
      <c r="F217" s="132"/>
      <c r="G217" s="132"/>
      <c r="H217" s="132"/>
      <c r="I217" s="132"/>
      <c r="J217" s="132"/>
      <c r="K217" s="132"/>
      <c r="L217" s="132"/>
      <c r="M217" s="1"/>
      <c r="N217" s="132"/>
      <c r="O217" s="132"/>
      <c r="P217" s="132"/>
      <c r="Q217" s="132"/>
      <c r="R217" s="132"/>
      <c r="S217" s="132"/>
      <c r="T217" s="132"/>
      <c r="U217" s="132"/>
      <c r="V217" s="132"/>
      <c r="W217" s="132"/>
      <c r="X217" s="132"/>
      <c r="Y217" s="132"/>
      <c r="Z217" s="132"/>
      <c r="AA217" s="132"/>
      <c r="AB217" s="132"/>
      <c r="AC217" s="132"/>
      <c r="AD217" s="1"/>
      <c r="AE217" s="132"/>
      <c r="AF217" s="132"/>
      <c r="AG217" s="132"/>
      <c r="AH217" s="132"/>
      <c r="AI217" s="132"/>
      <c r="AJ217" s="132"/>
      <c r="AK217" s="132"/>
      <c r="AL217" s="132"/>
      <c r="AM217" s="132"/>
      <c r="AN217" s="132"/>
      <c r="AO217" s="132"/>
      <c r="AP217" s="132"/>
      <c r="AQ217" s="132"/>
      <c r="AR217" s="132"/>
      <c r="AS217" s="132"/>
      <c r="AT217" s="132"/>
    </row>
    <row r="218" spans="1:46" ht="15.75" customHeight="1">
      <c r="A218" s="132"/>
      <c r="B218" s="132"/>
      <c r="C218" s="132"/>
      <c r="D218" s="132"/>
      <c r="E218" s="132"/>
      <c r="F218" s="132"/>
      <c r="G218" s="132"/>
      <c r="H218" s="132"/>
      <c r="I218" s="132"/>
      <c r="J218" s="132"/>
      <c r="K218" s="132"/>
      <c r="L218" s="132"/>
      <c r="M218" s="1"/>
      <c r="N218" s="132"/>
      <c r="O218" s="132"/>
      <c r="P218" s="132"/>
      <c r="Q218" s="132"/>
      <c r="R218" s="132"/>
      <c r="S218" s="132"/>
      <c r="T218" s="132"/>
      <c r="U218" s="132"/>
      <c r="V218" s="132"/>
      <c r="W218" s="132"/>
      <c r="X218" s="132"/>
      <c r="Y218" s="132"/>
      <c r="Z218" s="132"/>
      <c r="AA218" s="132"/>
      <c r="AB218" s="132"/>
      <c r="AC218" s="132"/>
      <c r="AD218" s="1"/>
      <c r="AE218" s="132"/>
      <c r="AF218" s="132"/>
      <c r="AG218" s="132"/>
      <c r="AH218" s="132"/>
      <c r="AI218" s="132"/>
      <c r="AJ218" s="132"/>
      <c r="AK218" s="132"/>
      <c r="AL218" s="132"/>
      <c r="AM218" s="132"/>
      <c r="AN218" s="132"/>
      <c r="AO218" s="132"/>
      <c r="AP218" s="132"/>
      <c r="AQ218" s="132"/>
      <c r="AR218" s="132"/>
      <c r="AS218" s="132"/>
      <c r="AT218" s="132"/>
    </row>
    <row r="219" spans="1:46" ht="15.75" customHeight="1">
      <c r="A219" s="132"/>
      <c r="B219" s="132"/>
      <c r="C219" s="132"/>
      <c r="D219" s="132"/>
      <c r="E219" s="132"/>
      <c r="F219" s="132"/>
      <c r="G219" s="132"/>
      <c r="H219" s="132"/>
      <c r="I219" s="132"/>
      <c r="J219" s="132"/>
      <c r="K219" s="132"/>
      <c r="L219" s="132"/>
      <c r="M219" s="1"/>
      <c r="N219" s="132"/>
      <c r="O219" s="132"/>
      <c r="P219" s="132"/>
      <c r="Q219" s="132"/>
      <c r="R219" s="132"/>
      <c r="S219" s="132"/>
      <c r="T219" s="132"/>
      <c r="U219" s="132"/>
      <c r="V219" s="132"/>
      <c r="W219" s="132"/>
      <c r="X219" s="132"/>
      <c r="Y219" s="132"/>
      <c r="Z219" s="132"/>
      <c r="AA219" s="132"/>
      <c r="AB219" s="132"/>
      <c r="AC219" s="132"/>
      <c r="AD219" s="1"/>
      <c r="AE219" s="132"/>
      <c r="AF219" s="132"/>
      <c r="AG219" s="132"/>
      <c r="AH219" s="132"/>
      <c r="AI219" s="132"/>
      <c r="AJ219" s="132"/>
      <c r="AK219" s="132"/>
      <c r="AL219" s="132"/>
      <c r="AM219" s="132"/>
      <c r="AN219" s="132"/>
      <c r="AO219" s="132"/>
      <c r="AP219" s="132"/>
      <c r="AQ219" s="132"/>
      <c r="AR219" s="132"/>
      <c r="AS219" s="132"/>
      <c r="AT219" s="132"/>
    </row>
    <row r="220" spans="1:46" ht="15.75" customHeight="1">
      <c r="A220" s="132"/>
      <c r="B220" s="132"/>
      <c r="C220" s="132"/>
      <c r="D220" s="132"/>
      <c r="E220" s="132"/>
      <c r="F220" s="132"/>
      <c r="G220" s="132"/>
      <c r="H220" s="132"/>
      <c r="I220" s="132"/>
      <c r="J220" s="132"/>
      <c r="K220" s="132"/>
      <c r="L220" s="132"/>
      <c r="M220" s="1"/>
      <c r="N220" s="132"/>
      <c r="O220" s="132"/>
      <c r="P220" s="132"/>
      <c r="Q220" s="132"/>
      <c r="R220" s="132"/>
      <c r="S220" s="132"/>
      <c r="T220" s="132"/>
      <c r="U220" s="132"/>
      <c r="V220" s="132"/>
      <c r="W220" s="132"/>
      <c r="X220" s="132"/>
      <c r="Y220" s="132"/>
      <c r="Z220" s="132"/>
      <c r="AA220" s="132"/>
      <c r="AB220" s="132"/>
      <c r="AC220" s="132"/>
      <c r="AD220" s="1"/>
      <c r="AE220" s="132"/>
      <c r="AF220" s="132"/>
      <c r="AG220" s="132"/>
      <c r="AH220" s="132"/>
      <c r="AI220" s="132"/>
      <c r="AJ220" s="132"/>
      <c r="AK220" s="132"/>
      <c r="AL220" s="132"/>
      <c r="AM220" s="132"/>
      <c r="AN220" s="132"/>
      <c r="AO220" s="132"/>
      <c r="AP220" s="132"/>
      <c r="AQ220" s="132"/>
      <c r="AR220" s="132"/>
      <c r="AS220" s="132"/>
      <c r="AT220" s="132"/>
    </row>
    <row r="221" spans="1:46" ht="15.75" customHeight="1">
      <c r="A221" s="132"/>
      <c r="B221" s="132"/>
      <c r="C221" s="132"/>
      <c r="D221" s="132"/>
      <c r="E221" s="132"/>
      <c r="F221" s="132"/>
      <c r="G221" s="132"/>
      <c r="H221" s="132"/>
      <c r="I221" s="132"/>
      <c r="J221" s="132"/>
      <c r="K221" s="132"/>
      <c r="L221" s="132"/>
      <c r="M221" s="1"/>
      <c r="N221" s="132"/>
      <c r="O221" s="132"/>
      <c r="P221" s="132"/>
      <c r="Q221" s="132"/>
      <c r="R221" s="132"/>
      <c r="S221" s="132"/>
      <c r="T221" s="132"/>
      <c r="U221" s="132"/>
      <c r="V221" s="132"/>
      <c r="W221" s="132"/>
      <c r="X221" s="132"/>
      <c r="Y221" s="132"/>
      <c r="Z221" s="132"/>
      <c r="AA221" s="132"/>
      <c r="AB221" s="132"/>
      <c r="AC221" s="132"/>
      <c r="AD221" s="1"/>
      <c r="AE221" s="132"/>
      <c r="AF221" s="132"/>
      <c r="AG221" s="132"/>
      <c r="AH221" s="132"/>
      <c r="AI221" s="132"/>
      <c r="AJ221" s="132"/>
      <c r="AK221" s="132"/>
      <c r="AL221" s="132"/>
      <c r="AM221" s="132"/>
      <c r="AN221" s="132"/>
      <c r="AO221" s="132"/>
      <c r="AP221" s="132"/>
      <c r="AQ221" s="132"/>
      <c r="AR221" s="132"/>
      <c r="AS221" s="132"/>
      <c r="AT221" s="132"/>
    </row>
    <row r="222" spans="1:46" ht="15.75" customHeight="1">
      <c r="A222" s="132"/>
      <c r="B222" s="132"/>
      <c r="C222" s="132"/>
      <c r="D222" s="132"/>
      <c r="E222" s="132"/>
      <c r="F222" s="132"/>
      <c r="G222" s="132"/>
      <c r="H222" s="132"/>
      <c r="I222" s="132"/>
      <c r="J222" s="132"/>
      <c r="K222" s="132"/>
      <c r="L222" s="132"/>
      <c r="M222" s="1"/>
      <c r="N222" s="132"/>
      <c r="O222" s="132"/>
      <c r="P222" s="132"/>
      <c r="Q222" s="132"/>
      <c r="R222" s="132"/>
      <c r="S222" s="132"/>
      <c r="T222" s="132"/>
      <c r="U222" s="132"/>
      <c r="V222" s="132"/>
      <c r="W222" s="132"/>
      <c r="X222" s="132"/>
      <c r="Y222" s="132"/>
      <c r="Z222" s="132"/>
      <c r="AA222" s="132"/>
      <c r="AB222" s="132"/>
      <c r="AC222" s="132"/>
      <c r="AD222" s="1"/>
      <c r="AE222" s="132"/>
      <c r="AF222" s="132"/>
      <c r="AG222" s="132"/>
      <c r="AH222" s="132"/>
      <c r="AI222" s="132"/>
      <c r="AJ222" s="132"/>
      <c r="AK222" s="132"/>
      <c r="AL222" s="132"/>
      <c r="AM222" s="132"/>
      <c r="AN222" s="132"/>
      <c r="AO222" s="132"/>
      <c r="AP222" s="132"/>
      <c r="AQ222" s="132"/>
      <c r="AR222" s="132"/>
      <c r="AS222" s="132"/>
      <c r="AT222" s="132"/>
    </row>
    <row r="223" spans="1:46" ht="15.75" customHeight="1">
      <c r="A223" s="132"/>
      <c r="B223" s="132"/>
      <c r="C223" s="132"/>
      <c r="D223" s="132"/>
      <c r="E223" s="132"/>
      <c r="F223" s="132"/>
      <c r="G223" s="132"/>
      <c r="H223" s="132"/>
      <c r="I223" s="132"/>
      <c r="J223" s="132"/>
      <c r="K223" s="132"/>
      <c r="L223" s="132"/>
      <c r="M223" s="1"/>
      <c r="N223" s="132"/>
      <c r="O223" s="132"/>
      <c r="P223" s="132"/>
      <c r="Q223" s="132"/>
      <c r="R223" s="132"/>
      <c r="S223" s="132"/>
      <c r="T223" s="132"/>
      <c r="U223" s="132"/>
      <c r="V223" s="132"/>
      <c r="W223" s="132"/>
      <c r="X223" s="132"/>
      <c r="Y223" s="132"/>
      <c r="Z223" s="132"/>
      <c r="AA223" s="132"/>
      <c r="AB223" s="132"/>
      <c r="AC223" s="132"/>
      <c r="AD223" s="1"/>
      <c r="AE223" s="132"/>
      <c r="AF223" s="132"/>
      <c r="AG223" s="132"/>
      <c r="AH223" s="132"/>
      <c r="AI223" s="132"/>
      <c r="AJ223" s="132"/>
      <c r="AK223" s="132"/>
      <c r="AL223" s="132"/>
      <c r="AM223" s="132"/>
      <c r="AN223" s="132"/>
      <c r="AO223" s="132"/>
      <c r="AP223" s="132"/>
      <c r="AQ223" s="132"/>
      <c r="AR223" s="132"/>
      <c r="AS223" s="132"/>
      <c r="AT223" s="132"/>
    </row>
    <row r="224" spans="1:46" ht="15.75" customHeight="1">
      <c r="A224" s="132"/>
      <c r="B224" s="132"/>
      <c r="C224" s="132"/>
      <c r="D224" s="132"/>
      <c r="E224" s="132"/>
      <c r="F224" s="132"/>
      <c r="G224" s="132"/>
      <c r="H224" s="132"/>
      <c r="I224" s="132"/>
      <c r="J224" s="132"/>
      <c r="K224" s="132"/>
      <c r="L224" s="132"/>
      <c r="M224" s="1"/>
      <c r="N224" s="132"/>
      <c r="O224" s="132"/>
      <c r="P224" s="132"/>
      <c r="Q224" s="132"/>
      <c r="R224" s="132"/>
      <c r="S224" s="132"/>
      <c r="T224" s="132"/>
      <c r="U224" s="132"/>
      <c r="V224" s="132"/>
      <c r="W224" s="132"/>
      <c r="X224" s="132"/>
      <c r="Y224" s="132"/>
      <c r="Z224" s="132"/>
      <c r="AA224" s="132"/>
      <c r="AB224" s="132"/>
      <c r="AC224" s="132"/>
      <c r="AD224" s="1"/>
      <c r="AE224" s="132"/>
      <c r="AF224" s="132"/>
      <c r="AG224" s="132"/>
      <c r="AH224" s="132"/>
      <c r="AI224" s="132"/>
      <c r="AJ224" s="132"/>
      <c r="AK224" s="132"/>
      <c r="AL224" s="132"/>
      <c r="AM224" s="132"/>
      <c r="AN224" s="132"/>
      <c r="AO224" s="132"/>
      <c r="AP224" s="132"/>
      <c r="AQ224" s="132"/>
      <c r="AR224" s="132"/>
      <c r="AS224" s="132"/>
      <c r="AT224" s="132"/>
    </row>
    <row r="225" spans="1:46" ht="15.75" customHeight="1">
      <c r="A225" s="132"/>
      <c r="B225" s="132"/>
      <c r="C225" s="132"/>
      <c r="D225" s="132"/>
      <c r="E225" s="132"/>
      <c r="F225" s="132"/>
      <c r="G225" s="132"/>
      <c r="H225" s="132"/>
      <c r="I225" s="132"/>
      <c r="J225" s="132"/>
      <c r="K225" s="132"/>
      <c r="L225" s="132"/>
      <c r="M225" s="1"/>
      <c r="N225" s="132"/>
      <c r="O225" s="132"/>
      <c r="P225" s="132"/>
      <c r="Q225" s="132"/>
      <c r="R225" s="132"/>
      <c r="S225" s="132"/>
      <c r="T225" s="132"/>
      <c r="U225" s="132"/>
      <c r="V225" s="132"/>
      <c r="W225" s="132"/>
      <c r="X225" s="132"/>
      <c r="Y225" s="132"/>
      <c r="Z225" s="132"/>
      <c r="AA225" s="132"/>
      <c r="AB225" s="132"/>
      <c r="AC225" s="132"/>
      <c r="AD225" s="1"/>
      <c r="AE225" s="132"/>
      <c r="AF225" s="132"/>
      <c r="AG225" s="132"/>
      <c r="AH225" s="132"/>
      <c r="AI225" s="132"/>
      <c r="AJ225" s="132"/>
      <c r="AK225" s="132"/>
      <c r="AL225" s="132"/>
      <c r="AM225" s="132"/>
      <c r="AN225" s="132"/>
      <c r="AO225" s="132"/>
      <c r="AP225" s="132"/>
      <c r="AQ225" s="132"/>
      <c r="AR225" s="132"/>
      <c r="AS225" s="132"/>
      <c r="AT225" s="132"/>
    </row>
    <row r="226" spans="1:46" ht="15.75" customHeight="1">
      <c r="A226" s="132"/>
      <c r="B226" s="132"/>
      <c r="C226" s="132"/>
      <c r="D226" s="132"/>
      <c r="E226" s="132"/>
      <c r="F226" s="132"/>
      <c r="G226" s="132"/>
      <c r="H226" s="132"/>
      <c r="I226" s="132"/>
      <c r="J226" s="132"/>
      <c r="K226" s="132"/>
      <c r="L226" s="132"/>
      <c r="M226" s="1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"/>
      <c r="AE226" s="132"/>
      <c r="AF226" s="132"/>
      <c r="AG226" s="132"/>
      <c r="AH226" s="132"/>
      <c r="AI226" s="132"/>
      <c r="AJ226" s="132"/>
      <c r="AK226" s="132"/>
      <c r="AL226" s="132"/>
      <c r="AM226" s="132"/>
      <c r="AN226" s="132"/>
      <c r="AO226" s="132"/>
      <c r="AP226" s="132"/>
      <c r="AQ226" s="132"/>
      <c r="AR226" s="132"/>
      <c r="AS226" s="132"/>
      <c r="AT226" s="132"/>
    </row>
    <row r="227" spans="1:46" ht="15.75" customHeight="1">
      <c r="A227" s="132"/>
      <c r="B227" s="132"/>
      <c r="C227" s="132"/>
      <c r="D227" s="132"/>
      <c r="E227" s="132"/>
      <c r="F227" s="132"/>
      <c r="G227" s="132"/>
      <c r="H227" s="132"/>
      <c r="I227" s="132"/>
      <c r="J227" s="132"/>
      <c r="K227" s="132"/>
      <c r="L227" s="132"/>
      <c r="M227" s="1"/>
      <c r="N227" s="132"/>
      <c r="O227" s="132"/>
      <c r="P227" s="132"/>
      <c r="Q227" s="132"/>
      <c r="R227" s="132"/>
      <c r="S227" s="132"/>
      <c r="T227" s="132"/>
      <c r="U227" s="132"/>
      <c r="V227" s="132"/>
      <c r="W227" s="132"/>
      <c r="X227" s="132"/>
      <c r="Y227" s="132"/>
      <c r="Z227" s="132"/>
      <c r="AA227" s="132"/>
      <c r="AB227" s="132"/>
      <c r="AC227" s="132"/>
      <c r="AD227" s="1"/>
      <c r="AE227" s="132"/>
      <c r="AF227" s="132"/>
      <c r="AG227" s="132"/>
      <c r="AH227" s="132"/>
      <c r="AI227" s="132"/>
      <c r="AJ227" s="132"/>
      <c r="AK227" s="132"/>
      <c r="AL227" s="132"/>
      <c r="AM227" s="132"/>
      <c r="AN227" s="132"/>
      <c r="AO227" s="132"/>
      <c r="AP227" s="132"/>
      <c r="AQ227" s="132"/>
      <c r="AR227" s="132"/>
      <c r="AS227" s="132"/>
      <c r="AT227" s="132"/>
    </row>
    <row r="228" spans="1:46" ht="15.75" customHeight="1">
      <c r="A228" s="132"/>
      <c r="B228" s="132"/>
      <c r="C228" s="132"/>
      <c r="D228" s="132"/>
      <c r="E228" s="132"/>
      <c r="F228" s="132"/>
      <c r="G228" s="132"/>
      <c r="H228" s="132"/>
      <c r="I228" s="132"/>
      <c r="J228" s="132"/>
      <c r="K228" s="132"/>
      <c r="L228" s="132"/>
      <c r="M228" s="1"/>
      <c r="N228" s="132"/>
      <c r="O228" s="132"/>
      <c r="P228" s="132"/>
      <c r="Q228" s="132"/>
      <c r="R228" s="132"/>
      <c r="S228" s="132"/>
      <c r="T228" s="132"/>
      <c r="U228" s="132"/>
      <c r="V228" s="132"/>
      <c r="W228" s="132"/>
      <c r="X228" s="132"/>
      <c r="Y228" s="132"/>
      <c r="Z228" s="132"/>
      <c r="AA228" s="132"/>
      <c r="AB228" s="132"/>
      <c r="AC228" s="132"/>
      <c r="AD228" s="1"/>
      <c r="AE228" s="132"/>
      <c r="AF228" s="132"/>
      <c r="AG228" s="132"/>
      <c r="AH228" s="132"/>
      <c r="AI228" s="132"/>
      <c r="AJ228" s="132"/>
      <c r="AK228" s="132"/>
      <c r="AL228" s="132"/>
      <c r="AM228" s="132"/>
      <c r="AN228" s="132"/>
      <c r="AO228" s="132"/>
      <c r="AP228" s="132"/>
      <c r="AQ228" s="132"/>
      <c r="AR228" s="132"/>
      <c r="AS228" s="132"/>
      <c r="AT228" s="132"/>
    </row>
    <row r="229" spans="1:46" ht="15.75" customHeight="1">
      <c r="A229" s="132"/>
      <c r="B229" s="132"/>
      <c r="C229" s="132"/>
      <c r="D229" s="132"/>
      <c r="E229" s="132"/>
      <c r="F229" s="132"/>
      <c r="G229" s="132"/>
      <c r="H229" s="132"/>
      <c r="I229" s="132"/>
      <c r="J229" s="132"/>
      <c r="K229" s="132"/>
      <c r="L229" s="132"/>
      <c r="M229" s="1"/>
      <c r="N229" s="132"/>
      <c r="O229" s="132"/>
      <c r="P229" s="132"/>
      <c r="Q229" s="132"/>
      <c r="R229" s="132"/>
      <c r="S229" s="132"/>
      <c r="T229" s="132"/>
      <c r="U229" s="132"/>
      <c r="V229" s="132"/>
      <c r="W229" s="132"/>
      <c r="X229" s="132"/>
      <c r="Y229" s="132"/>
      <c r="Z229" s="132"/>
      <c r="AA229" s="132"/>
      <c r="AB229" s="132"/>
      <c r="AC229" s="132"/>
      <c r="AD229" s="1"/>
      <c r="AE229" s="132"/>
      <c r="AF229" s="132"/>
      <c r="AG229" s="132"/>
      <c r="AH229" s="132"/>
      <c r="AI229" s="132"/>
      <c r="AJ229" s="132"/>
      <c r="AK229" s="132"/>
      <c r="AL229" s="132"/>
      <c r="AM229" s="132"/>
      <c r="AN229" s="132"/>
      <c r="AO229" s="132"/>
      <c r="AP229" s="132"/>
      <c r="AQ229" s="132"/>
      <c r="AR229" s="132"/>
      <c r="AS229" s="132"/>
      <c r="AT229" s="132"/>
    </row>
    <row r="230" spans="1:46" ht="15.75" customHeight="1">
      <c r="A230" s="132"/>
      <c r="B230" s="132"/>
      <c r="C230" s="132"/>
      <c r="D230" s="132"/>
      <c r="E230" s="132"/>
      <c r="F230" s="132"/>
      <c r="G230" s="132"/>
      <c r="H230" s="132"/>
      <c r="I230" s="132"/>
      <c r="J230" s="132"/>
      <c r="K230" s="132"/>
      <c r="L230" s="132"/>
      <c r="M230" s="1"/>
      <c r="N230" s="132"/>
      <c r="O230" s="132"/>
      <c r="P230" s="132"/>
      <c r="Q230" s="132"/>
      <c r="R230" s="132"/>
      <c r="S230" s="132"/>
      <c r="T230" s="132"/>
      <c r="U230" s="132"/>
      <c r="V230" s="132"/>
      <c r="W230" s="132"/>
      <c r="X230" s="132"/>
      <c r="Y230" s="132"/>
      <c r="Z230" s="132"/>
      <c r="AA230" s="132"/>
      <c r="AB230" s="132"/>
      <c r="AC230" s="132"/>
      <c r="AD230" s="1"/>
      <c r="AE230" s="132"/>
      <c r="AF230" s="132"/>
      <c r="AG230" s="132"/>
      <c r="AH230" s="132"/>
      <c r="AI230" s="132"/>
      <c r="AJ230" s="132"/>
      <c r="AK230" s="132"/>
      <c r="AL230" s="132"/>
      <c r="AM230" s="132"/>
      <c r="AN230" s="132"/>
      <c r="AO230" s="132"/>
      <c r="AP230" s="132"/>
      <c r="AQ230" s="132"/>
      <c r="AR230" s="132"/>
      <c r="AS230" s="132"/>
      <c r="AT230" s="132"/>
    </row>
    <row r="231" spans="1:46" ht="15.75" customHeight="1">
      <c r="A231" s="132"/>
      <c r="B231" s="132"/>
      <c r="C231" s="132"/>
      <c r="D231" s="132"/>
      <c r="E231" s="132"/>
      <c r="F231" s="132"/>
      <c r="G231" s="132"/>
      <c r="H231" s="132"/>
      <c r="I231" s="132"/>
      <c r="J231" s="132"/>
      <c r="K231" s="132"/>
      <c r="L231" s="132"/>
      <c r="M231" s="1"/>
      <c r="N231" s="132"/>
      <c r="O231" s="132"/>
      <c r="P231" s="132"/>
      <c r="Q231" s="132"/>
      <c r="R231" s="132"/>
      <c r="S231" s="132"/>
      <c r="T231" s="132"/>
      <c r="U231" s="132"/>
      <c r="V231" s="132"/>
      <c r="W231" s="132"/>
      <c r="X231" s="132"/>
      <c r="Y231" s="132"/>
      <c r="Z231" s="132"/>
      <c r="AA231" s="132"/>
      <c r="AB231" s="132"/>
      <c r="AC231" s="132"/>
      <c r="AD231" s="1"/>
      <c r="AE231" s="132"/>
      <c r="AF231" s="132"/>
      <c r="AG231" s="132"/>
      <c r="AH231" s="132"/>
      <c r="AI231" s="132"/>
      <c r="AJ231" s="132"/>
      <c r="AK231" s="132"/>
      <c r="AL231" s="132"/>
      <c r="AM231" s="132"/>
      <c r="AN231" s="132"/>
      <c r="AO231" s="132"/>
      <c r="AP231" s="132"/>
      <c r="AQ231" s="132"/>
      <c r="AR231" s="132"/>
      <c r="AS231" s="132"/>
      <c r="AT231" s="132"/>
    </row>
    <row r="232" spans="1:46" ht="15.75" customHeight="1">
      <c r="A232" s="132"/>
      <c r="B232" s="132"/>
      <c r="C232" s="132"/>
      <c r="D232" s="132"/>
      <c r="E232" s="132"/>
      <c r="F232" s="132"/>
      <c r="G232" s="132"/>
      <c r="H232" s="132"/>
      <c r="I232" s="132"/>
      <c r="J232" s="132"/>
      <c r="K232" s="132"/>
      <c r="L232" s="132"/>
      <c r="M232" s="1"/>
      <c r="N232" s="132"/>
      <c r="O232" s="132"/>
      <c r="P232" s="132"/>
      <c r="Q232" s="132"/>
      <c r="R232" s="132"/>
      <c r="S232" s="132"/>
      <c r="T232" s="132"/>
      <c r="U232" s="132"/>
      <c r="V232" s="132"/>
      <c r="W232" s="132"/>
      <c r="X232" s="132"/>
      <c r="Y232" s="132"/>
      <c r="Z232" s="132"/>
      <c r="AA232" s="132"/>
      <c r="AB232" s="132"/>
      <c r="AC232" s="132"/>
      <c r="AD232" s="1"/>
      <c r="AE232" s="132"/>
      <c r="AF232" s="132"/>
      <c r="AG232" s="132"/>
      <c r="AH232" s="132"/>
      <c r="AI232" s="132"/>
      <c r="AJ232" s="132"/>
      <c r="AK232" s="132"/>
      <c r="AL232" s="132"/>
      <c r="AM232" s="132"/>
      <c r="AN232" s="132"/>
      <c r="AO232" s="132"/>
      <c r="AP232" s="132"/>
      <c r="AQ232" s="132"/>
      <c r="AR232" s="132"/>
      <c r="AS232" s="132"/>
      <c r="AT232" s="132"/>
    </row>
    <row r="233" spans="1:46" ht="15.75" customHeight="1">
      <c r="A233" s="132"/>
      <c r="B233" s="132"/>
      <c r="C233" s="132"/>
      <c r="D233" s="132"/>
      <c r="E233" s="132"/>
      <c r="F233" s="132"/>
      <c r="G233" s="132"/>
      <c r="H233" s="132"/>
      <c r="I233" s="132"/>
      <c r="J233" s="132"/>
      <c r="K233" s="132"/>
      <c r="L233" s="132"/>
      <c r="M233" s="1"/>
      <c r="N233" s="132"/>
      <c r="O233" s="132"/>
      <c r="P233" s="132"/>
      <c r="Q233" s="132"/>
      <c r="R233" s="132"/>
      <c r="S233" s="132"/>
      <c r="T233" s="132"/>
      <c r="U233" s="132"/>
      <c r="V233" s="132"/>
      <c r="W233" s="132"/>
      <c r="X233" s="132"/>
      <c r="Y233" s="132"/>
      <c r="Z233" s="132"/>
      <c r="AA233" s="132"/>
      <c r="AB233" s="132"/>
      <c r="AC233" s="132"/>
      <c r="AD233" s="1"/>
      <c r="AE233" s="132"/>
      <c r="AF233" s="132"/>
      <c r="AG233" s="132"/>
      <c r="AH233" s="132"/>
      <c r="AI233" s="132"/>
      <c r="AJ233" s="132"/>
      <c r="AK233" s="132"/>
      <c r="AL233" s="132"/>
      <c r="AM233" s="132"/>
      <c r="AN233" s="132"/>
      <c r="AO233" s="132"/>
      <c r="AP233" s="132"/>
      <c r="AQ233" s="132"/>
      <c r="AR233" s="132"/>
      <c r="AS233" s="132"/>
      <c r="AT233" s="132"/>
    </row>
    <row r="234" spans="1:46" ht="15.75" customHeight="1">
      <c r="A234" s="132"/>
      <c r="B234" s="132"/>
      <c r="C234" s="132"/>
      <c r="D234" s="132"/>
      <c r="E234" s="132"/>
      <c r="F234" s="132"/>
      <c r="G234" s="132"/>
      <c r="H234" s="132"/>
      <c r="I234" s="132"/>
      <c r="J234" s="132"/>
      <c r="K234" s="132"/>
      <c r="L234" s="132"/>
      <c r="M234" s="1"/>
      <c r="N234" s="132"/>
      <c r="O234" s="132"/>
      <c r="P234" s="132"/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"/>
      <c r="AE234" s="132"/>
      <c r="AF234" s="132"/>
      <c r="AG234" s="132"/>
      <c r="AH234" s="132"/>
      <c r="AI234" s="132"/>
      <c r="AJ234" s="132"/>
      <c r="AK234" s="132"/>
      <c r="AL234" s="132"/>
      <c r="AM234" s="132"/>
      <c r="AN234" s="132"/>
      <c r="AO234" s="132"/>
      <c r="AP234" s="132"/>
      <c r="AQ234" s="132"/>
      <c r="AR234" s="132"/>
      <c r="AS234" s="132"/>
      <c r="AT234" s="132"/>
    </row>
    <row r="235" spans="1:46" ht="15.75" customHeight="1">
      <c r="A235" s="132"/>
      <c r="B235" s="132"/>
      <c r="C235" s="132"/>
      <c r="D235" s="132"/>
      <c r="E235" s="132"/>
      <c r="F235" s="132"/>
      <c r="G235" s="132"/>
      <c r="H235" s="132"/>
      <c r="I235" s="132"/>
      <c r="J235" s="132"/>
      <c r="K235" s="132"/>
      <c r="L235" s="132"/>
      <c r="M235" s="1"/>
      <c r="N235" s="132"/>
      <c r="O235" s="132"/>
      <c r="P235" s="132"/>
      <c r="Q235" s="132"/>
      <c r="R235" s="132"/>
      <c r="S235" s="132"/>
      <c r="T235" s="132"/>
      <c r="U235" s="132"/>
      <c r="V235" s="132"/>
      <c r="W235" s="132"/>
      <c r="X235" s="132"/>
      <c r="Y235" s="132"/>
      <c r="Z235" s="132"/>
      <c r="AA235" s="132"/>
      <c r="AB235" s="132"/>
      <c r="AC235" s="132"/>
      <c r="AD235" s="1"/>
      <c r="AE235" s="132"/>
      <c r="AF235" s="132"/>
      <c r="AG235" s="132"/>
      <c r="AH235" s="132"/>
      <c r="AI235" s="132"/>
      <c r="AJ235" s="132"/>
      <c r="AK235" s="132"/>
      <c r="AL235" s="132"/>
      <c r="AM235" s="132"/>
      <c r="AN235" s="132"/>
      <c r="AO235" s="132"/>
      <c r="AP235" s="132"/>
      <c r="AQ235" s="132"/>
      <c r="AR235" s="132"/>
      <c r="AS235" s="132"/>
      <c r="AT235" s="132"/>
    </row>
    <row r="236" spans="1:46" ht="15.75" customHeight="1">
      <c r="A236" s="132"/>
      <c r="B236" s="132"/>
      <c r="C236" s="132"/>
      <c r="D236" s="132"/>
      <c r="E236" s="132"/>
      <c r="F236" s="132"/>
      <c r="G236" s="132"/>
      <c r="H236" s="132"/>
      <c r="I236" s="132"/>
      <c r="J236" s="132"/>
      <c r="K236" s="132"/>
      <c r="L236" s="132"/>
      <c r="M236" s="1"/>
      <c r="N236" s="132"/>
      <c r="O236" s="132"/>
      <c r="P236" s="132"/>
      <c r="Q236" s="132"/>
      <c r="R236" s="132"/>
      <c r="S236" s="132"/>
      <c r="T236" s="132"/>
      <c r="U236" s="132"/>
      <c r="V236" s="132"/>
      <c r="W236" s="132"/>
      <c r="X236" s="132"/>
      <c r="Y236" s="132"/>
      <c r="Z236" s="132"/>
      <c r="AA236" s="132"/>
      <c r="AB236" s="132"/>
      <c r="AC236" s="132"/>
      <c r="AD236" s="1"/>
      <c r="AE236" s="132"/>
      <c r="AF236" s="132"/>
      <c r="AG236" s="132"/>
      <c r="AH236" s="132"/>
      <c r="AI236" s="132"/>
      <c r="AJ236" s="132"/>
      <c r="AK236" s="132"/>
      <c r="AL236" s="132"/>
      <c r="AM236" s="132"/>
      <c r="AN236" s="132"/>
      <c r="AO236" s="132"/>
      <c r="AP236" s="132"/>
      <c r="AQ236" s="132"/>
      <c r="AR236" s="132"/>
      <c r="AS236" s="132"/>
      <c r="AT236" s="132"/>
    </row>
    <row r="237" spans="1:46" ht="15.75" customHeight="1">
      <c r="A237" s="132"/>
      <c r="B237" s="132"/>
      <c r="C237" s="132"/>
      <c r="D237" s="132"/>
      <c r="E237" s="132"/>
      <c r="F237" s="132"/>
      <c r="G237" s="132"/>
      <c r="H237" s="132"/>
      <c r="I237" s="132"/>
      <c r="J237" s="132"/>
      <c r="K237" s="132"/>
      <c r="L237" s="132"/>
      <c r="M237" s="1"/>
      <c r="N237" s="132"/>
      <c r="O237" s="132"/>
      <c r="P237" s="132"/>
      <c r="Q237" s="132"/>
      <c r="R237" s="132"/>
      <c r="S237" s="132"/>
      <c r="T237" s="132"/>
      <c r="U237" s="132"/>
      <c r="V237" s="132"/>
      <c r="W237" s="132"/>
      <c r="X237" s="132"/>
      <c r="Y237" s="132"/>
      <c r="Z237" s="132"/>
      <c r="AA237" s="132"/>
      <c r="AB237" s="132"/>
      <c r="AC237" s="132"/>
      <c r="AD237" s="1"/>
      <c r="AE237" s="132"/>
      <c r="AF237" s="132"/>
      <c r="AG237" s="132"/>
      <c r="AH237" s="132"/>
      <c r="AI237" s="132"/>
      <c r="AJ237" s="132"/>
      <c r="AK237" s="132"/>
      <c r="AL237" s="132"/>
      <c r="AM237" s="132"/>
      <c r="AN237" s="132"/>
      <c r="AO237" s="132"/>
      <c r="AP237" s="132"/>
      <c r="AQ237" s="132"/>
      <c r="AR237" s="132"/>
      <c r="AS237" s="132"/>
      <c r="AT237" s="132"/>
    </row>
    <row r="238" spans="1:46" ht="15.75" customHeight="1">
      <c r="A238" s="132"/>
      <c r="B238" s="132"/>
      <c r="C238" s="132"/>
      <c r="D238" s="132"/>
      <c r="E238" s="132"/>
      <c r="F238" s="132"/>
      <c r="G238" s="132"/>
      <c r="H238" s="132"/>
      <c r="I238" s="132"/>
      <c r="J238" s="132"/>
      <c r="K238" s="132"/>
      <c r="L238" s="132"/>
      <c r="M238" s="1"/>
      <c r="N238" s="132"/>
      <c r="O238" s="132"/>
      <c r="P238" s="132"/>
      <c r="Q238" s="132"/>
      <c r="R238" s="132"/>
      <c r="S238" s="132"/>
      <c r="T238" s="132"/>
      <c r="U238" s="132"/>
      <c r="V238" s="132"/>
      <c r="W238" s="132"/>
      <c r="X238" s="132"/>
      <c r="Y238" s="132"/>
      <c r="Z238" s="132"/>
      <c r="AA238" s="132"/>
      <c r="AB238" s="132"/>
      <c r="AC238" s="132"/>
      <c r="AD238" s="1"/>
      <c r="AE238" s="132"/>
      <c r="AF238" s="132"/>
      <c r="AG238" s="132"/>
      <c r="AH238" s="132"/>
      <c r="AI238" s="132"/>
      <c r="AJ238" s="132"/>
      <c r="AK238" s="132"/>
      <c r="AL238" s="132"/>
      <c r="AM238" s="132"/>
      <c r="AN238" s="132"/>
      <c r="AO238" s="132"/>
      <c r="AP238" s="132"/>
      <c r="AQ238" s="132"/>
      <c r="AR238" s="132"/>
      <c r="AS238" s="132"/>
      <c r="AT238" s="132"/>
    </row>
    <row r="239" spans="1:46" ht="15.75" customHeight="1">
      <c r="A239" s="132"/>
      <c r="B239" s="132"/>
      <c r="C239" s="132"/>
      <c r="D239" s="132"/>
      <c r="E239" s="132"/>
      <c r="F239" s="132"/>
      <c r="G239" s="132"/>
      <c r="H239" s="132"/>
      <c r="I239" s="132"/>
      <c r="J239" s="132"/>
      <c r="K239" s="132"/>
      <c r="L239" s="132"/>
      <c r="M239" s="1"/>
      <c r="N239" s="132"/>
      <c r="O239" s="132"/>
      <c r="P239" s="132"/>
      <c r="Q239" s="132"/>
      <c r="R239" s="132"/>
      <c r="S239" s="132"/>
      <c r="T239" s="132"/>
      <c r="U239" s="132"/>
      <c r="V239" s="132"/>
      <c r="W239" s="132"/>
      <c r="X239" s="132"/>
      <c r="Y239" s="132"/>
      <c r="Z239" s="132"/>
      <c r="AA239" s="132"/>
      <c r="AB239" s="132"/>
      <c r="AC239" s="132"/>
      <c r="AD239" s="1"/>
      <c r="AE239" s="132"/>
      <c r="AF239" s="132"/>
      <c r="AG239" s="132"/>
      <c r="AH239" s="132"/>
      <c r="AI239" s="132"/>
      <c r="AJ239" s="132"/>
      <c r="AK239" s="132"/>
      <c r="AL239" s="132"/>
      <c r="AM239" s="132"/>
      <c r="AN239" s="132"/>
      <c r="AO239" s="132"/>
      <c r="AP239" s="132"/>
      <c r="AQ239" s="132"/>
      <c r="AR239" s="132"/>
      <c r="AS239" s="132"/>
      <c r="AT239" s="132"/>
    </row>
    <row r="240" spans="1:46" ht="15.75" customHeight="1">
      <c r="A240" s="132"/>
      <c r="B240" s="132"/>
      <c r="C240" s="132"/>
      <c r="D240" s="132"/>
      <c r="E240" s="132"/>
      <c r="F240" s="132"/>
      <c r="G240" s="132"/>
      <c r="H240" s="132"/>
      <c r="I240" s="132"/>
      <c r="J240" s="132"/>
      <c r="K240" s="132"/>
      <c r="L240" s="132"/>
      <c r="M240" s="1"/>
      <c r="N240" s="132"/>
      <c r="O240" s="132"/>
      <c r="P240" s="132"/>
      <c r="Q240" s="132"/>
      <c r="R240" s="132"/>
      <c r="S240" s="132"/>
      <c r="T240" s="132"/>
      <c r="U240" s="132"/>
      <c r="V240" s="132"/>
      <c r="W240" s="132"/>
      <c r="X240" s="132"/>
      <c r="Y240" s="132"/>
      <c r="Z240" s="132"/>
      <c r="AA240" s="132"/>
      <c r="AB240" s="132"/>
      <c r="AC240" s="132"/>
      <c r="AD240" s="1"/>
      <c r="AE240" s="132"/>
      <c r="AF240" s="132"/>
      <c r="AG240" s="132"/>
      <c r="AH240" s="132"/>
      <c r="AI240" s="132"/>
      <c r="AJ240" s="132"/>
      <c r="AK240" s="132"/>
      <c r="AL240" s="132"/>
      <c r="AM240" s="132"/>
      <c r="AN240" s="132"/>
      <c r="AO240" s="132"/>
      <c r="AP240" s="132"/>
      <c r="AQ240" s="132"/>
      <c r="AR240" s="132"/>
      <c r="AS240" s="132"/>
      <c r="AT240" s="132"/>
    </row>
    <row r="241" spans="1:46" ht="15.75" customHeight="1">
      <c r="A241" s="132"/>
      <c r="B241" s="132"/>
      <c r="C241" s="132"/>
      <c r="D241" s="132"/>
      <c r="E241" s="132"/>
      <c r="F241" s="132"/>
      <c r="G241" s="132"/>
      <c r="H241" s="132"/>
      <c r="I241" s="132"/>
      <c r="J241" s="132"/>
      <c r="K241" s="132"/>
      <c r="L241" s="132"/>
      <c r="M241" s="1"/>
      <c r="N241" s="132"/>
      <c r="O241" s="132"/>
      <c r="P241" s="132"/>
      <c r="Q241" s="132"/>
      <c r="R241" s="132"/>
      <c r="S241" s="132"/>
      <c r="T241" s="132"/>
      <c r="U241" s="132"/>
      <c r="V241" s="132"/>
      <c r="W241" s="132"/>
      <c r="X241" s="132"/>
      <c r="Y241" s="132"/>
      <c r="Z241" s="132"/>
      <c r="AA241" s="132"/>
      <c r="AB241" s="132"/>
      <c r="AC241" s="132"/>
      <c r="AD241" s="1"/>
      <c r="AE241" s="132"/>
      <c r="AF241" s="132"/>
      <c r="AG241" s="132"/>
      <c r="AH241" s="132"/>
      <c r="AI241" s="132"/>
      <c r="AJ241" s="132"/>
      <c r="AK241" s="132"/>
      <c r="AL241" s="132"/>
      <c r="AM241" s="132"/>
      <c r="AN241" s="132"/>
      <c r="AO241" s="132"/>
      <c r="AP241" s="132"/>
      <c r="AQ241" s="132"/>
      <c r="AR241" s="132"/>
      <c r="AS241" s="132"/>
      <c r="AT241" s="132"/>
    </row>
    <row r="242" spans="1:46" ht="15.75" customHeight="1">
      <c r="A242" s="132"/>
      <c r="B242" s="132"/>
      <c r="C242" s="132"/>
      <c r="D242" s="132"/>
      <c r="E242" s="132"/>
      <c r="F242" s="132"/>
      <c r="G242" s="132"/>
      <c r="H242" s="132"/>
      <c r="I242" s="132"/>
      <c r="J242" s="132"/>
      <c r="K242" s="132"/>
      <c r="L242" s="132"/>
      <c r="M242" s="1"/>
      <c r="N242" s="132"/>
      <c r="O242" s="132"/>
      <c r="P242" s="132"/>
      <c r="Q242" s="132"/>
      <c r="R242" s="132"/>
      <c r="S242" s="132"/>
      <c r="T242" s="132"/>
      <c r="U242" s="132"/>
      <c r="V242" s="132"/>
      <c r="W242" s="132"/>
      <c r="X242" s="132"/>
      <c r="Y242" s="132"/>
      <c r="Z242" s="132"/>
      <c r="AA242" s="132"/>
      <c r="AB242" s="132"/>
      <c r="AC242" s="132"/>
      <c r="AD242" s="1"/>
      <c r="AE242" s="132"/>
      <c r="AF242" s="132"/>
      <c r="AG242" s="132"/>
      <c r="AH242" s="132"/>
      <c r="AI242" s="132"/>
      <c r="AJ242" s="132"/>
      <c r="AK242" s="132"/>
      <c r="AL242" s="132"/>
      <c r="AM242" s="132"/>
      <c r="AN242" s="132"/>
      <c r="AO242" s="132"/>
      <c r="AP242" s="132"/>
      <c r="AQ242" s="132"/>
      <c r="AR242" s="132"/>
      <c r="AS242" s="132"/>
      <c r="AT242" s="132"/>
    </row>
    <row r="243" spans="1:4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</row>
    <row r="244" spans="1:4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4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4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4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46" ht="20.25" customHeight="1" thickBot="1">
      <c r="A249" s="140" t="s">
        <v>12</v>
      </c>
      <c r="B249" s="140"/>
      <c r="C249" s="140"/>
      <c r="D249" s="140"/>
      <c r="E249" s="140"/>
      <c r="F249" s="4"/>
      <c r="G249" s="5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1"/>
      <c r="Z249" s="1"/>
      <c r="AA249" s="1"/>
      <c r="AB249" s="1"/>
      <c r="AC249" s="1"/>
      <c r="AD249" s="1"/>
      <c r="AE249" s="1"/>
    </row>
    <row r="250" spans="1:4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46" ht="15.75" customHeight="1">
      <c r="A251" s="146" t="s">
        <v>48</v>
      </c>
      <c r="B251" s="146"/>
      <c r="C251" s="146"/>
      <c r="D251" s="146"/>
      <c r="E251" s="146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46" ht="15.75" customHeight="1">
      <c r="A252" s="153" t="s">
        <v>49</v>
      </c>
      <c r="B252" s="153"/>
      <c r="C252" s="153"/>
      <c r="D252" s="153"/>
      <c r="E252" s="153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46" ht="15.75" customHeight="1">
      <c r="A253" s="26"/>
      <c r="B253" s="26"/>
      <c r="C253" s="26"/>
      <c r="D253" s="26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46" ht="15.75" customHeight="1">
      <c r="A254" s="138" t="s">
        <v>91</v>
      </c>
      <c r="B254" s="138"/>
      <c r="C254" s="138"/>
      <c r="D254" s="39" t="s">
        <v>94</v>
      </c>
      <c r="E254" s="39" t="s">
        <v>95</v>
      </c>
      <c r="F254" s="39" t="s">
        <v>92</v>
      </c>
      <c r="G254" s="39" t="s">
        <v>96</v>
      </c>
      <c r="H254" s="39" t="s">
        <v>97</v>
      </c>
      <c r="I254" s="39" t="s">
        <v>98</v>
      </c>
      <c r="J254" s="39" t="s">
        <v>99</v>
      </c>
      <c r="K254" s="39" t="s">
        <v>106</v>
      </c>
      <c r="L254" s="39" t="s">
        <v>107</v>
      </c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46" ht="15.75" customHeight="1">
      <c r="A255" s="138" t="s">
        <v>100</v>
      </c>
      <c r="B255" s="138"/>
      <c r="C255" s="138"/>
      <c r="D255" s="34"/>
      <c r="E255" s="34"/>
      <c r="F255" s="34"/>
      <c r="G255" s="42">
        <f>E$8</f>
        <v>0</v>
      </c>
      <c r="H255" s="42">
        <f>E$7</f>
        <v>0</v>
      </c>
      <c r="I255" s="39">
        <f>F255-G255</f>
        <v>0</v>
      </c>
      <c r="J255" s="39">
        <f>H255-D255</f>
        <v>0</v>
      </c>
      <c r="K255" s="44" t="e">
        <f t="shared" ref="K255:L257" si="14">I255/DUT_VOUT*100</f>
        <v>#DIV/0!</v>
      </c>
      <c r="L255" s="44" t="e">
        <f t="shared" si="14"/>
        <v>#DIV/0!</v>
      </c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46" ht="15.75" customHeight="1">
      <c r="A256" s="138" t="s">
        <v>101</v>
      </c>
      <c r="B256" s="138"/>
      <c r="C256" s="138"/>
      <c r="D256" s="34"/>
      <c r="E256" s="34"/>
      <c r="F256" s="34"/>
      <c r="G256" s="42">
        <f t="shared" ref="G256:G257" si="15">E$8</f>
        <v>0</v>
      </c>
      <c r="H256" s="42">
        <f t="shared" ref="H256:H257" si="16">E$7</f>
        <v>0</v>
      </c>
      <c r="I256" s="39">
        <f t="shared" ref="I256:I257" si="17">F256-G256</f>
        <v>0</v>
      </c>
      <c r="J256" s="39">
        <f t="shared" ref="J256:J257" si="18">H256-D256</f>
        <v>0</v>
      </c>
      <c r="K256" s="44" t="e">
        <f t="shared" si="14"/>
        <v>#DIV/0!</v>
      </c>
      <c r="L256" s="44" t="e">
        <f t="shared" si="14"/>
        <v>#DIV/0!</v>
      </c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16061" ht="15.75" customHeight="1">
      <c r="A257" s="138" t="s">
        <v>102</v>
      </c>
      <c r="B257" s="138"/>
      <c r="C257" s="138"/>
      <c r="D257" s="34"/>
      <c r="E257" s="34"/>
      <c r="F257" s="34"/>
      <c r="G257" s="42">
        <f t="shared" si="15"/>
        <v>0</v>
      </c>
      <c r="H257" s="42">
        <f t="shared" si="16"/>
        <v>0</v>
      </c>
      <c r="I257" s="39">
        <f t="shared" si="17"/>
        <v>0</v>
      </c>
      <c r="J257" s="39">
        <f t="shared" si="18"/>
        <v>0</v>
      </c>
      <c r="K257" s="44" t="e">
        <f t="shared" si="14"/>
        <v>#DIV/0!</v>
      </c>
      <c r="L257" s="44" t="e">
        <f t="shared" si="14"/>
        <v>#DIV/0!</v>
      </c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16061" ht="15.75" customHeight="1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4"/>
      <c r="L258" s="44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16061" ht="15.75" customHeight="1">
      <c r="A259" s="138" t="s">
        <v>103</v>
      </c>
      <c r="B259" s="138"/>
      <c r="C259" s="138"/>
      <c r="D259" s="34"/>
      <c r="E259" s="34"/>
      <c r="F259" s="34"/>
      <c r="G259" s="42">
        <f>E$8</f>
        <v>0</v>
      </c>
      <c r="H259" s="42">
        <f>E$7</f>
        <v>0</v>
      </c>
      <c r="I259" s="39">
        <f>F259-G259</f>
        <v>0</v>
      </c>
      <c r="J259" s="39">
        <f>H259-D259</f>
        <v>0</v>
      </c>
      <c r="K259" s="44" t="e">
        <f t="shared" ref="K259:L261" si="19">I259/DUT_VOUT*100</f>
        <v>#DIV/0!</v>
      </c>
      <c r="L259" s="44" t="e">
        <f t="shared" si="19"/>
        <v>#DIV/0!</v>
      </c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16061" ht="15.75" customHeight="1">
      <c r="A260" s="138" t="s">
        <v>104</v>
      </c>
      <c r="B260" s="138"/>
      <c r="C260" s="138"/>
      <c r="D260" s="34"/>
      <c r="E260" s="34"/>
      <c r="F260" s="34"/>
      <c r="G260" s="42">
        <f t="shared" ref="G260:G261" si="20">E$8</f>
        <v>0</v>
      </c>
      <c r="H260" s="42">
        <f t="shared" ref="H260:H261" si="21">E$7</f>
        <v>0</v>
      </c>
      <c r="I260" s="39">
        <f t="shared" ref="I260:I261" si="22">F260-G260</f>
        <v>0</v>
      </c>
      <c r="J260" s="39">
        <f t="shared" ref="J260:J261" si="23">H260-D260</f>
        <v>0</v>
      </c>
      <c r="K260" s="44" t="e">
        <f t="shared" si="19"/>
        <v>#DIV/0!</v>
      </c>
      <c r="L260" s="44" t="e">
        <f t="shared" si="19"/>
        <v>#DIV/0!</v>
      </c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16061" ht="15.75" customHeight="1">
      <c r="A261" s="138" t="s">
        <v>105</v>
      </c>
      <c r="B261" s="138"/>
      <c r="C261" s="138"/>
      <c r="D261" s="34"/>
      <c r="E261" s="34"/>
      <c r="F261" s="34"/>
      <c r="G261" s="42">
        <f t="shared" si="20"/>
        <v>0</v>
      </c>
      <c r="H261" s="42">
        <f t="shared" si="21"/>
        <v>0</v>
      </c>
      <c r="I261" s="39">
        <f t="shared" si="22"/>
        <v>0</v>
      </c>
      <c r="J261" s="39">
        <f t="shared" si="23"/>
        <v>0</v>
      </c>
      <c r="K261" s="44" t="e">
        <f t="shared" si="19"/>
        <v>#DIV/0!</v>
      </c>
      <c r="L261" s="44" t="e">
        <f t="shared" si="19"/>
        <v>#DIV/0!</v>
      </c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16061" ht="15.75" customHeight="1">
      <c r="A262" s="26"/>
      <c r="B262" s="26"/>
      <c r="C262" s="26"/>
      <c r="D262" s="26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16061" ht="15.75" customHeight="1">
      <c r="A263" s="26"/>
      <c r="B263" s="26"/>
      <c r="C263" s="26"/>
      <c r="D263" s="26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16061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  <c r="VA264" s="1"/>
      <c r="VB264" s="1"/>
      <c r="VC264" s="1"/>
      <c r="VD264" s="1"/>
      <c r="VE264" s="1"/>
      <c r="VF264" s="1"/>
      <c r="VG264" s="1"/>
      <c r="VH264" s="1"/>
      <c r="VI264" s="1"/>
      <c r="VJ264" s="1"/>
      <c r="VK264" s="1"/>
      <c r="VL264" s="1"/>
      <c r="VM264" s="1"/>
      <c r="VN264" s="1"/>
      <c r="VO264" s="1"/>
      <c r="VP264" s="1"/>
      <c r="VQ264" s="1"/>
      <c r="VR264" s="1"/>
      <c r="VS264" s="1"/>
      <c r="VT264" s="1"/>
      <c r="VU264" s="1"/>
      <c r="VV264" s="1"/>
      <c r="VW264" s="1"/>
      <c r="VX264" s="1"/>
      <c r="VY264" s="1"/>
      <c r="VZ264" s="1"/>
      <c r="WA264" s="1"/>
      <c r="WB264" s="1"/>
      <c r="WC264" s="1"/>
      <c r="WD264" s="1"/>
      <c r="WE264" s="1"/>
      <c r="WF264" s="1"/>
      <c r="WG264" s="1"/>
      <c r="WH264" s="1"/>
      <c r="WI264" s="1"/>
      <c r="WJ264" s="1"/>
      <c r="WK264" s="1"/>
      <c r="WL264" s="1"/>
      <c r="WM264" s="1"/>
      <c r="WN264" s="1"/>
      <c r="WO264" s="1"/>
      <c r="WP264" s="1"/>
      <c r="WQ264" s="1"/>
      <c r="WR264" s="1"/>
      <c r="WS264" s="1"/>
      <c r="WT264" s="1"/>
      <c r="WU264" s="1"/>
      <c r="WV264" s="1"/>
      <c r="WW264" s="1"/>
      <c r="WX264" s="1"/>
      <c r="WY264" s="1"/>
      <c r="WZ264" s="1"/>
      <c r="XA264" s="1"/>
      <c r="XB264" s="1"/>
      <c r="XC264" s="1"/>
      <c r="XD264" s="1"/>
      <c r="XE264" s="1"/>
      <c r="XF264" s="1"/>
      <c r="XG264" s="1"/>
      <c r="XH264" s="1"/>
      <c r="XI264" s="1"/>
      <c r="XJ264" s="1"/>
      <c r="XK264" s="1"/>
      <c r="XL264" s="1"/>
      <c r="XM264" s="1"/>
      <c r="XN264" s="1"/>
      <c r="XO264" s="1"/>
      <c r="XP264" s="1"/>
      <c r="XQ264" s="1"/>
      <c r="XR264" s="1"/>
      <c r="XS264" s="1"/>
      <c r="XT264" s="1"/>
      <c r="XU264" s="1"/>
      <c r="XV264" s="1"/>
      <c r="XW264" s="1"/>
      <c r="XX264" s="1"/>
      <c r="XY264" s="1"/>
      <c r="XZ264" s="1"/>
      <c r="YA264" s="1"/>
      <c r="YB264" s="1"/>
      <c r="YC264" s="1"/>
      <c r="YD264" s="1"/>
      <c r="YE264" s="1"/>
      <c r="YF264" s="1"/>
      <c r="YG264" s="1"/>
      <c r="YH264" s="1"/>
      <c r="YI264" s="1"/>
      <c r="YJ264" s="1"/>
      <c r="YK264" s="1"/>
      <c r="YL264" s="1"/>
      <c r="YM264" s="1"/>
      <c r="YN264" s="1"/>
      <c r="YO264" s="1"/>
      <c r="YP264" s="1"/>
      <c r="YQ264" s="1"/>
      <c r="YR264" s="1"/>
      <c r="YS264" s="1"/>
      <c r="YT264" s="1"/>
      <c r="YU264" s="1"/>
      <c r="YV264" s="1"/>
      <c r="YW264" s="1"/>
      <c r="YX264" s="1"/>
      <c r="YY264" s="1"/>
      <c r="YZ264" s="1"/>
      <c r="ZA264" s="1"/>
      <c r="ZB264" s="1"/>
      <c r="ZC264" s="1"/>
      <c r="ZD264" s="1"/>
      <c r="ZE264" s="1"/>
      <c r="ZF264" s="1"/>
      <c r="ZG264" s="1"/>
      <c r="ZH264" s="1"/>
      <c r="ZI264" s="1"/>
      <c r="ZJ264" s="1"/>
      <c r="ZK264" s="1"/>
      <c r="ZL264" s="1"/>
      <c r="ZM264" s="1"/>
      <c r="ZN264" s="1"/>
      <c r="ZO264" s="1"/>
      <c r="ZP264" s="1"/>
      <c r="ZQ264" s="1"/>
      <c r="ZR264" s="1"/>
      <c r="ZS264" s="1"/>
      <c r="ZT264" s="1"/>
      <c r="ZU264" s="1"/>
      <c r="ZV264" s="1"/>
      <c r="ZW264" s="1"/>
      <c r="ZX264" s="1"/>
      <c r="ZY264" s="1"/>
      <c r="ZZ264" s="1"/>
      <c r="AAA264" s="1"/>
      <c r="AAB264" s="1"/>
      <c r="AAC264" s="1"/>
      <c r="AAD264" s="1"/>
      <c r="AAE264" s="1"/>
      <c r="AAF264" s="1"/>
      <c r="AAG264" s="1"/>
      <c r="AAH264" s="1"/>
      <c r="AAI264" s="1"/>
      <c r="AAJ264" s="1"/>
      <c r="AAK264" s="1"/>
      <c r="AAL264" s="1"/>
      <c r="AAM264" s="1"/>
      <c r="AAN264" s="1"/>
      <c r="AAO264" s="1"/>
      <c r="AAP264" s="1"/>
      <c r="AAQ264" s="1"/>
      <c r="AAR264" s="1"/>
      <c r="AAS264" s="1"/>
      <c r="AAT264" s="1"/>
      <c r="AAU264" s="1"/>
      <c r="AAV264" s="1"/>
      <c r="AAW264" s="1"/>
      <c r="AAX264" s="1"/>
      <c r="AAY264" s="1"/>
      <c r="AAZ264" s="1"/>
      <c r="ABA264" s="1"/>
      <c r="ABB264" s="1"/>
      <c r="ABC264" s="1"/>
      <c r="ABD264" s="1"/>
      <c r="ABE264" s="1"/>
      <c r="ABF264" s="1"/>
      <c r="ABG264" s="1"/>
      <c r="ABH264" s="1"/>
      <c r="ABI264" s="1"/>
      <c r="ABJ264" s="1"/>
      <c r="ABK264" s="1"/>
      <c r="ABL264" s="1"/>
      <c r="ABM264" s="1"/>
      <c r="ABN264" s="1"/>
      <c r="ABO264" s="1"/>
      <c r="ABP264" s="1"/>
      <c r="ABQ264" s="1"/>
      <c r="ABR264" s="1"/>
      <c r="ABS264" s="1"/>
      <c r="ABT264" s="1"/>
      <c r="ABU264" s="1"/>
      <c r="ABV264" s="1"/>
      <c r="ABW264" s="1"/>
      <c r="ABX264" s="1"/>
      <c r="ABY264" s="1"/>
      <c r="ABZ264" s="1"/>
      <c r="ACA264" s="1"/>
      <c r="ACB264" s="1"/>
      <c r="ACC264" s="1"/>
      <c r="ACD264" s="1"/>
      <c r="ACE264" s="1"/>
      <c r="ACF264" s="1"/>
      <c r="ACG264" s="1"/>
      <c r="ACH264" s="1"/>
      <c r="ACI264" s="1"/>
      <c r="ACJ264" s="1"/>
      <c r="ACK264" s="1"/>
      <c r="ACL264" s="1"/>
      <c r="ACM264" s="1"/>
      <c r="ACN264" s="1"/>
      <c r="ACO264" s="1"/>
      <c r="ACP264" s="1"/>
      <c r="ACQ264" s="1"/>
      <c r="ACR264" s="1"/>
      <c r="ACS264" s="1"/>
      <c r="ACT264" s="1"/>
      <c r="ACU264" s="1"/>
      <c r="ACV264" s="1"/>
      <c r="ACW264" s="1"/>
      <c r="ACX264" s="1"/>
      <c r="ACY264" s="1"/>
      <c r="ACZ264" s="1"/>
      <c r="ADA264" s="1"/>
      <c r="ADB264" s="1"/>
      <c r="ADC264" s="1"/>
      <c r="ADD264" s="1"/>
      <c r="ADE264" s="1"/>
      <c r="ADF264" s="1"/>
      <c r="ADG264" s="1"/>
      <c r="ADH264" s="1"/>
      <c r="ADI264" s="1"/>
      <c r="ADJ264" s="1"/>
      <c r="ADK264" s="1"/>
      <c r="ADL264" s="1"/>
      <c r="ADM264" s="1"/>
      <c r="ADN264" s="1"/>
      <c r="ADO264" s="1"/>
      <c r="ADP264" s="1"/>
      <c r="ADQ264" s="1"/>
      <c r="ADR264" s="1"/>
      <c r="ADS264" s="1"/>
      <c r="ADT264" s="1"/>
      <c r="ADU264" s="1"/>
      <c r="ADV264" s="1"/>
      <c r="ADW264" s="1"/>
      <c r="ADX264" s="1"/>
      <c r="ADY264" s="1"/>
      <c r="ADZ264" s="1"/>
      <c r="AEA264" s="1"/>
      <c r="AEB264" s="1"/>
      <c r="AEC264" s="1"/>
      <c r="AED264" s="1"/>
      <c r="AEE264" s="1"/>
      <c r="AEF264" s="1"/>
      <c r="AEG264" s="1"/>
      <c r="AEH264" s="1"/>
      <c r="AEI264" s="1"/>
      <c r="AEJ264" s="1"/>
      <c r="AEK264" s="1"/>
      <c r="AEL264" s="1"/>
      <c r="AEM264" s="1"/>
      <c r="AEN264" s="1"/>
      <c r="AEO264" s="1"/>
      <c r="AEP264" s="1"/>
      <c r="AEQ264" s="1"/>
      <c r="AER264" s="1"/>
      <c r="AES264" s="1"/>
      <c r="AET264" s="1"/>
      <c r="AEU264" s="1"/>
      <c r="AEV264" s="1"/>
      <c r="AEW264" s="1"/>
      <c r="AEX264" s="1"/>
      <c r="AEY264" s="1"/>
      <c r="AEZ264" s="1"/>
      <c r="AFA264" s="1"/>
      <c r="AFB264" s="1"/>
      <c r="AFC264" s="1"/>
      <c r="AFD264" s="1"/>
      <c r="AFE264" s="1"/>
      <c r="AFF264" s="1"/>
      <c r="AFG264" s="1"/>
      <c r="AFH264" s="1"/>
      <c r="AFI264" s="1"/>
      <c r="AFJ264" s="1"/>
      <c r="AFK264" s="1"/>
      <c r="AFL264" s="1"/>
      <c r="AFM264" s="1"/>
      <c r="AFN264" s="1"/>
      <c r="AFO264" s="1"/>
      <c r="AFP264" s="1"/>
      <c r="AFQ264" s="1"/>
      <c r="AFR264" s="1"/>
      <c r="AFS264" s="1"/>
      <c r="AFT264" s="1"/>
      <c r="AFU264" s="1"/>
      <c r="AFV264" s="1"/>
      <c r="AFW264" s="1"/>
      <c r="AFX264" s="1"/>
      <c r="AFY264" s="1"/>
      <c r="AFZ264" s="1"/>
      <c r="AGA264" s="1"/>
      <c r="AGB264" s="1"/>
      <c r="AGC264" s="1"/>
      <c r="AGD264" s="1"/>
      <c r="AGE264" s="1"/>
      <c r="AGF264" s="1"/>
      <c r="AGG264" s="1"/>
      <c r="AGH264" s="1"/>
      <c r="AGI264" s="1"/>
      <c r="AGJ264" s="1"/>
      <c r="AGK264" s="1"/>
      <c r="AGL264" s="1"/>
      <c r="AGM264" s="1"/>
      <c r="AGN264" s="1"/>
      <c r="AGO264" s="1"/>
      <c r="AGP264" s="1"/>
      <c r="AGQ264" s="1"/>
      <c r="AGR264" s="1"/>
      <c r="AGS264" s="1"/>
      <c r="AGT264" s="1"/>
      <c r="AGU264" s="1"/>
      <c r="AGV264" s="1"/>
      <c r="AGW264" s="1"/>
      <c r="AGX264" s="1"/>
      <c r="AGY264" s="1"/>
      <c r="AGZ264" s="1"/>
      <c r="AHA264" s="1"/>
      <c r="AHB264" s="1"/>
      <c r="AHC264" s="1"/>
      <c r="AHD264" s="1"/>
      <c r="AHE264" s="1"/>
      <c r="AHF264" s="1"/>
      <c r="AHG264" s="1"/>
      <c r="AHH264" s="1"/>
      <c r="AHI264" s="1"/>
      <c r="AHJ264" s="1"/>
      <c r="AHK264" s="1"/>
      <c r="AHL264" s="1"/>
      <c r="AHM264" s="1"/>
      <c r="AHN264" s="1"/>
      <c r="AHO264" s="1"/>
      <c r="AHP264" s="1"/>
      <c r="AHQ264" s="1"/>
      <c r="AHR264" s="1"/>
      <c r="AHS264" s="1"/>
      <c r="AHT264" s="1"/>
      <c r="AHU264" s="1"/>
      <c r="AHV264" s="1"/>
      <c r="AHW264" s="1"/>
      <c r="AHX264" s="1"/>
      <c r="AHY264" s="1"/>
      <c r="AHZ264" s="1"/>
      <c r="AIA264" s="1"/>
      <c r="AIB264" s="1"/>
      <c r="AIC264" s="1"/>
      <c r="AID264" s="1"/>
      <c r="AIE264" s="1"/>
      <c r="AIF264" s="1"/>
      <c r="AIG264" s="1"/>
      <c r="AIH264" s="1"/>
      <c r="AII264" s="1"/>
      <c r="AIJ264" s="1"/>
      <c r="AIK264" s="1"/>
      <c r="AIL264" s="1"/>
      <c r="AIM264" s="1"/>
      <c r="AIN264" s="1"/>
      <c r="AIO264" s="1"/>
      <c r="AIP264" s="1"/>
      <c r="AIQ264" s="1"/>
      <c r="AIR264" s="1"/>
      <c r="AIS264" s="1"/>
      <c r="AIT264" s="1"/>
      <c r="AIU264" s="1"/>
      <c r="AIV264" s="1"/>
      <c r="AIW264" s="1"/>
      <c r="AIX264" s="1"/>
      <c r="AIY264" s="1"/>
      <c r="AIZ264" s="1"/>
      <c r="AJA264" s="1"/>
      <c r="AJB264" s="1"/>
      <c r="AJC264" s="1"/>
      <c r="AJD264" s="1"/>
      <c r="AJE264" s="1"/>
      <c r="AJF264" s="1"/>
      <c r="AJG264" s="1"/>
      <c r="AJH264" s="1"/>
      <c r="AJI264" s="1"/>
      <c r="AJJ264" s="1"/>
      <c r="AJK264" s="1"/>
      <c r="AJL264" s="1"/>
      <c r="AJM264" s="1"/>
      <c r="AJN264" s="1"/>
      <c r="AJO264" s="1"/>
      <c r="AJP264" s="1"/>
      <c r="AJQ264" s="1"/>
      <c r="AJR264" s="1"/>
      <c r="AJS264" s="1"/>
      <c r="AJT264" s="1"/>
      <c r="AJU264" s="1"/>
      <c r="AJV264" s="1"/>
      <c r="AJW264" s="1"/>
      <c r="AJX264" s="1"/>
      <c r="AJY264" s="1"/>
      <c r="AJZ264" s="1"/>
      <c r="AKA264" s="1"/>
      <c r="AKB264" s="1"/>
      <c r="AKC264" s="1"/>
      <c r="AKD264" s="1"/>
      <c r="AKE264" s="1"/>
      <c r="AKF264" s="1"/>
      <c r="AKG264" s="1"/>
      <c r="AKH264" s="1"/>
      <c r="AKI264" s="1"/>
      <c r="AKJ264" s="1"/>
      <c r="AKK264" s="1"/>
      <c r="AKL264" s="1"/>
      <c r="AKM264" s="1"/>
      <c r="AKN264" s="1"/>
      <c r="AKO264" s="1"/>
      <c r="AKP264" s="1"/>
      <c r="AKQ264" s="1"/>
      <c r="AKR264" s="1"/>
      <c r="AKS264" s="1"/>
      <c r="AKT264" s="1"/>
      <c r="AKU264" s="1"/>
      <c r="AKV264" s="1"/>
      <c r="AKW264" s="1"/>
      <c r="AKX264" s="1"/>
      <c r="AKY264" s="1"/>
      <c r="AKZ264" s="1"/>
      <c r="ALA264" s="1"/>
      <c r="ALB264" s="1"/>
      <c r="ALC264" s="1"/>
      <c r="ALD264" s="1"/>
      <c r="ALE264" s="1"/>
      <c r="ALF264" s="1"/>
      <c r="ALG264" s="1"/>
      <c r="ALH264" s="1"/>
      <c r="ALI264" s="1"/>
      <c r="ALJ264" s="1"/>
      <c r="ALK264" s="1"/>
      <c r="ALL264" s="1"/>
      <c r="ALM264" s="1"/>
      <c r="ALN264" s="1"/>
      <c r="ALO264" s="1"/>
      <c r="ALP264" s="1"/>
      <c r="ALQ264" s="1"/>
      <c r="ALR264" s="1"/>
      <c r="ALS264" s="1"/>
      <c r="ALT264" s="1"/>
      <c r="ALU264" s="1"/>
      <c r="ALV264" s="1"/>
      <c r="ALW264" s="1"/>
      <c r="ALX264" s="1"/>
      <c r="ALY264" s="1"/>
      <c r="ALZ264" s="1"/>
      <c r="AMA264" s="1"/>
      <c r="AMB264" s="1"/>
      <c r="AMC264" s="1"/>
      <c r="AMD264" s="1"/>
      <c r="AME264" s="1"/>
      <c r="AMF264" s="1"/>
      <c r="AMG264" s="1"/>
      <c r="AMH264" s="1"/>
      <c r="AMI264" s="1"/>
      <c r="AMJ264" s="1"/>
      <c r="AMK264" s="1"/>
      <c r="AML264" s="1"/>
      <c r="AMM264" s="1"/>
      <c r="AMN264" s="1"/>
      <c r="AMO264" s="1"/>
      <c r="AMP264" s="1"/>
      <c r="AMQ264" s="1"/>
      <c r="AMR264" s="1"/>
      <c r="AMS264" s="1"/>
      <c r="AMT264" s="1"/>
      <c r="AMU264" s="1"/>
      <c r="AMV264" s="1"/>
      <c r="AMW264" s="1"/>
      <c r="AMX264" s="1"/>
      <c r="AMY264" s="1"/>
      <c r="AMZ264" s="1"/>
      <c r="ANA264" s="1"/>
      <c r="ANB264" s="1"/>
      <c r="ANC264" s="1"/>
      <c r="AND264" s="1"/>
      <c r="ANE264" s="1"/>
      <c r="ANF264" s="1"/>
      <c r="ANG264" s="1"/>
      <c r="ANH264" s="1"/>
      <c r="ANI264" s="1"/>
      <c r="ANJ264" s="1"/>
      <c r="ANK264" s="1"/>
      <c r="ANL264" s="1"/>
      <c r="ANM264" s="1"/>
      <c r="ANN264" s="1"/>
      <c r="ANO264" s="1"/>
      <c r="ANP264" s="1"/>
      <c r="ANQ264" s="1"/>
      <c r="ANR264" s="1"/>
      <c r="ANS264" s="1"/>
      <c r="ANT264" s="1"/>
      <c r="ANU264" s="1"/>
      <c r="ANV264" s="1"/>
      <c r="ANW264" s="1"/>
      <c r="ANX264" s="1"/>
      <c r="ANY264" s="1"/>
      <c r="ANZ264" s="1"/>
      <c r="AOA264" s="1"/>
      <c r="AOB264" s="1"/>
      <c r="AOC264" s="1"/>
      <c r="AOD264" s="1"/>
      <c r="AOE264" s="1"/>
      <c r="AOF264" s="1"/>
      <c r="AOG264" s="1"/>
      <c r="AOH264" s="1"/>
      <c r="AOI264" s="1"/>
      <c r="AOJ264" s="1"/>
      <c r="AOK264" s="1"/>
      <c r="AOL264" s="1"/>
      <c r="AOM264" s="1"/>
      <c r="AON264" s="1"/>
      <c r="AOO264" s="1"/>
      <c r="AOP264" s="1"/>
      <c r="AOQ264" s="1"/>
      <c r="AOR264" s="1"/>
      <c r="AOS264" s="1"/>
      <c r="AOT264" s="1"/>
      <c r="AOU264" s="1"/>
      <c r="AOV264" s="1"/>
      <c r="AOW264" s="1"/>
      <c r="AOX264" s="1"/>
      <c r="AOY264" s="1"/>
      <c r="AOZ264" s="1"/>
      <c r="APA264" s="1"/>
      <c r="APB264" s="1"/>
      <c r="APC264" s="1"/>
      <c r="APD264" s="1"/>
      <c r="APE264" s="1"/>
      <c r="APF264" s="1"/>
      <c r="APG264" s="1"/>
      <c r="APH264" s="1"/>
      <c r="API264" s="1"/>
      <c r="APJ264" s="1"/>
      <c r="APK264" s="1"/>
      <c r="APL264" s="1"/>
      <c r="APM264" s="1"/>
      <c r="APN264" s="1"/>
      <c r="APO264" s="1"/>
      <c r="APP264" s="1"/>
      <c r="APQ264" s="1"/>
      <c r="APR264" s="1"/>
      <c r="APS264" s="1"/>
      <c r="APT264" s="1"/>
      <c r="APU264" s="1"/>
      <c r="APV264" s="1"/>
      <c r="APW264" s="1"/>
      <c r="APX264" s="1"/>
      <c r="APY264" s="1"/>
      <c r="APZ264" s="1"/>
      <c r="AQA264" s="1"/>
      <c r="AQB264" s="1"/>
      <c r="AQC264" s="1"/>
      <c r="AQD264" s="1"/>
      <c r="AQE264" s="1"/>
      <c r="AQF264" s="1"/>
      <c r="AQG264" s="1"/>
      <c r="AQH264" s="1"/>
      <c r="AQI264" s="1"/>
      <c r="AQJ264" s="1"/>
      <c r="AQK264" s="1"/>
      <c r="AQL264" s="1"/>
      <c r="AQM264" s="1"/>
      <c r="AQN264" s="1"/>
      <c r="AQO264" s="1"/>
      <c r="AQP264" s="1"/>
      <c r="AQQ264" s="1"/>
      <c r="AQR264" s="1"/>
      <c r="AQS264" s="1"/>
      <c r="AQT264" s="1"/>
      <c r="AQU264" s="1"/>
      <c r="AQV264" s="1"/>
      <c r="AQW264" s="1"/>
      <c r="AQX264" s="1"/>
      <c r="AQY264" s="1"/>
      <c r="AQZ264" s="1"/>
      <c r="ARA264" s="1"/>
      <c r="ARB264" s="1"/>
      <c r="ARC264" s="1"/>
      <c r="ARD264" s="1"/>
      <c r="ARE264" s="1"/>
      <c r="ARF264" s="1"/>
      <c r="ARG264" s="1"/>
      <c r="ARH264" s="1"/>
      <c r="ARI264" s="1"/>
      <c r="ARJ264" s="1"/>
      <c r="ARK264" s="1"/>
      <c r="ARL264" s="1"/>
      <c r="ARM264" s="1"/>
      <c r="ARN264" s="1"/>
      <c r="ARO264" s="1"/>
      <c r="ARP264" s="1"/>
      <c r="ARQ264" s="1"/>
      <c r="ARR264" s="1"/>
      <c r="ARS264" s="1"/>
      <c r="ART264" s="1"/>
      <c r="ARU264" s="1"/>
      <c r="ARV264" s="1"/>
      <c r="ARW264" s="1"/>
      <c r="ARX264" s="1"/>
      <c r="ARY264" s="1"/>
      <c r="ARZ264" s="1"/>
      <c r="ASA264" s="1"/>
      <c r="ASB264" s="1"/>
      <c r="ASC264" s="1"/>
      <c r="ASD264" s="1"/>
      <c r="ASE264" s="1"/>
      <c r="ASF264" s="1"/>
      <c r="ASG264" s="1"/>
      <c r="ASH264" s="1"/>
      <c r="ASI264" s="1"/>
      <c r="ASJ264" s="1"/>
      <c r="ASK264" s="1"/>
      <c r="ASL264" s="1"/>
      <c r="ASM264" s="1"/>
      <c r="ASN264" s="1"/>
      <c r="ASO264" s="1"/>
      <c r="ASP264" s="1"/>
      <c r="ASQ264" s="1"/>
      <c r="ASR264" s="1"/>
      <c r="ASS264" s="1"/>
      <c r="AST264" s="1"/>
      <c r="ASU264" s="1"/>
      <c r="ASV264" s="1"/>
      <c r="ASW264" s="1"/>
      <c r="ASX264" s="1"/>
      <c r="ASY264" s="1"/>
      <c r="ASZ264" s="1"/>
      <c r="ATA264" s="1"/>
      <c r="ATB264" s="1"/>
      <c r="ATC264" s="1"/>
      <c r="ATD264" s="1"/>
      <c r="ATE264" s="1"/>
      <c r="ATF264" s="1"/>
      <c r="ATG264" s="1"/>
      <c r="ATH264" s="1"/>
      <c r="ATI264" s="1"/>
      <c r="ATJ264" s="1"/>
      <c r="ATK264" s="1"/>
      <c r="ATL264" s="1"/>
      <c r="ATM264" s="1"/>
      <c r="ATN264" s="1"/>
      <c r="ATO264" s="1"/>
      <c r="ATP264" s="1"/>
      <c r="ATQ264" s="1"/>
      <c r="ATR264" s="1"/>
      <c r="ATS264" s="1"/>
      <c r="ATT264" s="1"/>
      <c r="ATU264" s="1"/>
      <c r="ATV264" s="1"/>
      <c r="ATW264" s="1"/>
      <c r="ATX264" s="1"/>
      <c r="ATY264" s="1"/>
      <c r="ATZ264" s="1"/>
      <c r="AUA264" s="1"/>
      <c r="AUB264" s="1"/>
      <c r="AUC264" s="1"/>
      <c r="AUD264" s="1"/>
      <c r="AUE264" s="1"/>
      <c r="AUF264" s="1"/>
      <c r="AUG264" s="1"/>
      <c r="AUH264" s="1"/>
      <c r="AUI264" s="1"/>
      <c r="AUJ264" s="1"/>
      <c r="AUK264" s="1"/>
      <c r="AUL264" s="1"/>
      <c r="AUM264" s="1"/>
      <c r="AUN264" s="1"/>
      <c r="AUO264" s="1"/>
      <c r="AUP264" s="1"/>
      <c r="AUQ264" s="1"/>
      <c r="AUR264" s="1"/>
      <c r="AUS264" s="1"/>
      <c r="AUT264" s="1"/>
      <c r="AUU264" s="1"/>
      <c r="AUV264" s="1"/>
      <c r="AUW264" s="1"/>
      <c r="AUX264" s="1"/>
      <c r="AUY264" s="1"/>
      <c r="AUZ264" s="1"/>
      <c r="AVA264" s="1"/>
      <c r="AVB264" s="1"/>
      <c r="AVC264" s="1"/>
      <c r="AVD264" s="1"/>
      <c r="AVE264" s="1"/>
      <c r="AVF264" s="1"/>
      <c r="AVG264" s="1"/>
      <c r="AVH264" s="1"/>
      <c r="AVI264" s="1"/>
      <c r="AVJ264" s="1"/>
      <c r="AVK264" s="1"/>
      <c r="AVL264" s="1"/>
      <c r="AVM264" s="1"/>
      <c r="AVN264" s="1"/>
      <c r="AVO264" s="1"/>
      <c r="AVP264" s="1"/>
      <c r="AVQ264" s="1"/>
      <c r="AVR264" s="1"/>
      <c r="AVS264" s="1"/>
      <c r="AVT264" s="1"/>
      <c r="AVU264" s="1"/>
      <c r="AVV264" s="1"/>
      <c r="AVW264" s="1"/>
      <c r="AVX264" s="1"/>
      <c r="AVY264" s="1"/>
      <c r="AVZ264" s="1"/>
      <c r="AWA264" s="1"/>
      <c r="AWB264" s="1"/>
      <c r="AWC264" s="1"/>
      <c r="AWD264" s="1"/>
      <c r="AWE264" s="1"/>
      <c r="AWF264" s="1"/>
      <c r="AWG264" s="1"/>
      <c r="AWH264" s="1"/>
      <c r="AWI264" s="1"/>
      <c r="AWJ264" s="1"/>
      <c r="AWK264" s="1"/>
      <c r="AWL264" s="1"/>
      <c r="AWM264" s="1"/>
      <c r="AWN264" s="1"/>
      <c r="AWO264" s="1"/>
      <c r="AWP264" s="1"/>
      <c r="AWQ264" s="1"/>
      <c r="AWR264" s="1"/>
      <c r="AWS264" s="1"/>
      <c r="AWT264" s="1"/>
      <c r="AWU264" s="1"/>
      <c r="AWV264" s="1"/>
      <c r="AWW264" s="1"/>
      <c r="AWX264" s="1"/>
      <c r="AWY264" s="1"/>
      <c r="AWZ264" s="1"/>
      <c r="AXA264" s="1"/>
      <c r="AXB264" s="1"/>
      <c r="AXC264" s="1"/>
      <c r="AXD264" s="1"/>
      <c r="AXE264" s="1"/>
      <c r="AXF264" s="1"/>
      <c r="AXG264" s="1"/>
      <c r="AXH264" s="1"/>
      <c r="AXI264" s="1"/>
      <c r="AXJ264" s="1"/>
      <c r="AXK264" s="1"/>
      <c r="AXL264" s="1"/>
      <c r="AXM264" s="1"/>
      <c r="AXN264" s="1"/>
      <c r="AXO264" s="1"/>
      <c r="AXP264" s="1"/>
      <c r="AXQ264" s="1"/>
      <c r="AXR264" s="1"/>
      <c r="AXS264" s="1"/>
      <c r="AXT264" s="1"/>
      <c r="AXU264" s="1"/>
      <c r="AXV264" s="1"/>
      <c r="AXW264" s="1"/>
      <c r="AXX264" s="1"/>
      <c r="AXY264" s="1"/>
      <c r="AXZ264" s="1"/>
      <c r="AYA264" s="1"/>
      <c r="AYB264" s="1"/>
      <c r="AYC264" s="1"/>
      <c r="AYD264" s="1"/>
      <c r="AYE264" s="1"/>
      <c r="AYF264" s="1"/>
      <c r="AYG264" s="1"/>
      <c r="AYH264" s="1"/>
      <c r="AYI264" s="1"/>
      <c r="AYJ264" s="1"/>
      <c r="AYK264" s="1"/>
      <c r="AYL264" s="1"/>
      <c r="AYM264" s="1"/>
      <c r="AYN264" s="1"/>
      <c r="AYO264" s="1"/>
      <c r="AYP264" s="1"/>
      <c r="AYQ264" s="1"/>
      <c r="AYR264" s="1"/>
      <c r="AYS264" s="1"/>
      <c r="AYT264" s="1"/>
      <c r="AYU264" s="1"/>
      <c r="AYV264" s="1"/>
      <c r="AYW264" s="1"/>
      <c r="AYX264" s="1"/>
      <c r="AYY264" s="1"/>
      <c r="AYZ264" s="1"/>
      <c r="AZA264" s="1"/>
      <c r="AZB264" s="1"/>
      <c r="AZC264" s="1"/>
      <c r="AZD264" s="1"/>
      <c r="AZE264" s="1"/>
      <c r="AZF264" s="1"/>
      <c r="AZG264" s="1"/>
      <c r="AZH264" s="1"/>
      <c r="AZI264" s="1"/>
      <c r="AZJ264" s="1"/>
      <c r="AZK264" s="1"/>
      <c r="AZL264" s="1"/>
      <c r="AZM264" s="1"/>
      <c r="AZN264" s="1"/>
      <c r="AZO264" s="1"/>
      <c r="AZP264" s="1"/>
      <c r="AZQ264" s="1"/>
      <c r="AZR264" s="1"/>
      <c r="AZS264" s="1"/>
      <c r="AZT264" s="1"/>
      <c r="AZU264" s="1"/>
      <c r="AZV264" s="1"/>
      <c r="AZW264" s="1"/>
      <c r="AZX264" s="1"/>
      <c r="AZY264" s="1"/>
      <c r="AZZ264" s="1"/>
      <c r="BAA264" s="1"/>
      <c r="BAB264" s="1"/>
      <c r="BAC264" s="1"/>
      <c r="BAD264" s="1"/>
      <c r="BAE264" s="1"/>
      <c r="BAF264" s="1"/>
      <c r="BAG264" s="1"/>
      <c r="BAH264" s="1"/>
      <c r="BAI264" s="1"/>
      <c r="BAJ264" s="1"/>
      <c r="BAK264" s="1"/>
      <c r="BAL264" s="1"/>
      <c r="BAM264" s="1"/>
      <c r="BAN264" s="1"/>
      <c r="BAO264" s="1"/>
      <c r="BAP264" s="1"/>
      <c r="BAQ264" s="1"/>
      <c r="BAR264" s="1"/>
      <c r="BAS264" s="1"/>
      <c r="BAT264" s="1"/>
      <c r="BAU264" s="1"/>
      <c r="BAV264" s="1"/>
      <c r="BAW264" s="1"/>
      <c r="BAX264" s="1"/>
      <c r="BAY264" s="1"/>
      <c r="BAZ264" s="1"/>
      <c r="BBA264" s="1"/>
      <c r="BBB264" s="1"/>
      <c r="BBC264" s="1"/>
      <c r="BBD264" s="1"/>
      <c r="BBE264" s="1"/>
      <c r="BBF264" s="1"/>
      <c r="BBG264" s="1"/>
      <c r="BBH264" s="1"/>
      <c r="BBI264" s="1"/>
      <c r="BBJ264" s="1"/>
      <c r="BBK264" s="1"/>
      <c r="BBL264" s="1"/>
      <c r="BBM264" s="1"/>
      <c r="BBN264" s="1"/>
      <c r="BBO264" s="1"/>
      <c r="BBP264" s="1"/>
      <c r="BBQ264" s="1"/>
      <c r="BBR264" s="1"/>
      <c r="BBS264" s="1"/>
      <c r="BBT264" s="1"/>
      <c r="BBU264" s="1"/>
      <c r="BBV264" s="1"/>
      <c r="BBW264" s="1"/>
      <c r="BBX264" s="1"/>
      <c r="BBY264" s="1"/>
      <c r="BBZ264" s="1"/>
      <c r="BCA264" s="1"/>
      <c r="BCB264" s="1"/>
      <c r="BCC264" s="1"/>
      <c r="BCD264" s="1"/>
      <c r="BCE264" s="1"/>
      <c r="BCF264" s="1"/>
      <c r="BCG264" s="1"/>
      <c r="BCH264" s="1"/>
      <c r="BCI264" s="1"/>
      <c r="BCJ264" s="1"/>
      <c r="BCK264" s="1"/>
      <c r="BCL264" s="1"/>
      <c r="BCM264" s="1"/>
      <c r="BCN264" s="1"/>
      <c r="BCO264" s="1"/>
      <c r="BCP264" s="1"/>
      <c r="BCQ264" s="1"/>
      <c r="BCR264" s="1"/>
      <c r="BCS264" s="1"/>
      <c r="BCT264" s="1"/>
      <c r="BCU264" s="1"/>
      <c r="BCV264" s="1"/>
      <c r="BCW264" s="1"/>
      <c r="BCX264" s="1"/>
      <c r="BCY264" s="1"/>
      <c r="BCZ264" s="1"/>
      <c r="BDA264" s="1"/>
      <c r="BDB264" s="1"/>
      <c r="BDC264" s="1"/>
      <c r="BDD264" s="1"/>
      <c r="BDE264" s="1"/>
      <c r="BDF264" s="1"/>
      <c r="BDG264" s="1"/>
      <c r="BDH264" s="1"/>
      <c r="BDI264" s="1"/>
      <c r="BDJ264" s="1"/>
      <c r="BDK264" s="1"/>
      <c r="BDL264" s="1"/>
      <c r="BDM264" s="1"/>
      <c r="BDN264" s="1"/>
      <c r="BDO264" s="1"/>
      <c r="BDP264" s="1"/>
      <c r="BDQ264" s="1"/>
      <c r="BDR264" s="1"/>
      <c r="BDS264" s="1"/>
      <c r="BDT264" s="1"/>
      <c r="BDU264" s="1"/>
      <c r="BDV264" s="1"/>
      <c r="BDW264" s="1"/>
      <c r="BDX264" s="1"/>
      <c r="BDY264" s="1"/>
      <c r="BDZ264" s="1"/>
      <c r="BEA264" s="1"/>
      <c r="BEB264" s="1"/>
      <c r="BEC264" s="1"/>
      <c r="BED264" s="1"/>
      <c r="BEE264" s="1"/>
      <c r="BEF264" s="1"/>
      <c r="BEG264" s="1"/>
      <c r="BEH264" s="1"/>
      <c r="BEI264" s="1"/>
      <c r="BEJ264" s="1"/>
      <c r="BEK264" s="1"/>
      <c r="BEL264" s="1"/>
      <c r="BEM264" s="1"/>
      <c r="BEN264" s="1"/>
      <c r="BEO264" s="1"/>
      <c r="BEP264" s="1"/>
      <c r="BEQ264" s="1"/>
      <c r="BER264" s="1"/>
      <c r="BES264" s="1"/>
      <c r="BET264" s="1"/>
      <c r="BEU264" s="1"/>
      <c r="BEV264" s="1"/>
      <c r="BEW264" s="1"/>
      <c r="BEX264" s="1"/>
      <c r="BEY264" s="1"/>
      <c r="BEZ264" s="1"/>
      <c r="BFA264" s="1"/>
      <c r="BFB264" s="1"/>
      <c r="BFC264" s="1"/>
      <c r="BFD264" s="1"/>
      <c r="BFE264" s="1"/>
      <c r="BFF264" s="1"/>
      <c r="BFG264" s="1"/>
      <c r="BFH264" s="1"/>
      <c r="BFI264" s="1"/>
      <c r="BFJ264" s="1"/>
      <c r="BFK264" s="1"/>
      <c r="BFL264" s="1"/>
      <c r="BFM264" s="1"/>
      <c r="BFN264" s="1"/>
      <c r="BFO264" s="1"/>
      <c r="BFP264" s="1"/>
      <c r="BFQ264" s="1"/>
      <c r="BFR264" s="1"/>
      <c r="BFS264" s="1"/>
      <c r="BFT264" s="1"/>
      <c r="BFU264" s="1"/>
      <c r="BFV264" s="1"/>
      <c r="BFW264" s="1"/>
      <c r="BFX264" s="1"/>
      <c r="BFY264" s="1"/>
      <c r="BFZ264" s="1"/>
      <c r="BGA264" s="1"/>
      <c r="BGB264" s="1"/>
      <c r="BGC264" s="1"/>
      <c r="BGD264" s="1"/>
      <c r="BGE264" s="1"/>
      <c r="BGF264" s="1"/>
      <c r="BGG264" s="1"/>
      <c r="BGH264" s="1"/>
      <c r="BGI264" s="1"/>
      <c r="BGJ264" s="1"/>
      <c r="BGK264" s="1"/>
      <c r="BGL264" s="1"/>
      <c r="BGM264" s="1"/>
      <c r="BGN264" s="1"/>
      <c r="BGO264" s="1"/>
      <c r="BGP264" s="1"/>
      <c r="BGQ264" s="1"/>
      <c r="BGR264" s="1"/>
      <c r="BGS264" s="1"/>
      <c r="BGT264" s="1"/>
      <c r="BGU264" s="1"/>
      <c r="BGV264" s="1"/>
      <c r="BGW264" s="1"/>
      <c r="BGX264" s="1"/>
      <c r="BGY264" s="1"/>
      <c r="BGZ264" s="1"/>
      <c r="BHA264" s="1"/>
      <c r="BHB264" s="1"/>
      <c r="BHC264" s="1"/>
      <c r="BHD264" s="1"/>
      <c r="BHE264" s="1"/>
      <c r="BHF264" s="1"/>
      <c r="BHG264" s="1"/>
      <c r="BHH264" s="1"/>
      <c r="BHI264" s="1"/>
      <c r="BHJ264" s="1"/>
      <c r="BHK264" s="1"/>
      <c r="BHL264" s="1"/>
      <c r="BHM264" s="1"/>
      <c r="BHN264" s="1"/>
      <c r="BHO264" s="1"/>
      <c r="BHP264" s="1"/>
      <c r="BHQ264" s="1"/>
      <c r="BHR264" s="1"/>
      <c r="BHS264" s="1"/>
      <c r="BHT264" s="1"/>
      <c r="BHU264" s="1"/>
      <c r="BHV264" s="1"/>
      <c r="BHW264" s="1"/>
      <c r="BHX264" s="1"/>
      <c r="BHY264" s="1"/>
      <c r="BHZ264" s="1"/>
      <c r="BIA264" s="1"/>
      <c r="BIB264" s="1"/>
      <c r="BIC264" s="1"/>
      <c r="BID264" s="1"/>
      <c r="BIE264" s="1"/>
      <c r="BIF264" s="1"/>
      <c r="BIG264" s="1"/>
      <c r="BIH264" s="1"/>
      <c r="BII264" s="1"/>
      <c r="BIJ264" s="1"/>
      <c r="BIK264" s="1"/>
      <c r="BIL264" s="1"/>
      <c r="BIM264" s="1"/>
      <c r="BIN264" s="1"/>
      <c r="BIO264" s="1"/>
      <c r="BIP264" s="1"/>
      <c r="BIQ264" s="1"/>
      <c r="BIR264" s="1"/>
      <c r="BIS264" s="1"/>
      <c r="BIT264" s="1"/>
      <c r="BIU264" s="1"/>
      <c r="BIV264" s="1"/>
      <c r="BIW264" s="1"/>
      <c r="BIX264" s="1"/>
      <c r="BIY264" s="1"/>
      <c r="BIZ264" s="1"/>
      <c r="BJA264" s="1"/>
      <c r="BJB264" s="1"/>
      <c r="BJC264" s="1"/>
      <c r="BJD264" s="1"/>
      <c r="BJE264" s="1"/>
      <c r="BJF264" s="1"/>
      <c r="BJG264" s="1"/>
      <c r="BJH264" s="1"/>
      <c r="BJI264" s="1"/>
      <c r="BJJ264" s="1"/>
      <c r="BJK264" s="1"/>
      <c r="BJL264" s="1"/>
      <c r="BJM264" s="1"/>
      <c r="BJN264" s="1"/>
      <c r="BJO264" s="1"/>
      <c r="BJP264" s="1"/>
      <c r="BJQ264" s="1"/>
      <c r="BJR264" s="1"/>
      <c r="BJS264" s="1"/>
      <c r="BJT264" s="1"/>
      <c r="BJU264" s="1"/>
      <c r="BJV264" s="1"/>
      <c r="BJW264" s="1"/>
      <c r="BJX264" s="1"/>
      <c r="BJY264" s="1"/>
      <c r="BJZ264" s="1"/>
      <c r="BKA264" s="1"/>
      <c r="BKB264" s="1"/>
      <c r="BKC264" s="1"/>
      <c r="BKD264" s="1"/>
      <c r="BKE264" s="1"/>
      <c r="BKF264" s="1"/>
      <c r="BKG264" s="1"/>
      <c r="BKH264" s="1"/>
      <c r="BKI264" s="1"/>
      <c r="BKJ264" s="1"/>
      <c r="BKK264" s="1"/>
      <c r="BKL264" s="1"/>
      <c r="BKM264" s="1"/>
      <c r="BKN264" s="1"/>
      <c r="BKO264" s="1"/>
      <c r="BKP264" s="1"/>
      <c r="BKQ264" s="1"/>
      <c r="BKR264" s="1"/>
      <c r="BKS264" s="1"/>
      <c r="BKT264" s="1"/>
      <c r="BKU264" s="1"/>
      <c r="BKV264" s="1"/>
      <c r="BKW264" s="1"/>
      <c r="BKX264" s="1"/>
      <c r="BKY264" s="1"/>
      <c r="BKZ264" s="1"/>
      <c r="BLA264" s="1"/>
      <c r="BLB264" s="1"/>
      <c r="BLC264" s="1"/>
      <c r="BLD264" s="1"/>
      <c r="BLE264" s="1"/>
      <c r="BLF264" s="1"/>
      <c r="BLG264" s="1"/>
      <c r="BLH264" s="1"/>
      <c r="BLI264" s="1"/>
      <c r="BLJ264" s="1"/>
      <c r="BLK264" s="1"/>
      <c r="BLL264" s="1"/>
      <c r="BLM264" s="1"/>
      <c r="BLN264" s="1"/>
      <c r="BLO264" s="1"/>
      <c r="BLP264" s="1"/>
      <c r="BLQ264" s="1"/>
      <c r="BLR264" s="1"/>
      <c r="BLS264" s="1"/>
      <c r="BLT264" s="1"/>
      <c r="BLU264" s="1"/>
      <c r="BLV264" s="1"/>
      <c r="BLW264" s="1"/>
      <c r="BLX264" s="1"/>
      <c r="BLY264" s="1"/>
      <c r="BLZ264" s="1"/>
      <c r="BMA264" s="1"/>
      <c r="BMB264" s="1"/>
      <c r="BMC264" s="1"/>
      <c r="BMD264" s="1"/>
      <c r="BME264" s="1"/>
      <c r="BMF264" s="1"/>
      <c r="BMG264" s="1"/>
      <c r="BMH264" s="1"/>
      <c r="BMI264" s="1"/>
      <c r="BMJ264" s="1"/>
      <c r="BMK264" s="1"/>
      <c r="BML264" s="1"/>
      <c r="BMM264" s="1"/>
      <c r="BMN264" s="1"/>
      <c r="BMO264" s="1"/>
      <c r="BMP264" s="1"/>
      <c r="BMQ264" s="1"/>
      <c r="BMR264" s="1"/>
      <c r="BMS264" s="1"/>
      <c r="BMT264" s="1"/>
      <c r="BMU264" s="1"/>
      <c r="BMV264" s="1"/>
      <c r="BMW264" s="1"/>
      <c r="BMX264" s="1"/>
      <c r="BMY264" s="1"/>
      <c r="BMZ264" s="1"/>
      <c r="BNA264" s="1"/>
      <c r="BNB264" s="1"/>
      <c r="BNC264" s="1"/>
      <c r="BND264" s="1"/>
      <c r="BNE264" s="1"/>
      <c r="BNF264" s="1"/>
      <c r="BNG264" s="1"/>
      <c r="BNH264" s="1"/>
      <c r="BNI264" s="1"/>
      <c r="BNJ264" s="1"/>
      <c r="BNK264" s="1"/>
      <c r="BNL264" s="1"/>
      <c r="BNM264" s="1"/>
      <c r="BNN264" s="1"/>
      <c r="BNO264" s="1"/>
      <c r="BNP264" s="1"/>
      <c r="BNQ264" s="1"/>
      <c r="BNR264" s="1"/>
      <c r="BNS264" s="1"/>
      <c r="BNT264" s="1"/>
      <c r="BNU264" s="1"/>
      <c r="BNV264" s="1"/>
      <c r="BNW264" s="1"/>
      <c r="BNX264" s="1"/>
      <c r="BNY264" s="1"/>
      <c r="BNZ264" s="1"/>
      <c r="BOA264" s="1"/>
      <c r="BOB264" s="1"/>
      <c r="BOC264" s="1"/>
      <c r="BOD264" s="1"/>
      <c r="BOE264" s="1"/>
      <c r="BOF264" s="1"/>
      <c r="BOG264" s="1"/>
      <c r="BOH264" s="1"/>
      <c r="BOI264" s="1"/>
      <c r="BOJ264" s="1"/>
      <c r="BOK264" s="1"/>
      <c r="BOL264" s="1"/>
      <c r="BOM264" s="1"/>
      <c r="BON264" s="1"/>
      <c r="BOO264" s="1"/>
      <c r="BOP264" s="1"/>
      <c r="BOQ264" s="1"/>
      <c r="BOR264" s="1"/>
      <c r="BOS264" s="1"/>
      <c r="BOT264" s="1"/>
      <c r="BOU264" s="1"/>
      <c r="BOV264" s="1"/>
      <c r="BOW264" s="1"/>
      <c r="BOX264" s="1"/>
      <c r="BOY264" s="1"/>
      <c r="BOZ264" s="1"/>
      <c r="BPA264" s="1"/>
      <c r="BPB264" s="1"/>
      <c r="BPC264" s="1"/>
      <c r="BPD264" s="1"/>
      <c r="BPE264" s="1"/>
      <c r="BPF264" s="1"/>
      <c r="BPG264" s="1"/>
      <c r="BPH264" s="1"/>
      <c r="BPI264" s="1"/>
      <c r="BPJ264" s="1"/>
      <c r="BPK264" s="1"/>
      <c r="BPL264" s="1"/>
      <c r="BPM264" s="1"/>
      <c r="BPN264" s="1"/>
      <c r="BPO264" s="1"/>
      <c r="BPP264" s="1"/>
      <c r="BPQ264" s="1"/>
      <c r="BPR264" s="1"/>
      <c r="BPS264" s="1"/>
      <c r="BPT264" s="1"/>
      <c r="BPU264" s="1"/>
      <c r="BPV264" s="1"/>
      <c r="BPW264" s="1"/>
      <c r="BPX264" s="1"/>
      <c r="BPY264" s="1"/>
      <c r="BPZ264" s="1"/>
      <c r="BQA264" s="1"/>
      <c r="BQB264" s="1"/>
      <c r="BQC264" s="1"/>
      <c r="BQD264" s="1"/>
      <c r="BQE264" s="1"/>
      <c r="BQF264" s="1"/>
      <c r="BQG264" s="1"/>
      <c r="BQH264" s="1"/>
      <c r="BQI264" s="1"/>
      <c r="BQJ264" s="1"/>
      <c r="BQK264" s="1"/>
      <c r="BQL264" s="1"/>
      <c r="BQM264" s="1"/>
      <c r="BQN264" s="1"/>
      <c r="BQO264" s="1"/>
      <c r="BQP264" s="1"/>
      <c r="BQQ264" s="1"/>
      <c r="BQR264" s="1"/>
      <c r="BQS264" s="1"/>
      <c r="BQT264" s="1"/>
      <c r="BQU264" s="1"/>
      <c r="BQV264" s="1"/>
      <c r="BQW264" s="1"/>
      <c r="BQX264" s="1"/>
      <c r="BQY264" s="1"/>
      <c r="BQZ264" s="1"/>
      <c r="BRA264" s="1"/>
      <c r="BRB264" s="1"/>
      <c r="BRC264" s="1"/>
      <c r="BRD264" s="1"/>
      <c r="BRE264" s="1"/>
      <c r="BRF264" s="1"/>
      <c r="BRG264" s="1"/>
      <c r="BRH264" s="1"/>
      <c r="BRI264" s="1"/>
      <c r="BRJ264" s="1"/>
      <c r="BRK264" s="1"/>
      <c r="BRL264" s="1"/>
      <c r="BRM264" s="1"/>
      <c r="BRN264" s="1"/>
      <c r="BRO264" s="1"/>
      <c r="BRP264" s="1"/>
      <c r="BRQ264" s="1"/>
      <c r="BRR264" s="1"/>
      <c r="BRS264" s="1"/>
      <c r="BRT264" s="1"/>
      <c r="BRU264" s="1"/>
      <c r="BRV264" s="1"/>
      <c r="BRW264" s="1"/>
      <c r="BRX264" s="1"/>
      <c r="BRY264" s="1"/>
      <c r="BRZ264" s="1"/>
      <c r="BSA264" s="1"/>
      <c r="BSB264" s="1"/>
      <c r="BSC264" s="1"/>
      <c r="BSD264" s="1"/>
      <c r="BSE264" s="1"/>
      <c r="BSF264" s="1"/>
      <c r="BSG264" s="1"/>
      <c r="BSH264" s="1"/>
      <c r="BSI264" s="1"/>
      <c r="BSJ264" s="1"/>
      <c r="BSK264" s="1"/>
      <c r="BSL264" s="1"/>
      <c r="BSM264" s="1"/>
      <c r="BSN264" s="1"/>
      <c r="BSO264" s="1"/>
      <c r="BSP264" s="1"/>
      <c r="BSQ264" s="1"/>
      <c r="BSR264" s="1"/>
      <c r="BSS264" s="1"/>
      <c r="BST264" s="1"/>
      <c r="BSU264" s="1"/>
      <c r="BSV264" s="1"/>
      <c r="BSW264" s="1"/>
      <c r="BSX264" s="1"/>
      <c r="BSY264" s="1"/>
      <c r="BSZ264" s="1"/>
      <c r="BTA264" s="1"/>
      <c r="BTB264" s="1"/>
      <c r="BTC264" s="1"/>
      <c r="BTD264" s="1"/>
      <c r="BTE264" s="1"/>
      <c r="BTF264" s="1"/>
      <c r="BTG264" s="1"/>
      <c r="BTH264" s="1"/>
      <c r="BTI264" s="1"/>
      <c r="BTJ264" s="1"/>
      <c r="BTK264" s="1"/>
      <c r="BTL264" s="1"/>
      <c r="BTM264" s="1"/>
      <c r="BTN264" s="1"/>
      <c r="BTO264" s="1"/>
      <c r="BTP264" s="1"/>
      <c r="BTQ264" s="1"/>
      <c r="BTR264" s="1"/>
      <c r="BTS264" s="1"/>
      <c r="BTT264" s="1"/>
      <c r="BTU264" s="1"/>
      <c r="BTV264" s="1"/>
      <c r="BTW264" s="1"/>
      <c r="BTX264" s="1"/>
      <c r="BTY264" s="1"/>
      <c r="BTZ264" s="1"/>
      <c r="BUA264" s="1"/>
      <c r="BUB264" s="1"/>
      <c r="BUC264" s="1"/>
      <c r="BUD264" s="1"/>
      <c r="BUE264" s="1"/>
      <c r="BUF264" s="1"/>
      <c r="BUG264" s="1"/>
      <c r="BUH264" s="1"/>
      <c r="BUI264" s="1"/>
      <c r="BUJ264" s="1"/>
      <c r="BUK264" s="1"/>
      <c r="BUL264" s="1"/>
      <c r="BUM264" s="1"/>
      <c r="BUN264" s="1"/>
      <c r="BUO264" s="1"/>
      <c r="BUP264" s="1"/>
      <c r="BUQ264" s="1"/>
      <c r="BUR264" s="1"/>
      <c r="BUS264" s="1"/>
      <c r="BUT264" s="1"/>
      <c r="BUU264" s="1"/>
      <c r="BUV264" s="1"/>
      <c r="BUW264" s="1"/>
      <c r="BUX264" s="1"/>
      <c r="BUY264" s="1"/>
      <c r="BUZ264" s="1"/>
      <c r="BVA264" s="1"/>
      <c r="BVB264" s="1"/>
      <c r="BVC264" s="1"/>
      <c r="BVD264" s="1"/>
      <c r="BVE264" s="1"/>
      <c r="BVF264" s="1"/>
      <c r="BVG264" s="1"/>
      <c r="BVH264" s="1"/>
      <c r="BVI264" s="1"/>
      <c r="BVJ264" s="1"/>
      <c r="BVK264" s="1"/>
      <c r="BVL264" s="1"/>
      <c r="BVM264" s="1"/>
      <c r="BVN264" s="1"/>
      <c r="BVO264" s="1"/>
      <c r="BVP264" s="1"/>
      <c r="BVQ264" s="1"/>
      <c r="BVR264" s="1"/>
      <c r="BVS264" s="1"/>
      <c r="BVT264" s="1"/>
      <c r="BVU264" s="1"/>
      <c r="BVV264" s="1"/>
      <c r="BVW264" s="1"/>
      <c r="BVX264" s="1"/>
      <c r="BVY264" s="1"/>
      <c r="BVZ264" s="1"/>
      <c r="BWA264" s="1"/>
      <c r="BWB264" s="1"/>
      <c r="BWC264" s="1"/>
      <c r="BWD264" s="1"/>
      <c r="BWE264" s="1"/>
      <c r="BWF264" s="1"/>
      <c r="BWG264" s="1"/>
      <c r="BWH264" s="1"/>
      <c r="BWI264" s="1"/>
      <c r="BWJ264" s="1"/>
      <c r="BWK264" s="1"/>
      <c r="BWL264" s="1"/>
      <c r="BWM264" s="1"/>
      <c r="BWN264" s="1"/>
      <c r="BWO264" s="1"/>
      <c r="BWP264" s="1"/>
      <c r="BWQ264" s="1"/>
      <c r="BWR264" s="1"/>
      <c r="BWS264" s="1"/>
      <c r="BWT264" s="1"/>
      <c r="BWU264" s="1"/>
      <c r="BWV264" s="1"/>
      <c r="BWW264" s="1"/>
      <c r="BWX264" s="1"/>
      <c r="BWY264" s="1"/>
      <c r="BWZ264" s="1"/>
      <c r="BXA264" s="1"/>
      <c r="BXB264" s="1"/>
      <c r="BXC264" s="1"/>
      <c r="BXD264" s="1"/>
      <c r="BXE264" s="1"/>
      <c r="BXF264" s="1"/>
      <c r="BXG264" s="1"/>
      <c r="BXH264" s="1"/>
      <c r="BXI264" s="1"/>
      <c r="BXJ264" s="1"/>
      <c r="BXK264" s="1"/>
      <c r="BXL264" s="1"/>
      <c r="BXM264" s="1"/>
      <c r="BXN264" s="1"/>
      <c r="BXO264" s="1"/>
      <c r="BXP264" s="1"/>
      <c r="BXQ264" s="1"/>
      <c r="BXR264" s="1"/>
      <c r="BXS264" s="1"/>
      <c r="BXT264" s="1"/>
      <c r="BXU264" s="1"/>
      <c r="BXV264" s="1"/>
      <c r="BXW264" s="1"/>
      <c r="BXX264" s="1"/>
      <c r="BXY264" s="1"/>
      <c r="BXZ264" s="1"/>
      <c r="BYA264" s="1"/>
      <c r="BYB264" s="1"/>
      <c r="BYC264" s="1"/>
      <c r="BYD264" s="1"/>
      <c r="BYE264" s="1"/>
      <c r="BYF264" s="1"/>
      <c r="BYG264" s="1"/>
      <c r="BYH264" s="1"/>
      <c r="BYI264" s="1"/>
      <c r="BYJ264" s="1"/>
      <c r="BYK264" s="1"/>
      <c r="BYL264" s="1"/>
      <c r="BYM264" s="1"/>
      <c r="BYN264" s="1"/>
      <c r="BYO264" s="1"/>
      <c r="BYP264" s="1"/>
      <c r="BYQ264" s="1"/>
      <c r="BYR264" s="1"/>
      <c r="BYS264" s="1"/>
      <c r="BYT264" s="1"/>
      <c r="BYU264" s="1"/>
      <c r="BYV264" s="1"/>
      <c r="BYW264" s="1"/>
      <c r="BYX264" s="1"/>
      <c r="BYY264" s="1"/>
      <c r="BYZ264" s="1"/>
      <c r="BZA264" s="1"/>
      <c r="BZB264" s="1"/>
      <c r="BZC264" s="1"/>
      <c r="BZD264" s="1"/>
      <c r="BZE264" s="1"/>
      <c r="BZF264" s="1"/>
      <c r="BZG264" s="1"/>
      <c r="BZH264" s="1"/>
      <c r="BZI264" s="1"/>
      <c r="BZJ264" s="1"/>
      <c r="BZK264" s="1"/>
      <c r="BZL264" s="1"/>
      <c r="BZM264" s="1"/>
      <c r="BZN264" s="1"/>
      <c r="BZO264" s="1"/>
      <c r="BZP264" s="1"/>
      <c r="BZQ264" s="1"/>
      <c r="BZR264" s="1"/>
      <c r="BZS264" s="1"/>
      <c r="BZT264" s="1"/>
      <c r="BZU264" s="1"/>
      <c r="BZV264" s="1"/>
      <c r="BZW264" s="1"/>
      <c r="BZX264" s="1"/>
      <c r="BZY264" s="1"/>
      <c r="BZZ264" s="1"/>
      <c r="CAA264" s="1"/>
      <c r="CAB264" s="1"/>
      <c r="CAC264" s="1"/>
      <c r="CAD264" s="1"/>
      <c r="CAE264" s="1"/>
      <c r="CAF264" s="1"/>
      <c r="CAG264" s="1"/>
      <c r="CAH264" s="1"/>
      <c r="CAI264" s="1"/>
      <c r="CAJ264" s="1"/>
      <c r="CAK264" s="1"/>
      <c r="CAL264" s="1"/>
      <c r="CAM264" s="1"/>
      <c r="CAN264" s="1"/>
      <c r="CAO264" s="1"/>
      <c r="CAP264" s="1"/>
      <c r="CAQ264" s="1"/>
      <c r="CAR264" s="1"/>
      <c r="CAS264" s="1"/>
      <c r="CAT264" s="1"/>
      <c r="CAU264" s="1"/>
      <c r="CAV264" s="1"/>
      <c r="CAW264" s="1"/>
      <c r="CAX264" s="1"/>
      <c r="CAY264" s="1"/>
      <c r="CAZ264" s="1"/>
      <c r="CBA264" s="1"/>
      <c r="CBB264" s="1"/>
      <c r="CBC264" s="1"/>
      <c r="CBD264" s="1"/>
      <c r="CBE264" s="1"/>
      <c r="CBF264" s="1"/>
      <c r="CBG264" s="1"/>
      <c r="CBH264" s="1"/>
      <c r="CBI264" s="1"/>
      <c r="CBJ264" s="1"/>
      <c r="CBK264" s="1"/>
      <c r="CBL264" s="1"/>
      <c r="CBM264" s="1"/>
      <c r="CBN264" s="1"/>
      <c r="CBO264" s="1"/>
      <c r="CBP264" s="1"/>
      <c r="CBQ264" s="1"/>
      <c r="CBR264" s="1"/>
      <c r="CBS264" s="1"/>
      <c r="CBT264" s="1"/>
      <c r="CBU264" s="1"/>
      <c r="CBV264" s="1"/>
      <c r="CBW264" s="1"/>
      <c r="CBX264" s="1"/>
      <c r="CBY264" s="1"/>
      <c r="CBZ264" s="1"/>
      <c r="CCA264" s="1"/>
      <c r="CCB264" s="1"/>
      <c r="CCC264" s="1"/>
      <c r="CCD264" s="1"/>
      <c r="CCE264" s="1"/>
      <c r="CCF264" s="1"/>
      <c r="CCG264" s="1"/>
      <c r="CCH264" s="1"/>
      <c r="CCI264" s="1"/>
      <c r="CCJ264" s="1"/>
      <c r="CCK264" s="1"/>
      <c r="CCL264" s="1"/>
      <c r="CCM264" s="1"/>
      <c r="CCN264" s="1"/>
      <c r="CCO264" s="1"/>
      <c r="CCP264" s="1"/>
      <c r="CCQ264" s="1"/>
      <c r="CCR264" s="1"/>
      <c r="CCS264" s="1"/>
      <c r="CCT264" s="1"/>
      <c r="CCU264" s="1"/>
      <c r="CCV264" s="1"/>
      <c r="CCW264" s="1"/>
      <c r="CCX264" s="1"/>
      <c r="CCY264" s="1"/>
      <c r="CCZ264" s="1"/>
      <c r="CDA264" s="1"/>
      <c r="CDB264" s="1"/>
      <c r="CDC264" s="1"/>
      <c r="CDD264" s="1"/>
      <c r="CDE264" s="1"/>
      <c r="CDF264" s="1"/>
      <c r="CDG264" s="1"/>
      <c r="CDH264" s="1"/>
      <c r="CDI264" s="1"/>
      <c r="CDJ264" s="1"/>
      <c r="CDK264" s="1"/>
      <c r="CDL264" s="1"/>
      <c r="CDM264" s="1"/>
      <c r="CDN264" s="1"/>
      <c r="CDO264" s="1"/>
      <c r="CDP264" s="1"/>
      <c r="CDQ264" s="1"/>
      <c r="CDR264" s="1"/>
      <c r="CDS264" s="1"/>
      <c r="CDT264" s="1"/>
      <c r="CDU264" s="1"/>
      <c r="CDV264" s="1"/>
      <c r="CDW264" s="1"/>
      <c r="CDX264" s="1"/>
      <c r="CDY264" s="1"/>
      <c r="CDZ264" s="1"/>
      <c r="CEA264" s="1"/>
      <c r="CEB264" s="1"/>
      <c r="CEC264" s="1"/>
      <c r="CED264" s="1"/>
      <c r="CEE264" s="1"/>
      <c r="CEF264" s="1"/>
      <c r="CEG264" s="1"/>
      <c r="CEH264" s="1"/>
      <c r="CEI264" s="1"/>
      <c r="CEJ264" s="1"/>
      <c r="CEK264" s="1"/>
      <c r="CEL264" s="1"/>
      <c r="CEM264" s="1"/>
      <c r="CEN264" s="1"/>
      <c r="CEO264" s="1"/>
      <c r="CEP264" s="1"/>
      <c r="CEQ264" s="1"/>
      <c r="CER264" s="1"/>
      <c r="CES264" s="1"/>
      <c r="CET264" s="1"/>
      <c r="CEU264" s="1"/>
      <c r="CEV264" s="1"/>
      <c r="CEW264" s="1"/>
      <c r="CEX264" s="1"/>
      <c r="CEY264" s="1"/>
      <c r="CEZ264" s="1"/>
      <c r="CFA264" s="1"/>
      <c r="CFB264" s="1"/>
      <c r="CFC264" s="1"/>
      <c r="CFD264" s="1"/>
      <c r="CFE264" s="1"/>
      <c r="CFF264" s="1"/>
      <c r="CFG264" s="1"/>
      <c r="CFH264" s="1"/>
      <c r="CFI264" s="1"/>
      <c r="CFJ264" s="1"/>
      <c r="CFK264" s="1"/>
      <c r="CFL264" s="1"/>
      <c r="CFM264" s="1"/>
      <c r="CFN264" s="1"/>
      <c r="CFO264" s="1"/>
      <c r="CFP264" s="1"/>
      <c r="CFQ264" s="1"/>
      <c r="CFR264" s="1"/>
      <c r="CFS264" s="1"/>
      <c r="CFT264" s="1"/>
      <c r="CFU264" s="1"/>
      <c r="CFV264" s="1"/>
      <c r="CFW264" s="1"/>
      <c r="CFX264" s="1"/>
      <c r="CFY264" s="1"/>
      <c r="CFZ264" s="1"/>
      <c r="CGA264" s="1"/>
      <c r="CGB264" s="1"/>
      <c r="CGC264" s="1"/>
      <c r="CGD264" s="1"/>
      <c r="CGE264" s="1"/>
      <c r="CGF264" s="1"/>
      <c r="CGG264" s="1"/>
      <c r="CGH264" s="1"/>
      <c r="CGI264" s="1"/>
      <c r="CGJ264" s="1"/>
      <c r="CGK264" s="1"/>
      <c r="CGL264" s="1"/>
      <c r="CGM264" s="1"/>
      <c r="CGN264" s="1"/>
      <c r="CGO264" s="1"/>
      <c r="CGP264" s="1"/>
      <c r="CGQ264" s="1"/>
      <c r="CGR264" s="1"/>
      <c r="CGS264" s="1"/>
      <c r="CGT264" s="1"/>
      <c r="CGU264" s="1"/>
      <c r="CGV264" s="1"/>
      <c r="CGW264" s="1"/>
      <c r="CGX264" s="1"/>
      <c r="CGY264" s="1"/>
      <c r="CGZ264" s="1"/>
      <c r="CHA264" s="1"/>
      <c r="CHB264" s="1"/>
      <c r="CHC264" s="1"/>
      <c r="CHD264" s="1"/>
      <c r="CHE264" s="1"/>
      <c r="CHF264" s="1"/>
      <c r="CHG264" s="1"/>
      <c r="CHH264" s="1"/>
      <c r="CHI264" s="1"/>
      <c r="CHJ264" s="1"/>
      <c r="CHK264" s="1"/>
      <c r="CHL264" s="1"/>
      <c r="CHM264" s="1"/>
      <c r="CHN264" s="1"/>
      <c r="CHO264" s="1"/>
      <c r="CHP264" s="1"/>
      <c r="CHQ264" s="1"/>
      <c r="CHR264" s="1"/>
      <c r="CHS264" s="1"/>
      <c r="CHT264" s="1"/>
      <c r="CHU264" s="1"/>
      <c r="CHV264" s="1"/>
      <c r="CHW264" s="1"/>
      <c r="CHX264" s="1"/>
      <c r="CHY264" s="1"/>
      <c r="CHZ264" s="1"/>
      <c r="CIA264" s="1"/>
      <c r="CIB264" s="1"/>
      <c r="CIC264" s="1"/>
      <c r="CID264" s="1"/>
      <c r="CIE264" s="1"/>
      <c r="CIF264" s="1"/>
      <c r="CIG264" s="1"/>
      <c r="CIH264" s="1"/>
      <c r="CII264" s="1"/>
      <c r="CIJ264" s="1"/>
      <c r="CIK264" s="1"/>
      <c r="CIL264" s="1"/>
      <c r="CIM264" s="1"/>
      <c r="CIN264" s="1"/>
      <c r="CIO264" s="1"/>
      <c r="CIP264" s="1"/>
      <c r="CIQ264" s="1"/>
      <c r="CIR264" s="1"/>
      <c r="CIS264" s="1"/>
      <c r="CIT264" s="1"/>
      <c r="CIU264" s="1"/>
      <c r="CIV264" s="1"/>
      <c r="CIW264" s="1"/>
      <c r="CIX264" s="1"/>
      <c r="CIY264" s="1"/>
      <c r="CIZ264" s="1"/>
      <c r="CJA264" s="1"/>
      <c r="CJB264" s="1"/>
      <c r="CJC264" s="1"/>
      <c r="CJD264" s="1"/>
      <c r="CJE264" s="1"/>
      <c r="CJF264" s="1"/>
      <c r="CJG264" s="1"/>
      <c r="CJH264" s="1"/>
      <c r="CJI264" s="1"/>
      <c r="CJJ264" s="1"/>
      <c r="CJK264" s="1"/>
      <c r="CJL264" s="1"/>
      <c r="CJM264" s="1"/>
      <c r="CJN264" s="1"/>
      <c r="CJO264" s="1"/>
      <c r="CJP264" s="1"/>
      <c r="CJQ264" s="1"/>
      <c r="CJR264" s="1"/>
      <c r="CJS264" s="1"/>
      <c r="CJT264" s="1"/>
      <c r="CJU264" s="1"/>
      <c r="CJV264" s="1"/>
      <c r="CJW264" s="1"/>
      <c r="CJX264" s="1"/>
      <c r="CJY264" s="1"/>
      <c r="CJZ264" s="1"/>
      <c r="CKA264" s="1"/>
      <c r="CKB264" s="1"/>
      <c r="CKC264" s="1"/>
      <c r="CKD264" s="1"/>
      <c r="CKE264" s="1"/>
      <c r="CKF264" s="1"/>
      <c r="CKG264" s="1"/>
      <c r="CKH264" s="1"/>
      <c r="CKI264" s="1"/>
      <c r="CKJ264" s="1"/>
      <c r="CKK264" s="1"/>
      <c r="CKL264" s="1"/>
      <c r="CKM264" s="1"/>
      <c r="CKN264" s="1"/>
      <c r="CKO264" s="1"/>
      <c r="CKP264" s="1"/>
      <c r="CKQ264" s="1"/>
      <c r="CKR264" s="1"/>
      <c r="CKS264" s="1"/>
      <c r="CKT264" s="1"/>
      <c r="CKU264" s="1"/>
      <c r="CKV264" s="1"/>
      <c r="CKW264" s="1"/>
      <c r="CKX264" s="1"/>
      <c r="CKY264" s="1"/>
      <c r="CKZ264" s="1"/>
      <c r="CLA264" s="1"/>
      <c r="CLB264" s="1"/>
      <c r="CLC264" s="1"/>
      <c r="CLD264" s="1"/>
      <c r="CLE264" s="1"/>
      <c r="CLF264" s="1"/>
      <c r="CLG264" s="1"/>
      <c r="CLH264" s="1"/>
      <c r="CLI264" s="1"/>
      <c r="CLJ264" s="1"/>
      <c r="CLK264" s="1"/>
      <c r="CLL264" s="1"/>
      <c r="CLM264" s="1"/>
      <c r="CLN264" s="1"/>
      <c r="CLO264" s="1"/>
      <c r="CLP264" s="1"/>
      <c r="CLQ264" s="1"/>
      <c r="CLR264" s="1"/>
      <c r="CLS264" s="1"/>
      <c r="CLT264" s="1"/>
      <c r="CLU264" s="1"/>
      <c r="CLV264" s="1"/>
      <c r="CLW264" s="1"/>
      <c r="CLX264" s="1"/>
      <c r="CLY264" s="1"/>
      <c r="CLZ264" s="1"/>
      <c r="CMA264" s="1"/>
      <c r="CMB264" s="1"/>
      <c r="CMC264" s="1"/>
      <c r="CMD264" s="1"/>
      <c r="CME264" s="1"/>
      <c r="CMF264" s="1"/>
      <c r="CMG264" s="1"/>
      <c r="CMH264" s="1"/>
      <c r="CMI264" s="1"/>
      <c r="CMJ264" s="1"/>
      <c r="CMK264" s="1"/>
      <c r="CML264" s="1"/>
      <c r="CMM264" s="1"/>
      <c r="CMN264" s="1"/>
      <c r="CMO264" s="1"/>
      <c r="CMP264" s="1"/>
      <c r="CMQ264" s="1"/>
      <c r="CMR264" s="1"/>
      <c r="CMS264" s="1"/>
      <c r="CMT264" s="1"/>
      <c r="CMU264" s="1"/>
      <c r="CMV264" s="1"/>
      <c r="CMW264" s="1"/>
      <c r="CMX264" s="1"/>
      <c r="CMY264" s="1"/>
      <c r="CMZ264" s="1"/>
      <c r="CNA264" s="1"/>
      <c r="CNB264" s="1"/>
      <c r="CNC264" s="1"/>
      <c r="CND264" s="1"/>
      <c r="CNE264" s="1"/>
      <c r="CNF264" s="1"/>
      <c r="CNG264" s="1"/>
      <c r="CNH264" s="1"/>
      <c r="CNI264" s="1"/>
      <c r="CNJ264" s="1"/>
      <c r="CNK264" s="1"/>
      <c r="CNL264" s="1"/>
      <c r="CNM264" s="1"/>
      <c r="CNN264" s="1"/>
      <c r="CNO264" s="1"/>
      <c r="CNP264" s="1"/>
      <c r="CNQ264" s="1"/>
      <c r="CNR264" s="1"/>
      <c r="CNS264" s="1"/>
      <c r="CNT264" s="1"/>
      <c r="CNU264" s="1"/>
      <c r="CNV264" s="1"/>
      <c r="CNW264" s="1"/>
      <c r="CNX264" s="1"/>
      <c r="CNY264" s="1"/>
      <c r="CNZ264" s="1"/>
      <c r="COA264" s="1"/>
      <c r="COB264" s="1"/>
      <c r="COC264" s="1"/>
      <c r="COD264" s="1"/>
      <c r="COE264" s="1"/>
      <c r="COF264" s="1"/>
      <c r="COG264" s="1"/>
      <c r="COH264" s="1"/>
      <c r="COI264" s="1"/>
      <c r="COJ264" s="1"/>
      <c r="COK264" s="1"/>
      <c r="COL264" s="1"/>
      <c r="COM264" s="1"/>
      <c r="CON264" s="1"/>
      <c r="COO264" s="1"/>
      <c r="COP264" s="1"/>
      <c r="COQ264" s="1"/>
      <c r="COR264" s="1"/>
      <c r="COS264" s="1"/>
      <c r="COT264" s="1"/>
      <c r="COU264" s="1"/>
      <c r="COV264" s="1"/>
      <c r="COW264" s="1"/>
      <c r="COX264" s="1"/>
      <c r="COY264" s="1"/>
      <c r="COZ264" s="1"/>
      <c r="CPA264" s="1"/>
      <c r="CPB264" s="1"/>
      <c r="CPC264" s="1"/>
      <c r="CPD264" s="1"/>
      <c r="CPE264" s="1"/>
      <c r="CPF264" s="1"/>
      <c r="CPG264" s="1"/>
      <c r="CPH264" s="1"/>
      <c r="CPI264" s="1"/>
      <c r="CPJ264" s="1"/>
      <c r="CPK264" s="1"/>
      <c r="CPL264" s="1"/>
      <c r="CPM264" s="1"/>
      <c r="CPN264" s="1"/>
      <c r="CPO264" s="1"/>
      <c r="CPP264" s="1"/>
      <c r="CPQ264" s="1"/>
      <c r="CPR264" s="1"/>
      <c r="CPS264" s="1"/>
      <c r="CPT264" s="1"/>
      <c r="CPU264" s="1"/>
      <c r="CPV264" s="1"/>
      <c r="CPW264" s="1"/>
      <c r="CPX264" s="1"/>
      <c r="CPY264" s="1"/>
      <c r="CPZ264" s="1"/>
      <c r="CQA264" s="1"/>
      <c r="CQB264" s="1"/>
      <c r="CQC264" s="1"/>
      <c r="CQD264" s="1"/>
      <c r="CQE264" s="1"/>
      <c r="CQF264" s="1"/>
      <c r="CQG264" s="1"/>
      <c r="CQH264" s="1"/>
      <c r="CQI264" s="1"/>
      <c r="CQJ264" s="1"/>
      <c r="CQK264" s="1"/>
      <c r="CQL264" s="1"/>
      <c r="CQM264" s="1"/>
      <c r="CQN264" s="1"/>
      <c r="CQO264" s="1"/>
      <c r="CQP264" s="1"/>
      <c r="CQQ264" s="1"/>
      <c r="CQR264" s="1"/>
      <c r="CQS264" s="1"/>
      <c r="CQT264" s="1"/>
      <c r="CQU264" s="1"/>
      <c r="CQV264" s="1"/>
      <c r="CQW264" s="1"/>
      <c r="CQX264" s="1"/>
      <c r="CQY264" s="1"/>
      <c r="CQZ264" s="1"/>
      <c r="CRA264" s="1"/>
      <c r="CRB264" s="1"/>
      <c r="CRC264" s="1"/>
      <c r="CRD264" s="1"/>
      <c r="CRE264" s="1"/>
      <c r="CRF264" s="1"/>
      <c r="CRG264" s="1"/>
      <c r="CRH264" s="1"/>
      <c r="CRI264" s="1"/>
      <c r="CRJ264" s="1"/>
      <c r="CRK264" s="1"/>
      <c r="CRL264" s="1"/>
      <c r="CRM264" s="1"/>
      <c r="CRN264" s="1"/>
      <c r="CRO264" s="1"/>
      <c r="CRP264" s="1"/>
      <c r="CRQ264" s="1"/>
      <c r="CRR264" s="1"/>
      <c r="CRS264" s="1"/>
      <c r="CRT264" s="1"/>
      <c r="CRU264" s="1"/>
      <c r="CRV264" s="1"/>
      <c r="CRW264" s="1"/>
      <c r="CRX264" s="1"/>
      <c r="CRY264" s="1"/>
      <c r="CRZ264" s="1"/>
      <c r="CSA264" s="1"/>
      <c r="CSB264" s="1"/>
      <c r="CSC264" s="1"/>
      <c r="CSD264" s="1"/>
      <c r="CSE264" s="1"/>
      <c r="CSF264" s="1"/>
      <c r="CSG264" s="1"/>
      <c r="CSH264" s="1"/>
      <c r="CSI264" s="1"/>
      <c r="CSJ264" s="1"/>
      <c r="CSK264" s="1"/>
      <c r="CSL264" s="1"/>
      <c r="CSM264" s="1"/>
      <c r="CSN264" s="1"/>
      <c r="CSO264" s="1"/>
      <c r="CSP264" s="1"/>
      <c r="CSQ264" s="1"/>
      <c r="CSR264" s="1"/>
      <c r="CSS264" s="1"/>
      <c r="CST264" s="1"/>
      <c r="CSU264" s="1"/>
      <c r="CSV264" s="1"/>
      <c r="CSW264" s="1"/>
      <c r="CSX264" s="1"/>
      <c r="CSY264" s="1"/>
      <c r="CSZ264" s="1"/>
      <c r="CTA264" s="1"/>
      <c r="CTB264" s="1"/>
      <c r="CTC264" s="1"/>
      <c r="CTD264" s="1"/>
      <c r="CTE264" s="1"/>
      <c r="CTF264" s="1"/>
      <c r="CTG264" s="1"/>
      <c r="CTH264" s="1"/>
      <c r="CTI264" s="1"/>
      <c r="CTJ264" s="1"/>
      <c r="CTK264" s="1"/>
      <c r="CTL264" s="1"/>
      <c r="CTM264" s="1"/>
      <c r="CTN264" s="1"/>
      <c r="CTO264" s="1"/>
      <c r="CTP264" s="1"/>
      <c r="CTQ264" s="1"/>
      <c r="CTR264" s="1"/>
      <c r="CTS264" s="1"/>
      <c r="CTT264" s="1"/>
      <c r="CTU264" s="1"/>
      <c r="CTV264" s="1"/>
      <c r="CTW264" s="1"/>
      <c r="CTX264" s="1"/>
      <c r="CTY264" s="1"/>
      <c r="CTZ264" s="1"/>
      <c r="CUA264" s="1"/>
      <c r="CUB264" s="1"/>
      <c r="CUC264" s="1"/>
      <c r="CUD264" s="1"/>
      <c r="CUE264" s="1"/>
      <c r="CUF264" s="1"/>
      <c r="CUG264" s="1"/>
      <c r="CUH264" s="1"/>
      <c r="CUI264" s="1"/>
      <c r="CUJ264" s="1"/>
      <c r="CUK264" s="1"/>
      <c r="CUL264" s="1"/>
      <c r="CUM264" s="1"/>
      <c r="CUN264" s="1"/>
      <c r="CUO264" s="1"/>
      <c r="CUP264" s="1"/>
      <c r="CUQ264" s="1"/>
      <c r="CUR264" s="1"/>
      <c r="CUS264" s="1"/>
      <c r="CUT264" s="1"/>
      <c r="CUU264" s="1"/>
      <c r="CUV264" s="1"/>
      <c r="CUW264" s="1"/>
      <c r="CUX264" s="1"/>
      <c r="CUY264" s="1"/>
      <c r="CUZ264" s="1"/>
      <c r="CVA264" s="1"/>
      <c r="CVB264" s="1"/>
      <c r="CVC264" s="1"/>
      <c r="CVD264" s="1"/>
      <c r="CVE264" s="1"/>
      <c r="CVF264" s="1"/>
      <c r="CVG264" s="1"/>
      <c r="CVH264" s="1"/>
      <c r="CVI264" s="1"/>
      <c r="CVJ264" s="1"/>
      <c r="CVK264" s="1"/>
      <c r="CVL264" s="1"/>
      <c r="CVM264" s="1"/>
      <c r="CVN264" s="1"/>
      <c r="CVO264" s="1"/>
      <c r="CVP264" s="1"/>
      <c r="CVQ264" s="1"/>
      <c r="CVR264" s="1"/>
      <c r="CVS264" s="1"/>
      <c r="CVT264" s="1"/>
      <c r="CVU264" s="1"/>
      <c r="CVV264" s="1"/>
      <c r="CVW264" s="1"/>
      <c r="CVX264" s="1"/>
      <c r="CVY264" s="1"/>
      <c r="CVZ264" s="1"/>
      <c r="CWA264" s="1"/>
      <c r="CWB264" s="1"/>
      <c r="CWC264" s="1"/>
      <c r="CWD264" s="1"/>
      <c r="CWE264" s="1"/>
      <c r="CWF264" s="1"/>
      <c r="CWG264" s="1"/>
      <c r="CWH264" s="1"/>
      <c r="CWI264" s="1"/>
      <c r="CWJ264" s="1"/>
      <c r="CWK264" s="1"/>
      <c r="CWL264" s="1"/>
      <c r="CWM264" s="1"/>
      <c r="CWN264" s="1"/>
      <c r="CWO264" s="1"/>
      <c r="CWP264" s="1"/>
      <c r="CWQ264" s="1"/>
      <c r="CWR264" s="1"/>
      <c r="CWS264" s="1"/>
      <c r="CWT264" s="1"/>
      <c r="CWU264" s="1"/>
      <c r="CWV264" s="1"/>
      <c r="CWW264" s="1"/>
      <c r="CWX264" s="1"/>
      <c r="CWY264" s="1"/>
      <c r="CWZ264" s="1"/>
      <c r="CXA264" s="1"/>
      <c r="CXB264" s="1"/>
      <c r="CXC264" s="1"/>
      <c r="CXD264" s="1"/>
      <c r="CXE264" s="1"/>
      <c r="CXF264" s="1"/>
      <c r="CXG264" s="1"/>
      <c r="CXH264" s="1"/>
      <c r="CXI264" s="1"/>
      <c r="CXJ264" s="1"/>
      <c r="CXK264" s="1"/>
      <c r="CXL264" s="1"/>
      <c r="CXM264" s="1"/>
      <c r="CXN264" s="1"/>
      <c r="CXO264" s="1"/>
      <c r="CXP264" s="1"/>
      <c r="CXQ264" s="1"/>
      <c r="CXR264" s="1"/>
      <c r="CXS264" s="1"/>
      <c r="CXT264" s="1"/>
      <c r="CXU264" s="1"/>
      <c r="CXV264" s="1"/>
      <c r="CXW264" s="1"/>
      <c r="CXX264" s="1"/>
      <c r="CXY264" s="1"/>
      <c r="CXZ264" s="1"/>
      <c r="CYA264" s="1"/>
      <c r="CYB264" s="1"/>
      <c r="CYC264" s="1"/>
      <c r="CYD264" s="1"/>
      <c r="CYE264" s="1"/>
      <c r="CYF264" s="1"/>
      <c r="CYG264" s="1"/>
      <c r="CYH264" s="1"/>
      <c r="CYI264" s="1"/>
      <c r="CYJ264" s="1"/>
      <c r="CYK264" s="1"/>
      <c r="CYL264" s="1"/>
      <c r="CYM264" s="1"/>
      <c r="CYN264" s="1"/>
      <c r="CYO264" s="1"/>
      <c r="CYP264" s="1"/>
      <c r="CYQ264" s="1"/>
      <c r="CYR264" s="1"/>
      <c r="CYS264" s="1"/>
      <c r="CYT264" s="1"/>
      <c r="CYU264" s="1"/>
      <c r="CYV264" s="1"/>
      <c r="CYW264" s="1"/>
      <c r="CYX264" s="1"/>
      <c r="CYY264" s="1"/>
      <c r="CYZ264" s="1"/>
      <c r="CZA264" s="1"/>
      <c r="CZB264" s="1"/>
      <c r="CZC264" s="1"/>
      <c r="CZD264" s="1"/>
      <c r="CZE264" s="1"/>
      <c r="CZF264" s="1"/>
      <c r="CZG264" s="1"/>
      <c r="CZH264" s="1"/>
      <c r="CZI264" s="1"/>
      <c r="CZJ264" s="1"/>
      <c r="CZK264" s="1"/>
      <c r="CZL264" s="1"/>
      <c r="CZM264" s="1"/>
      <c r="CZN264" s="1"/>
      <c r="CZO264" s="1"/>
      <c r="CZP264" s="1"/>
      <c r="CZQ264" s="1"/>
      <c r="CZR264" s="1"/>
      <c r="CZS264" s="1"/>
      <c r="CZT264" s="1"/>
      <c r="CZU264" s="1"/>
      <c r="CZV264" s="1"/>
      <c r="CZW264" s="1"/>
      <c r="CZX264" s="1"/>
      <c r="CZY264" s="1"/>
      <c r="CZZ264" s="1"/>
      <c r="DAA264" s="1"/>
      <c r="DAB264" s="1"/>
      <c r="DAC264" s="1"/>
      <c r="DAD264" s="1"/>
      <c r="DAE264" s="1"/>
      <c r="DAF264" s="1"/>
      <c r="DAG264" s="1"/>
      <c r="DAH264" s="1"/>
      <c r="DAI264" s="1"/>
      <c r="DAJ264" s="1"/>
      <c r="DAK264" s="1"/>
      <c r="DAL264" s="1"/>
      <c r="DAM264" s="1"/>
      <c r="DAN264" s="1"/>
      <c r="DAO264" s="1"/>
      <c r="DAP264" s="1"/>
      <c r="DAQ264" s="1"/>
      <c r="DAR264" s="1"/>
      <c r="DAS264" s="1"/>
      <c r="DAT264" s="1"/>
      <c r="DAU264" s="1"/>
      <c r="DAV264" s="1"/>
      <c r="DAW264" s="1"/>
      <c r="DAX264" s="1"/>
      <c r="DAY264" s="1"/>
      <c r="DAZ264" s="1"/>
      <c r="DBA264" s="1"/>
      <c r="DBB264" s="1"/>
      <c r="DBC264" s="1"/>
      <c r="DBD264" s="1"/>
      <c r="DBE264" s="1"/>
      <c r="DBF264" s="1"/>
      <c r="DBG264" s="1"/>
      <c r="DBH264" s="1"/>
      <c r="DBI264" s="1"/>
      <c r="DBJ264" s="1"/>
      <c r="DBK264" s="1"/>
      <c r="DBL264" s="1"/>
      <c r="DBM264" s="1"/>
      <c r="DBN264" s="1"/>
      <c r="DBO264" s="1"/>
      <c r="DBP264" s="1"/>
      <c r="DBQ264" s="1"/>
      <c r="DBR264" s="1"/>
      <c r="DBS264" s="1"/>
      <c r="DBT264" s="1"/>
      <c r="DBU264" s="1"/>
      <c r="DBV264" s="1"/>
      <c r="DBW264" s="1"/>
      <c r="DBX264" s="1"/>
      <c r="DBY264" s="1"/>
      <c r="DBZ264" s="1"/>
      <c r="DCA264" s="1"/>
      <c r="DCB264" s="1"/>
      <c r="DCC264" s="1"/>
      <c r="DCD264" s="1"/>
      <c r="DCE264" s="1"/>
      <c r="DCF264" s="1"/>
      <c r="DCG264" s="1"/>
      <c r="DCH264" s="1"/>
      <c r="DCI264" s="1"/>
      <c r="DCJ264" s="1"/>
      <c r="DCK264" s="1"/>
      <c r="DCL264" s="1"/>
      <c r="DCM264" s="1"/>
      <c r="DCN264" s="1"/>
      <c r="DCO264" s="1"/>
      <c r="DCP264" s="1"/>
      <c r="DCQ264" s="1"/>
      <c r="DCR264" s="1"/>
      <c r="DCS264" s="1"/>
      <c r="DCT264" s="1"/>
      <c r="DCU264" s="1"/>
      <c r="DCV264" s="1"/>
      <c r="DCW264" s="1"/>
      <c r="DCX264" s="1"/>
      <c r="DCY264" s="1"/>
      <c r="DCZ264" s="1"/>
      <c r="DDA264" s="1"/>
      <c r="DDB264" s="1"/>
      <c r="DDC264" s="1"/>
      <c r="DDD264" s="1"/>
      <c r="DDE264" s="1"/>
      <c r="DDF264" s="1"/>
      <c r="DDG264" s="1"/>
      <c r="DDH264" s="1"/>
      <c r="DDI264" s="1"/>
      <c r="DDJ264" s="1"/>
      <c r="DDK264" s="1"/>
      <c r="DDL264" s="1"/>
      <c r="DDM264" s="1"/>
      <c r="DDN264" s="1"/>
      <c r="DDO264" s="1"/>
      <c r="DDP264" s="1"/>
      <c r="DDQ264" s="1"/>
      <c r="DDR264" s="1"/>
      <c r="DDS264" s="1"/>
      <c r="DDT264" s="1"/>
      <c r="DDU264" s="1"/>
      <c r="DDV264" s="1"/>
      <c r="DDW264" s="1"/>
      <c r="DDX264" s="1"/>
      <c r="DDY264" s="1"/>
      <c r="DDZ264" s="1"/>
      <c r="DEA264" s="1"/>
      <c r="DEB264" s="1"/>
      <c r="DEC264" s="1"/>
      <c r="DED264" s="1"/>
      <c r="DEE264" s="1"/>
      <c r="DEF264" s="1"/>
      <c r="DEG264" s="1"/>
      <c r="DEH264" s="1"/>
      <c r="DEI264" s="1"/>
      <c r="DEJ264" s="1"/>
      <c r="DEK264" s="1"/>
      <c r="DEL264" s="1"/>
      <c r="DEM264" s="1"/>
      <c r="DEN264" s="1"/>
      <c r="DEO264" s="1"/>
      <c r="DEP264" s="1"/>
      <c r="DEQ264" s="1"/>
      <c r="DER264" s="1"/>
      <c r="DES264" s="1"/>
      <c r="DET264" s="1"/>
      <c r="DEU264" s="1"/>
      <c r="DEV264" s="1"/>
      <c r="DEW264" s="1"/>
      <c r="DEX264" s="1"/>
      <c r="DEY264" s="1"/>
      <c r="DEZ264" s="1"/>
      <c r="DFA264" s="1"/>
      <c r="DFB264" s="1"/>
      <c r="DFC264" s="1"/>
      <c r="DFD264" s="1"/>
      <c r="DFE264" s="1"/>
      <c r="DFF264" s="1"/>
      <c r="DFG264" s="1"/>
      <c r="DFH264" s="1"/>
      <c r="DFI264" s="1"/>
      <c r="DFJ264" s="1"/>
      <c r="DFK264" s="1"/>
      <c r="DFL264" s="1"/>
      <c r="DFM264" s="1"/>
      <c r="DFN264" s="1"/>
      <c r="DFO264" s="1"/>
      <c r="DFP264" s="1"/>
      <c r="DFQ264" s="1"/>
      <c r="DFR264" s="1"/>
      <c r="DFS264" s="1"/>
      <c r="DFT264" s="1"/>
      <c r="DFU264" s="1"/>
      <c r="DFV264" s="1"/>
      <c r="DFW264" s="1"/>
      <c r="DFX264" s="1"/>
      <c r="DFY264" s="1"/>
      <c r="DFZ264" s="1"/>
      <c r="DGA264" s="1"/>
      <c r="DGB264" s="1"/>
      <c r="DGC264" s="1"/>
      <c r="DGD264" s="1"/>
      <c r="DGE264" s="1"/>
      <c r="DGF264" s="1"/>
      <c r="DGG264" s="1"/>
      <c r="DGH264" s="1"/>
      <c r="DGI264" s="1"/>
      <c r="DGJ264" s="1"/>
      <c r="DGK264" s="1"/>
      <c r="DGL264" s="1"/>
      <c r="DGM264" s="1"/>
      <c r="DGN264" s="1"/>
      <c r="DGO264" s="1"/>
      <c r="DGP264" s="1"/>
      <c r="DGQ264" s="1"/>
      <c r="DGR264" s="1"/>
      <c r="DGS264" s="1"/>
      <c r="DGT264" s="1"/>
      <c r="DGU264" s="1"/>
      <c r="DGV264" s="1"/>
      <c r="DGW264" s="1"/>
      <c r="DGX264" s="1"/>
      <c r="DGY264" s="1"/>
      <c r="DGZ264" s="1"/>
      <c r="DHA264" s="1"/>
      <c r="DHB264" s="1"/>
      <c r="DHC264" s="1"/>
      <c r="DHD264" s="1"/>
      <c r="DHE264" s="1"/>
      <c r="DHF264" s="1"/>
      <c r="DHG264" s="1"/>
      <c r="DHH264" s="1"/>
      <c r="DHI264" s="1"/>
      <c r="DHJ264" s="1"/>
      <c r="DHK264" s="1"/>
      <c r="DHL264" s="1"/>
      <c r="DHM264" s="1"/>
      <c r="DHN264" s="1"/>
      <c r="DHO264" s="1"/>
      <c r="DHP264" s="1"/>
      <c r="DHQ264" s="1"/>
      <c r="DHR264" s="1"/>
      <c r="DHS264" s="1"/>
      <c r="DHT264" s="1"/>
      <c r="DHU264" s="1"/>
      <c r="DHV264" s="1"/>
      <c r="DHW264" s="1"/>
      <c r="DHX264" s="1"/>
      <c r="DHY264" s="1"/>
      <c r="DHZ264" s="1"/>
      <c r="DIA264" s="1"/>
      <c r="DIB264" s="1"/>
      <c r="DIC264" s="1"/>
      <c r="DID264" s="1"/>
      <c r="DIE264" s="1"/>
      <c r="DIF264" s="1"/>
      <c r="DIG264" s="1"/>
      <c r="DIH264" s="1"/>
      <c r="DII264" s="1"/>
      <c r="DIJ264" s="1"/>
      <c r="DIK264" s="1"/>
      <c r="DIL264" s="1"/>
      <c r="DIM264" s="1"/>
      <c r="DIN264" s="1"/>
      <c r="DIO264" s="1"/>
      <c r="DIP264" s="1"/>
      <c r="DIQ264" s="1"/>
      <c r="DIR264" s="1"/>
      <c r="DIS264" s="1"/>
      <c r="DIT264" s="1"/>
      <c r="DIU264" s="1"/>
      <c r="DIV264" s="1"/>
      <c r="DIW264" s="1"/>
      <c r="DIX264" s="1"/>
      <c r="DIY264" s="1"/>
      <c r="DIZ264" s="1"/>
      <c r="DJA264" s="1"/>
      <c r="DJB264" s="1"/>
      <c r="DJC264" s="1"/>
      <c r="DJD264" s="1"/>
      <c r="DJE264" s="1"/>
      <c r="DJF264" s="1"/>
      <c r="DJG264" s="1"/>
      <c r="DJH264" s="1"/>
      <c r="DJI264" s="1"/>
      <c r="DJJ264" s="1"/>
      <c r="DJK264" s="1"/>
      <c r="DJL264" s="1"/>
      <c r="DJM264" s="1"/>
      <c r="DJN264" s="1"/>
      <c r="DJO264" s="1"/>
      <c r="DJP264" s="1"/>
      <c r="DJQ264" s="1"/>
      <c r="DJR264" s="1"/>
      <c r="DJS264" s="1"/>
      <c r="DJT264" s="1"/>
      <c r="DJU264" s="1"/>
      <c r="DJV264" s="1"/>
      <c r="DJW264" s="1"/>
      <c r="DJX264" s="1"/>
      <c r="DJY264" s="1"/>
      <c r="DJZ264" s="1"/>
      <c r="DKA264" s="1"/>
      <c r="DKB264" s="1"/>
      <c r="DKC264" s="1"/>
      <c r="DKD264" s="1"/>
      <c r="DKE264" s="1"/>
      <c r="DKF264" s="1"/>
      <c r="DKG264" s="1"/>
      <c r="DKH264" s="1"/>
      <c r="DKI264" s="1"/>
      <c r="DKJ264" s="1"/>
      <c r="DKK264" s="1"/>
      <c r="DKL264" s="1"/>
      <c r="DKM264" s="1"/>
      <c r="DKN264" s="1"/>
      <c r="DKO264" s="1"/>
      <c r="DKP264" s="1"/>
      <c r="DKQ264" s="1"/>
      <c r="DKR264" s="1"/>
      <c r="DKS264" s="1"/>
      <c r="DKT264" s="1"/>
      <c r="DKU264" s="1"/>
      <c r="DKV264" s="1"/>
      <c r="DKW264" s="1"/>
      <c r="DKX264" s="1"/>
      <c r="DKY264" s="1"/>
      <c r="DKZ264" s="1"/>
      <c r="DLA264" s="1"/>
      <c r="DLB264" s="1"/>
      <c r="DLC264" s="1"/>
      <c r="DLD264" s="1"/>
      <c r="DLE264" s="1"/>
      <c r="DLF264" s="1"/>
      <c r="DLG264" s="1"/>
      <c r="DLH264" s="1"/>
      <c r="DLI264" s="1"/>
      <c r="DLJ264" s="1"/>
      <c r="DLK264" s="1"/>
      <c r="DLL264" s="1"/>
      <c r="DLM264" s="1"/>
      <c r="DLN264" s="1"/>
      <c r="DLO264" s="1"/>
      <c r="DLP264" s="1"/>
      <c r="DLQ264" s="1"/>
      <c r="DLR264" s="1"/>
      <c r="DLS264" s="1"/>
      <c r="DLT264" s="1"/>
      <c r="DLU264" s="1"/>
      <c r="DLV264" s="1"/>
      <c r="DLW264" s="1"/>
      <c r="DLX264" s="1"/>
      <c r="DLY264" s="1"/>
      <c r="DLZ264" s="1"/>
      <c r="DMA264" s="1"/>
      <c r="DMB264" s="1"/>
      <c r="DMC264" s="1"/>
      <c r="DMD264" s="1"/>
      <c r="DME264" s="1"/>
      <c r="DMF264" s="1"/>
      <c r="DMG264" s="1"/>
      <c r="DMH264" s="1"/>
      <c r="DMI264" s="1"/>
      <c r="DMJ264" s="1"/>
      <c r="DMK264" s="1"/>
      <c r="DML264" s="1"/>
      <c r="DMM264" s="1"/>
      <c r="DMN264" s="1"/>
      <c r="DMO264" s="1"/>
      <c r="DMP264" s="1"/>
      <c r="DMQ264" s="1"/>
      <c r="DMR264" s="1"/>
      <c r="DMS264" s="1"/>
      <c r="DMT264" s="1"/>
      <c r="DMU264" s="1"/>
      <c r="DMV264" s="1"/>
      <c r="DMW264" s="1"/>
      <c r="DMX264" s="1"/>
      <c r="DMY264" s="1"/>
      <c r="DMZ264" s="1"/>
      <c r="DNA264" s="1"/>
      <c r="DNB264" s="1"/>
      <c r="DNC264" s="1"/>
      <c r="DND264" s="1"/>
      <c r="DNE264" s="1"/>
      <c r="DNF264" s="1"/>
      <c r="DNG264" s="1"/>
      <c r="DNH264" s="1"/>
      <c r="DNI264" s="1"/>
      <c r="DNJ264" s="1"/>
      <c r="DNK264" s="1"/>
      <c r="DNL264" s="1"/>
      <c r="DNM264" s="1"/>
      <c r="DNN264" s="1"/>
      <c r="DNO264" s="1"/>
      <c r="DNP264" s="1"/>
      <c r="DNQ264" s="1"/>
      <c r="DNR264" s="1"/>
      <c r="DNS264" s="1"/>
      <c r="DNT264" s="1"/>
      <c r="DNU264" s="1"/>
      <c r="DNV264" s="1"/>
      <c r="DNW264" s="1"/>
      <c r="DNX264" s="1"/>
      <c r="DNY264" s="1"/>
      <c r="DNZ264" s="1"/>
      <c r="DOA264" s="1"/>
      <c r="DOB264" s="1"/>
      <c r="DOC264" s="1"/>
      <c r="DOD264" s="1"/>
      <c r="DOE264" s="1"/>
      <c r="DOF264" s="1"/>
      <c r="DOG264" s="1"/>
      <c r="DOH264" s="1"/>
      <c r="DOI264" s="1"/>
      <c r="DOJ264" s="1"/>
      <c r="DOK264" s="1"/>
      <c r="DOL264" s="1"/>
      <c r="DOM264" s="1"/>
      <c r="DON264" s="1"/>
      <c r="DOO264" s="1"/>
      <c r="DOP264" s="1"/>
      <c r="DOQ264" s="1"/>
      <c r="DOR264" s="1"/>
      <c r="DOS264" s="1"/>
      <c r="DOT264" s="1"/>
      <c r="DOU264" s="1"/>
      <c r="DOV264" s="1"/>
      <c r="DOW264" s="1"/>
      <c r="DOX264" s="1"/>
      <c r="DOY264" s="1"/>
      <c r="DOZ264" s="1"/>
      <c r="DPA264" s="1"/>
      <c r="DPB264" s="1"/>
      <c r="DPC264" s="1"/>
      <c r="DPD264" s="1"/>
      <c r="DPE264" s="1"/>
      <c r="DPF264" s="1"/>
      <c r="DPG264" s="1"/>
      <c r="DPH264" s="1"/>
      <c r="DPI264" s="1"/>
      <c r="DPJ264" s="1"/>
      <c r="DPK264" s="1"/>
      <c r="DPL264" s="1"/>
      <c r="DPM264" s="1"/>
      <c r="DPN264" s="1"/>
      <c r="DPO264" s="1"/>
      <c r="DPP264" s="1"/>
      <c r="DPQ264" s="1"/>
      <c r="DPR264" s="1"/>
      <c r="DPS264" s="1"/>
      <c r="DPT264" s="1"/>
      <c r="DPU264" s="1"/>
      <c r="DPV264" s="1"/>
      <c r="DPW264" s="1"/>
      <c r="DPX264" s="1"/>
      <c r="DPY264" s="1"/>
      <c r="DPZ264" s="1"/>
      <c r="DQA264" s="1"/>
      <c r="DQB264" s="1"/>
      <c r="DQC264" s="1"/>
      <c r="DQD264" s="1"/>
      <c r="DQE264" s="1"/>
      <c r="DQF264" s="1"/>
      <c r="DQG264" s="1"/>
      <c r="DQH264" s="1"/>
      <c r="DQI264" s="1"/>
      <c r="DQJ264" s="1"/>
      <c r="DQK264" s="1"/>
      <c r="DQL264" s="1"/>
      <c r="DQM264" s="1"/>
      <c r="DQN264" s="1"/>
      <c r="DQO264" s="1"/>
      <c r="DQP264" s="1"/>
      <c r="DQQ264" s="1"/>
      <c r="DQR264" s="1"/>
      <c r="DQS264" s="1"/>
      <c r="DQT264" s="1"/>
      <c r="DQU264" s="1"/>
      <c r="DQV264" s="1"/>
      <c r="DQW264" s="1"/>
      <c r="DQX264" s="1"/>
      <c r="DQY264" s="1"/>
      <c r="DQZ264" s="1"/>
      <c r="DRA264" s="1"/>
      <c r="DRB264" s="1"/>
      <c r="DRC264" s="1"/>
      <c r="DRD264" s="1"/>
      <c r="DRE264" s="1"/>
      <c r="DRF264" s="1"/>
      <c r="DRG264" s="1"/>
      <c r="DRH264" s="1"/>
      <c r="DRI264" s="1"/>
      <c r="DRJ264" s="1"/>
      <c r="DRK264" s="1"/>
      <c r="DRL264" s="1"/>
      <c r="DRM264" s="1"/>
      <c r="DRN264" s="1"/>
      <c r="DRO264" s="1"/>
      <c r="DRP264" s="1"/>
      <c r="DRQ264" s="1"/>
      <c r="DRR264" s="1"/>
      <c r="DRS264" s="1"/>
      <c r="DRT264" s="1"/>
      <c r="DRU264" s="1"/>
      <c r="DRV264" s="1"/>
      <c r="DRW264" s="1"/>
      <c r="DRX264" s="1"/>
      <c r="DRY264" s="1"/>
      <c r="DRZ264" s="1"/>
      <c r="DSA264" s="1"/>
      <c r="DSB264" s="1"/>
      <c r="DSC264" s="1"/>
      <c r="DSD264" s="1"/>
      <c r="DSE264" s="1"/>
      <c r="DSF264" s="1"/>
      <c r="DSG264" s="1"/>
      <c r="DSH264" s="1"/>
      <c r="DSI264" s="1"/>
      <c r="DSJ264" s="1"/>
      <c r="DSK264" s="1"/>
      <c r="DSL264" s="1"/>
      <c r="DSM264" s="1"/>
      <c r="DSN264" s="1"/>
      <c r="DSO264" s="1"/>
      <c r="DSP264" s="1"/>
      <c r="DSQ264" s="1"/>
      <c r="DSR264" s="1"/>
      <c r="DSS264" s="1"/>
      <c r="DST264" s="1"/>
      <c r="DSU264" s="1"/>
      <c r="DSV264" s="1"/>
      <c r="DSW264" s="1"/>
      <c r="DSX264" s="1"/>
      <c r="DSY264" s="1"/>
      <c r="DSZ264" s="1"/>
      <c r="DTA264" s="1"/>
      <c r="DTB264" s="1"/>
      <c r="DTC264" s="1"/>
      <c r="DTD264" s="1"/>
      <c r="DTE264" s="1"/>
      <c r="DTF264" s="1"/>
      <c r="DTG264" s="1"/>
      <c r="DTH264" s="1"/>
      <c r="DTI264" s="1"/>
      <c r="DTJ264" s="1"/>
      <c r="DTK264" s="1"/>
      <c r="DTL264" s="1"/>
      <c r="DTM264" s="1"/>
      <c r="DTN264" s="1"/>
      <c r="DTO264" s="1"/>
      <c r="DTP264" s="1"/>
      <c r="DTQ264" s="1"/>
      <c r="DTR264" s="1"/>
      <c r="DTS264" s="1"/>
      <c r="DTT264" s="1"/>
      <c r="DTU264" s="1"/>
      <c r="DTV264" s="1"/>
      <c r="DTW264" s="1"/>
      <c r="DTX264" s="1"/>
      <c r="DTY264" s="1"/>
      <c r="DTZ264" s="1"/>
      <c r="DUA264" s="1"/>
      <c r="DUB264" s="1"/>
      <c r="DUC264" s="1"/>
      <c r="DUD264" s="1"/>
      <c r="DUE264" s="1"/>
      <c r="DUF264" s="1"/>
      <c r="DUG264" s="1"/>
      <c r="DUH264" s="1"/>
      <c r="DUI264" s="1"/>
      <c r="DUJ264" s="1"/>
      <c r="DUK264" s="1"/>
      <c r="DUL264" s="1"/>
      <c r="DUM264" s="1"/>
      <c r="DUN264" s="1"/>
      <c r="DUO264" s="1"/>
      <c r="DUP264" s="1"/>
      <c r="DUQ264" s="1"/>
      <c r="DUR264" s="1"/>
      <c r="DUS264" s="1"/>
      <c r="DUT264" s="1"/>
      <c r="DUU264" s="1"/>
      <c r="DUV264" s="1"/>
      <c r="DUW264" s="1"/>
      <c r="DUX264" s="1"/>
      <c r="DUY264" s="1"/>
      <c r="DUZ264" s="1"/>
      <c r="DVA264" s="1"/>
      <c r="DVB264" s="1"/>
      <c r="DVC264" s="1"/>
      <c r="DVD264" s="1"/>
      <c r="DVE264" s="1"/>
      <c r="DVF264" s="1"/>
      <c r="DVG264" s="1"/>
      <c r="DVH264" s="1"/>
      <c r="DVI264" s="1"/>
      <c r="DVJ264" s="1"/>
      <c r="DVK264" s="1"/>
      <c r="DVL264" s="1"/>
      <c r="DVM264" s="1"/>
      <c r="DVN264" s="1"/>
      <c r="DVO264" s="1"/>
      <c r="DVP264" s="1"/>
      <c r="DVQ264" s="1"/>
      <c r="DVR264" s="1"/>
      <c r="DVS264" s="1"/>
      <c r="DVT264" s="1"/>
      <c r="DVU264" s="1"/>
      <c r="DVV264" s="1"/>
      <c r="DVW264" s="1"/>
      <c r="DVX264" s="1"/>
      <c r="DVY264" s="1"/>
      <c r="DVZ264" s="1"/>
      <c r="DWA264" s="1"/>
      <c r="DWB264" s="1"/>
      <c r="DWC264" s="1"/>
      <c r="DWD264" s="1"/>
      <c r="DWE264" s="1"/>
      <c r="DWF264" s="1"/>
      <c r="DWG264" s="1"/>
      <c r="DWH264" s="1"/>
      <c r="DWI264" s="1"/>
      <c r="DWJ264" s="1"/>
      <c r="DWK264" s="1"/>
      <c r="DWL264" s="1"/>
      <c r="DWM264" s="1"/>
      <c r="DWN264" s="1"/>
      <c r="DWO264" s="1"/>
      <c r="DWP264" s="1"/>
      <c r="DWQ264" s="1"/>
      <c r="DWR264" s="1"/>
      <c r="DWS264" s="1"/>
      <c r="DWT264" s="1"/>
      <c r="DWU264" s="1"/>
      <c r="DWV264" s="1"/>
      <c r="DWW264" s="1"/>
      <c r="DWX264" s="1"/>
      <c r="DWY264" s="1"/>
      <c r="DWZ264" s="1"/>
      <c r="DXA264" s="1"/>
      <c r="DXB264" s="1"/>
      <c r="DXC264" s="1"/>
      <c r="DXD264" s="1"/>
      <c r="DXE264" s="1"/>
      <c r="DXF264" s="1"/>
      <c r="DXG264" s="1"/>
      <c r="DXH264" s="1"/>
      <c r="DXI264" s="1"/>
      <c r="DXJ264" s="1"/>
      <c r="DXK264" s="1"/>
      <c r="DXL264" s="1"/>
      <c r="DXM264" s="1"/>
      <c r="DXN264" s="1"/>
      <c r="DXO264" s="1"/>
      <c r="DXP264" s="1"/>
      <c r="DXQ264" s="1"/>
      <c r="DXR264" s="1"/>
      <c r="DXS264" s="1"/>
      <c r="DXT264" s="1"/>
      <c r="DXU264" s="1"/>
      <c r="DXV264" s="1"/>
      <c r="DXW264" s="1"/>
      <c r="DXX264" s="1"/>
      <c r="DXY264" s="1"/>
      <c r="DXZ264" s="1"/>
      <c r="DYA264" s="1"/>
      <c r="DYB264" s="1"/>
      <c r="DYC264" s="1"/>
      <c r="DYD264" s="1"/>
      <c r="DYE264" s="1"/>
      <c r="DYF264" s="1"/>
      <c r="DYG264" s="1"/>
      <c r="DYH264" s="1"/>
      <c r="DYI264" s="1"/>
      <c r="DYJ264" s="1"/>
      <c r="DYK264" s="1"/>
      <c r="DYL264" s="1"/>
      <c r="DYM264" s="1"/>
      <c r="DYN264" s="1"/>
      <c r="DYO264" s="1"/>
      <c r="DYP264" s="1"/>
      <c r="DYQ264" s="1"/>
      <c r="DYR264" s="1"/>
      <c r="DYS264" s="1"/>
      <c r="DYT264" s="1"/>
      <c r="DYU264" s="1"/>
      <c r="DYV264" s="1"/>
      <c r="DYW264" s="1"/>
      <c r="DYX264" s="1"/>
      <c r="DYY264" s="1"/>
      <c r="DYZ264" s="1"/>
      <c r="DZA264" s="1"/>
      <c r="DZB264" s="1"/>
      <c r="DZC264" s="1"/>
      <c r="DZD264" s="1"/>
      <c r="DZE264" s="1"/>
      <c r="DZF264" s="1"/>
      <c r="DZG264" s="1"/>
      <c r="DZH264" s="1"/>
      <c r="DZI264" s="1"/>
      <c r="DZJ264" s="1"/>
      <c r="DZK264" s="1"/>
      <c r="DZL264" s="1"/>
      <c r="DZM264" s="1"/>
      <c r="DZN264" s="1"/>
      <c r="DZO264" s="1"/>
      <c r="DZP264" s="1"/>
      <c r="DZQ264" s="1"/>
      <c r="DZR264" s="1"/>
      <c r="DZS264" s="1"/>
      <c r="DZT264" s="1"/>
      <c r="DZU264" s="1"/>
      <c r="DZV264" s="1"/>
      <c r="DZW264" s="1"/>
      <c r="DZX264" s="1"/>
      <c r="DZY264" s="1"/>
      <c r="DZZ264" s="1"/>
      <c r="EAA264" s="1"/>
      <c r="EAB264" s="1"/>
      <c r="EAC264" s="1"/>
      <c r="EAD264" s="1"/>
      <c r="EAE264" s="1"/>
      <c r="EAF264" s="1"/>
      <c r="EAG264" s="1"/>
      <c r="EAH264" s="1"/>
      <c r="EAI264" s="1"/>
      <c r="EAJ264" s="1"/>
      <c r="EAK264" s="1"/>
      <c r="EAL264" s="1"/>
      <c r="EAM264" s="1"/>
      <c r="EAN264" s="1"/>
      <c r="EAO264" s="1"/>
      <c r="EAP264" s="1"/>
      <c r="EAQ264" s="1"/>
      <c r="EAR264" s="1"/>
      <c r="EAS264" s="1"/>
      <c r="EAT264" s="1"/>
      <c r="EAU264" s="1"/>
      <c r="EAV264" s="1"/>
      <c r="EAW264" s="1"/>
      <c r="EAX264" s="1"/>
      <c r="EAY264" s="1"/>
      <c r="EAZ264" s="1"/>
      <c r="EBA264" s="1"/>
      <c r="EBB264" s="1"/>
      <c r="EBC264" s="1"/>
      <c r="EBD264" s="1"/>
      <c r="EBE264" s="1"/>
      <c r="EBF264" s="1"/>
      <c r="EBG264" s="1"/>
      <c r="EBH264" s="1"/>
      <c r="EBI264" s="1"/>
      <c r="EBJ264" s="1"/>
      <c r="EBK264" s="1"/>
      <c r="EBL264" s="1"/>
      <c r="EBM264" s="1"/>
      <c r="EBN264" s="1"/>
      <c r="EBO264" s="1"/>
      <c r="EBP264" s="1"/>
      <c r="EBQ264" s="1"/>
      <c r="EBR264" s="1"/>
      <c r="EBS264" s="1"/>
      <c r="EBT264" s="1"/>
      <c r="EBU264" s="1"/>
      <c r="EBV264" s="1"/>
      <c r="EBW264" s="1"/>
      <c r="EBX264" s="1"/>
      <c r="EBY264" s="1"/>
      <c r="EBZ264" s="1"/>
      <c r="ECA264" s="1"/>
      <c r="ECB264" s="1"/>
      <c r="ECC264" s="1"/>
      <c r="ECD264" s="1"/>
      <c r="ECE264" s="1"/>
      <c r="ECF264" s="1"/>
      <c r="ECG264" s="1"/>
      <c r="ECH264" s="1"/>
      <c r="ECI264" s="1"/>
      <c r="ECJ264" s="1"/>
      <c r="ECK264" s="1"/>
      <c r="ECL264" s="1"/>
      <c r="ECM264" s="1"/>
      <c r="ECN264" s="1"/>
      <c r="ECO264" s="1"/>
      <c r="ECP264" s="1"/>
      <c r="ECQ264" s="1"/>
      <c r="ECR264" s="1"/>
      <c r="ECS264" s="1"/>
      <c r="ECT264" s="1"/>
      <c r="ECU264" s="1"/>
      <c r="ECV264" s="1"/>
      <c r="ECW264" s="1"/>
      <c r="ECX264" s="1"/>
      <c r="ECY264" s="1"/>
      <c r="ECZ264" s="1"/>
      <c r="EDA264" s="1"/>
      <c r="EDB264" s="1"/>
      <c r="EDC264" s="1"/>
      <c r="EDD264" s="1"/>
      <c r="EDE264" s="1"/>
      <c r="EDF264" s="1"/>
      <c r="EDG264" s="1"/>
      <c r="EDH264" s="1"/>
      <c r="EDI264" s="1"/>
      <c r="EDJ264" s="1"/>
      <c r="EDK264" s="1"/>
      <c r="EDL264" s="1"/>
      <c r="EDM264" s="1"/>
      <c r="EDN264" s="1"/>
      <c r="EDO264" s="1"/>
      <c r="EDP264" s="1"/>
      <c r="EDQ264" s="1"/>
      <c r="EDR264" s="1"/>
      <c r="EDS264" s="1"/>
      <c r="EDT264" s="1"/>
      <c r="EDU264" s="1"/>
      <c r="EDV264" s="1"/>
      <c r="EDW264" s="1"/>
      <c r="EDX264" s="1"/>
      <c r="EDY264" s="1"/>
      <c r="EDZ264" s="1"/>
      <c r="EEA264" s="1"/>
      <c r="EEB264" s="1"/>
      <c r="EEC264" s="1"/>
      <c r="EED264" s="1"/>
      <c r="EEE264" s="1"/>
      <c r="EEF264" s="1"/>
      <c r="EEG264" s="1"/>
      <c r="EEH264" s="1"/>
      <c r="EEI264" s="1"/>
      <c r="EEJ264" s="1"/>
      <c r="EEK264" s="1"/>
      <c r="EEL264" s="1"/>
      <c r="EEM264" s="1"/>
      <c r="EEN264" s="1"/>
      <c r="EEO264" s="1"/>
      <c r="EEP264" s="1"/>
      <c r="EEQ264" s="1"/>
      <c r="EER264" s="1"/>
      <c r="EES264" s="1"/>
      <c r="EET264" s="1"/>
      <c r="EEU264" s="1"/>
      <c r="EEV264" s="1"/>
      <c r="EEW264" s="1"/>
      <c r="EEX264" s="1"/>
      <c r="EEY264" s="1"/>
      <c r="EEZ264" s="1"/>
      <c r="EFA264" s="1"/>
      <c r="EFB264" s="1"/>
      <c r="EFC264" s="1"/>
      <c r="EFD264" s="1"/>
      <c r="EFE264" s="1"/>
      <c r="EFF264" s="1"/>
      <c r="EFG264" s="1"/>
      <c r="EFH264" s="1"/>
      <c r="EFI264" s="1"/>
      <c r="EFJ264" s="1"/>
      <c r="EFK264" s="1"/>
      <c r="EFL264" s="1"/>
      <c r="EFM264" s="1"/>
      <c r="EFN264" s="1"/>
      <c r="EFO264" s="1"/>
      <c r="EFP264" s="1"/>
      <c r="EFQ264" s="1"/>
      <c r="EFR264" s="1"/>
      <c r="EFS264" s="1"/>
      <c r="EFT264" s="1"/>
      <c r="EFU264" s="1"/>
      <c r="EFV264" s="1"/>
      <c r="EFW264" s="1"/>
      <c r="EFX264" s="1"/>
      <c r="EFY264" s="1"/>
      <c r="EFZ264" s="1"/>
      <c r="EGA264" s="1"/>
      <c r="EGB264" s="1"/>
      <c r="EGC264" s="1"/>
      <c r="EGD264" s="1"/>
      <c r="EGE264" s="1"/>
      <c r="EGF264" s="1"/>
      <c r="EGG264" s="1"/>
      <c r="EGH264" s="1"/>
      <c r="EGI264" s="1"/>
      <c r="EGJ264" s="1"/>
      <c r="EGK264" s="1"/>
      <c r="EGL264" s="1"/>
      <c r="EGM264" s="1"/>
      <c r="EGN264" s="1"/>
      <c r="EGO264" s="1"/>
      <c r="EGP264" s="1"/>
      <c r="EGQ264" s="1"/>
      <c r="EGR264" s="1"/>
      <c r="EGS264" s="1"/>
      <c r="EGT264" s="1"/>
      <c r="EGU264" s="1"/>
      <c r="EGV264" s="1"/>
      <c r="EGW264" s="1"/>
      <c r="EGX264" s="1"/>
      <c r="EGY264" s="1"/>
      <c r="EGZ264" s="1"/>
      <c r="EHA264" s="1"/>
      <c r="EHB264" s="1"/>
      <c r="EHC264" s="1"/>
      <c r="EHD264" s="1"/>
      <c r="EHE264" s="1"/>
      <c r="EHF264" s="1"/>
      <c r="EHG264" s="1"/>
      <c r="EHH264" s="1"/>
      <c r="EHI264" s="1"/>
      <c r="EHJ264" s="1"/>
      <c r="EHK264" s="1"/>
      <c r="EHL264" s="1"/>
      <c r="EHM264" s="1"/>
      <c r="EHN264" s="1"/>
      <c r="EHO264" s="1"/>
      <c r="EHP264" s="1"/>
      <c r="EHQ264" s="1"/>
      <c r="EHR264" s="1"/>
      <c r="EHS264" s="1"/>
      <c r="EHT264" s="1"/>
      <c r="EHU264" s="1"/>
      <c r="EHV264" s="1"/>
      <c r="EHW264" s="1"/>
      <c r="EHX264" s="1"/>
      <c r="EHY264" s="1"/>
      <c r="EHZ264" s="1"/>
      <c r="EIA264" s="1"/>
      <c r="EIB264" s="1"/>
      <c r="EIC264" s="1"/>
      <c r="EID264" s="1"/>
      <c r="EIE264" s="1"/>
      <c r="EIF264" s="1"/>
      <c r="EIG264" s="1"/>
      <c r="EIH264" s="1"/>
      <c r="EII264" s="1"/>
      <c r="EIJ264" s="1"/>
      <c r="EIK264" s="1"/>
      <c r="EIL264" s="1"/>
      <c r="EIM264" s="1"/>
      <c r="EIN264" s="1"/>
      <c r="EIO264" s="1"/>
      <c r="EIP264" s="1"/>
      <c r="EIQ264" s="1"/>
      <c r="EIR264" s="1"/>
      <c r="EIS264" s="1"/>
      <c r="EIT264" s="1"/>
      <c r="EIU264" s="1"/>
      <c r="EIV264" s="1"/>
      <c r="EIW264" s="1"/>
      <c r="EIX264" s="1"/>
      <c r="EIY264" s="1"/>
      <c r="EIZ264" s="1"/>
      <c r="EJA264" s="1"/>
      <c r="EJB264" s="1"/>
      <c r="EJC264" s="1"/>
      <c r="EJD264" s="1"/>
      <c r="EJE264" s="1"/>
      <c r="EJF264" s="1"/>
      <c r="EJG264" s="1"/>
      <c r="EJH264" s="1"/>
      <c r="EJI264" s="1"/>
      <c r="EJJ264" s="1"/>
      <c r="EJK264" s="1"/>
      <c r="EJL264" s="1"/>
      <c r="EJM264" s="1"/>
      <c r="EJN264" s="1"/>
      <c r="EJO264" s="1"/>
      <c r="EJP264" s="1"/>
      <c r="EJQ264" s="1"/>
      <c r="EJR264" s="1"/>
      <c r="EJS264" s="1"/>
      <c r="EJT264" s="1"/>
      <c r="EJU264" s="1"/>
      <c r="EJV264" s="1"/>
      <c r="EJW264" s="1"/>
      <c r="EJX264" s="1"/>
      <c r="EJY264" s="1"/>
      <c r="EJZ264" s="1"/>
      <c r="EKA264" s="1"/>
      <c r="EKB264" s="1"/>
      <c r="EKC264" s="1"/>
      <c r="EKD264" s="1"/>
      <c r="EKE264" s="1"/>
      <c r="EKF264" s="1"/>
      <c r="EKG264" s="1"/>
      <c r="EKH264" s="1"/>
      <c r="EKI264" s="1"/>
      <c r="EKJ264" s="1"/>
      <c r="EKK264" s="1"/>
      <c r="EKL264" s="1"/>
      <c r="EKM264" s="1"/>
      <c r="EKN264" s="1"/>
      <c r="EKO264" s="1"/>
      <c r="EKP264" s="1"/>
      <c r="EKQ264" s="1"/>
      <c r="EKR264" s="1"/>
      <c r="EKS264" s="1"/>
      <c r="EKT264" s="1"/>
      <c r="EKU264" s="1"/>
      <c r="EKV264" s="1"/>
      <c r="EKW264" s="1"/>
      <c r="EKX264" s="1"/>
      <c r="EKY264" s="1"/>
      <c r="EKZ264" s="1"/>
      <c r="ELA264" s="1"/>
      <c r="ELB264" s="1"/>
      <c r="ELC264" s="1"/>
      <c r="ELD264" s="1"/>
      <c r="ELE264" s="1"/>
      <c r="ELF264" s="1"/>
      <c r="ELG264" s="1"/>
      <c r="ELH264" s="1"/>
      <c r="ELI264" s="1"/>
      <c r="ELJ264" s="1"/>
      <c r="ELK264" s="1"/>
      <c r="ELL264" s="1"/>
      <c r="ELM264" s="1"/>
      <c r="ELN264" s="1"/>
      <c r="ELO264" s="1"/>
      <c r="ELP264" s="1"/>
      <c r="ELQ264" s="1"/>
      <c r="ELR264" s="1"/>
      <c r="ELS264" s="1"/>
      <c r="ELT264" s="1"/>
      <c r="ELU264" s="1"/>
      <c r="ELV264" s="1"/>
      <c r="ELW264" s="1"/>
      <c r="ELX264" s="1"/>
      <c r="ELY264" s="1"/>
      <c r="ELZ264" s="1"/>
      <c r="EMA264" s="1"/>
      <c r="EMB264" s="1"/>
      <c r="EMC264" s="1"/>
      <c r="EMD264" s="1"/>
      <c r="EME264" s="1"/>
      <c r="EMF264" s="1"/>
      <c r="EMG264" s="1"/>
      <c r="EMH264" s="1"/>
      <c r="EMI264" s="1"/>
      <c r="EMJ264" s="1"/>
      <c r="EMK264" s="1"/>
      <c r="EML264" s="1"/>
      <c r="EMM264" s="1"/>
      <c r="EMN264" s="1"/>
      <c r="EMO264" s="1"/>
      <c r="EMP264" s="1"/>
      <c r="EMQ264" s="1"/>
      <c r="EMR264" s="1"/>
      <c r="EMS264" s="1"/>
      <c r="EMT264" s="1"/>
      <c r="EMU264" s="1"/>
      <c r="EMV264" s="1"/>
      <c r="EMW264" s="1"/>
      <c r="EMX264" s="1"/>
      <c r="EMY264" s="1"/>
      <c r="EMZ264" s="1"/>
      <c r="ENA264" s="1"/>
      <c r="ENB264" s="1"/>
      <c r="ENC264" s="1"/>
      <c r="END264" s="1"/>
      <c r="ENE264" s="1"/>
      <c r="ENF264" s="1"/>
      <c r="ENG264" s="1"/>
      <c r="ENH264" s="1"/>
      <c r="ENI264" s="1"/>
      <c r="ENJ264" s="1"/>
      <c r="ENK264" s="1"/>
      <c r="ENL264" s="1"/>
      <c r="ENM264" s="1"/>
      <c r="ENN264" s="1"/>
      <c r="ENO264" s="1"/>
      <c r="ENP264" s="1"/>
      <c r="ENQ264" s="1"/>
      <c r="ENR264" s="1"/>
      <c r="ENS264" s="1"/>
      <c r="ENT264" s="1"/>
      <c r="ENU264" s="1"/>
      <c r="ENV264" s="1"/>
      <c r="ENW264" s="1"/>
      <c r="ENX264" s="1"/>
      <c r="ENY264" s="1"/>
      <c r="ENZ264" s="1"/>
      <c r="EOA264" s="1"/>
      <c r="EOB264" s="1"/>
      <c r="EOC264" s="1"/>
      <c r="EOD264" s="1"/>
      <c r="EOE264" s="1"/>
      <c r="EOF264" s="1"/>
      <c r="EOG264" s="1"/>
      <c r="EOH264" s="1"/>
      <c r="EOI264" s="1"/>
      <c r="EOJ264" s="1"/>
      <c r="EOK264" s="1"/>
      <c r="EOL264" s="1"/>
      <c r="EOM264" s="1"/>
      <c r="EON264" s="1"/>
      <c r="EOO264" s="1"/>
      <c r="EOP264" s="1"/>
      <c r="EOQ264" s="1"/>
      <c r="EOR264" s="1"/>
      <c r="EOS264" s="1"/>
      <c r="EOT264" s="1"/>
      <c r="EOU264" s="1"/>
      <c r="EOV264" s="1"/>
      <c r="EOW264" s="1"/>
      <c r="EOX264" s="1"/>
      <c r="EOY264" s="1"/>
      <c r="EOZ264" s="1"/>
      <c r="EPA264" s="1"/>
      <c r="EPB264" s="1"/>
      <c r="EPC264" s="1"/>
      <c r="EPD264" s="1"/>
      <c r="EPE264" s="1"/>
      <c r="EPF264" s="1"/>
      <c r="EPG264" s="1"/>
      <c r="EPH264" s="1"/>
      <c r="EPI264" s="1"/>
      <c r="EPJ264" s="1"/>
      <c r="EPK264" s="1"/>
      <c r="EPL264" s="1"/>
      <c r="EPM264" s="1"/>
      <c r="EPN264" s="1"/>
      <c r="EPO264" s="1"/>
      <c r="EPP264" s="1"/>
      <c r="EPQ264" s="1"/>
      <c r="EPR264" s="1"/>
      <c r="EPS264" s="1"/>
      <c r="EPT264" s="1"/>
      <c r="EPU264" s="1"/>
      <c r="EPV264" s="1"/>
      <c r="EPW264" s="1"/>
      <c r="EPX264" s="1"/>
      <c r="EPY264" s="1"/>
      <c r="EPZ264" s="1"/>
      <c r="EQA264" s="1"/>
      <c r="EQB264" s="1"/>
      <c r="EQC264" s="1"/>
      <c r="EQD264" s="1"/>
      <c r="EQE264" s="1"/>
      <c r="EQF264" s="1"/>
      <c r="EQG264" s="1"/>
      <c r="EQH264" s="1"/>
      <c r="EQI264" s="1"/>
      <c r="EQJ264" s="1"/>
      <c r="EQK264" s="1"/>
      <c r="EQL264" s="1"/>
      <c r="EQM264" s="1"/>
      <c r="EQN264" s="1"/>
      <c r="EQO264" s="1"/>
      <c r="EQP264" s="1"/>
      <c r="EQQ264" s="1"/>
      <c r="EQR264" s="1"/>
      <c r="EQS264" s="1"/>
      <c r="EQT264" s="1"/>
      <c r="EQU264" s="1"/>
      <c r="EQV264" s="1"/>
      <c r="EQW264" s="1"/>
      <c r="EQX264" s="1"/>
      <c r="EQY264" s="1"/>
      <c r="EQZ264" s="1"/>
      <c r="ERA264" s="1"/>
      <c r="ERB264" s="1"/>
      <c r="ERC264" s="1"/>
      <c r="ERD264" s="1"/>
      <c r="ERE264" s="1"/>
      <c r="ERF264" s="1"/>
      <c r="ERG264" s="1"/>
      <c r="ERH264" s="1"/>
      <c r="ERI264" s="1"/>
      <c r="ERJ264" s="1"/>
      <c r="ERK264" s="1"/>
      <c r="ERL264" s="1"/>
      <c r="ERM264" s="1"/>
      <c r="ERN264" s="1"/>
      <c r="ERO264" s="1"/>
      <c r="ERP264" s="1"/>
      <c r="ERQ264" s="1"/>
      <c r="ERR264" s="1"/>
      <c r="ERS264" s="1"/>
      <c r="ERT264" s="1"/>
      <c r="ERU264" s="1"/>
      <c r="ERV264" s="1"/>
      <c r="ERW264" s="1"/>
      <c r="ERX264" s="1"/>
      <c r="ERY264" s="1"/>
      <c r="ERZ264" s="1"/>
      <c r="ESA264" s="1"/>
      <c r="ESB264" s="1"/>
      <c r="ESC264" s="1"/>
      <c r="ESD264" s="1"/>
      <c r="ESE264" s="1"/>
      <c r="ESF264" s="1"/>
      <c r="ESG264" s="1"/>
      <c r="ESH264" s="1"/>
      <c r="ESI264" s="1"/>
      <c r="ESJ264" s="1"/>
      <c r="ESK264" s="1"/>
      <c r="ESL264" s="1"/>
      <c r="ESM264" s="1"/>
      <c r="ESN264" s="1"/>
      <c r="ESO264" s="1"/>
      <c r="ESP264" s="1"/>
      <c r="ESQ264" s="1"/>
      <c r="ESR264" s="1"/>
      <c r="ESS264" s="1"/>
      <c r="EST264" s="1"/>
      <c r="ESU264" s="1"/>
      <c r="ESV264" s="1"/>
      <c r="ESW264" s="1"/>
      <c r="ESX264" s="1"/>
      <c r="ESY264" s="1"/>
      <c r="ESZ264" s="1"/>
      <c r="ETA264" s="1"/>
      <c r="ETB264" s="1"/>
      <c r="ETC264" s="1"/>
      <c r="ETD264" s="1"/>
      <c r="ETE264" s="1"/>
      <c r="ETF264" s="1"/>
      <c r="ETG264" s="1"/>
      <c r="ETH264" s="1"/>
      <c r="ETI264" s="1"/>
      <c r="ETJ264" s="1"/>
      <c r="ETK264" s="1"/>
      <c r="ETL264" s="1"/>
      <c r="ETM264" s="1"/>
      <c r="ETN264" s="1"/>
      <c r="ETO264" s="1"/>
      <c r="ETP264" s="1"/>
      <c r="ETQ264" s="1"/>
      <c r="ETR264" s="1"/>
      <c r="ETS264" s="1"/>
      <c r="ETT264" s="1"/>
      <c r="ETU264" s="1"/>
      <c r="ETV264" s="1"/>
      <c r="ETW264" s="1"/>
      <c r="ETX264" s="1"/>
      <c r="ETY264" s="1"/>
      <c r="ETZ264" s="1"/>
      <c r="EUA264" s="1"/>
      <c r="EUB264" s="1"/>
      <c r="EUC264" s="1"/>
      <c r="EUD264" s="1"/>
      <c r="EUE264" s="1"/>
      <c r="EUF264" s="1"/>
      <c r="EUG264" s="1"/>
      <c r="EUH264" s="1"/>
      <c r="EUI264" s="1"/>
      <c r="EUJ264" s="1"/>
      <c r="EUK264" s="1"/>
      <c r="EUL264" s="1"/>
      <c r="EUM264" s="1"/>
      <c r="EUN264" s="1"/>
      <c r="EUO264" s="1"/>
      <c r="EUP264" s="1"/>
      <c r="EUQ264" s="1"/>
      <c r="EUR264" s="1"/>
      <c r="EUS264" s="1"/>
      <c r="EUT264" s="1"/>
      <c r="EUU264" s="1"/>
      <c r="EUV264" s="1"/>
      <c r="EUW264" s="1"/>
      <c r="EUX264" s="1"/>
      <c r="EUY264" s="1"/>
      <c r="EUZ264" s="1"/>
      <c r="EVA264" s="1"/>
      <c r="EVB264" s="1"/>
      <c r="EVC264" s="1"/>
      <c r="EVD264" s="1"/>
      <c r="EVE264" s="1"/>
      <c r="EVF264" s="1"/>
      <c r="EVG264" s="1"/>
      <c r="EVH264" s="1"/>
      <c r="EVI264" s="1"/>
      <c r="EVJ264" s="1"/>
      <c r="EVK264" s="1"/>
      <c r="EVL264" s="1"/>
      <c r="EVM264" s="1"/>
      <c r="EVN264" s="1"/>
      <c r="EVO264" s="1"/>
      <c r="EVP264" s="1"/>
      <c r="EVQ264" s="1"/>
      <c r="EVR264" s="1"/>
      <c r="EVS264" s="1"/>
      <c r="EVT264" s="1"/>
      <c r="EVU264" s="1"/>
      <c r="EVV264" s="1"/>
      <c r="EVW264" s="1"/>
      <c r="EVX264" s="1"/>
      <c r="EVY264" s="1"/>
      <c r="EVZ264" s="1"/>
      <c r="EWA264" s="1"/>
      <c r="EWB264" s="1"/>
      <c r="EWC264" s="1"/>
      <c r="EWD264" s="1"/>
      <c r="EWE264" s="1"/>
      <c r="EWF264" s="1"/>
      <c r="EWG264" s="1"/>
      <c r="EWH264" s="1"/>
      <c r="EWI264" s="1"/>
      <c r="EWJ264" s="1"/>
      <c r="EWK264" s="1"/>
      <c r="EWL264" s="1"/>
      <c r="EWM264" s="1"/>
      <c r="EWN264" s="1"/>
      <c r="EWO264" s="1"/>
      <c r="EWP264" s="1"/>
      <c r="EWQ264" s="1"/>
      <c r="EWR264" s="1"/>
      <c r="EWS264" s="1"/>
      <c r="EWT264" s="1"/>
      <c r="EWU264" s="1"/>
      <c r="EWV264" s="1"/>
      <c r="EWW264" s="1"/>
      <c r="EWX264" s="1"/>
      <c r="EWY264" s="1"/>
      <c r="EWZ264" s="1"/>
      <c r="EXA264" s="1"/>
      <c r="EXB264" s="1"/>
      <c r="EXC264" s="1"/>
      <c r="EXD264" s="1"/>
      <c r="EXE264" s="1"/>
      <c r="EXF264" s="1"/>
      <c r="EXG264" s="1"/>
      <c r="EXH264" s="1"/>
      <c r="EXI264" s="1"/>
      <c r="EXJ264" s="1"/>
      <c r="EXK264" s="1"/>
      <c r="EXL264" s="1"/>
      <c r="EXM264" s="1"/>
      <c r="EXN264" s="1"/>
      <c r="EXO264" s="1"/>
      <c r="EXP264" s="1"/>
      <c r="EXQ264" s="1"/>
      <c r="EXR264" s="1"/>
      <c r="EXS264" s="1"/>
      <c r="EXT264" s="1"/>
      <c r="EXU264" s="1"/>
      <c r="EXV264" s="1"/>
      <c r="EXW264" s="1"/>
      <c r="EXX264" s="1"/>
      <c r="EXY264" s="1"/>
      <c r="EXZ264" s="1"/>
      <c r="EYA264" s="1"/>
      <c r="EYB264" s="1"/>
      <c r="EYC264" s="1"/>
      <c r="EYD264" s="1"/>
      <c r="EYE264" s="1"/>
      <c r="EYF264" s="1"/>
      <c r="EYG264" s="1"/>
      <c r="EYH264" s="1"/>
      <c r="EYI264" s="1"/>
      <c r="EYJ264" s="1"/>
      <c r="EYK264" s="1"/>
      <c r="EYL264" s="1"/>
      <c r="EYM264" s="1"/>
      <c r="EYN264" s="1"/>
      <c r="EYO264" s="1"/>
      <c r="EYP264" s="1"/>
      <c r="EYQ264" s="1"/>
      <c r="EYR264" s="1"/>
      <c r="EYS264" s="1"/>
      <c r="EYT264" s="1"/>
      <c r="EYU264" s="1"/>
      <c r="EYV264" s="1"/>
      <c r="EYW264" s="1"/>
      <c r="EYX264" s="1"/>
      <c r="EYY264" s="1"/>
      <c r="EYZ264" s="1"/>
      <c r="EZA264" s="1"/>
      <c r="EZB264" s="1"/>
      <c r="EZC264" s="1"/>
      <c r="EZD264" s="1"/>
      <c r="EZE264" s="1"/>
      <c r="EZF264" s="1"/>
      <c r="EZG264" s="1"/>
      <c r="EZH264" s="1"/>
      <c r="EZI264" s="1"/>
      <c r="EZJ264" s="1"/>
      <c r="EZK264" s="1"/>
      <c r="EZL264" s="1"/>
      <c r="EZM264" s="1"/>
      <c r="EZN264" s="1"/>
      <c r="EZO264" s="1"/>
      <c r="EZP264" s="1"/>
      <c r="EZQ264" s="1"/>
      <c r="EZR264" s="1"/>
      <c r="EZS264" s="1"/>
      <c r="EZT264" s="1"/>
      <c r="EZU264" s="1"/>
      <c r="EZV264" s="1"/>
      <c r="EZW264" s="1"/>
      <c r="EZX264" s="1"/>
      <c r="EZY264" s="1"/>
      <c r="EZZ264" s="1"/>
      <c r="FAA264" s="1"/>
      <c r="FAB264" s="1"/>
      <c r="FAC264" s="1"/>
      <c r="FAD264" s="1"/>
      <c r="FAE264" s="1"/>
      <c r="FAF264" s="1"/>
      <c r="FAG264" s="1"/>
      <c r="FAH264" s="1"/>
      <c r="FAI264" s="1"/>
      <c r="FAJ264" s="1"/>
      <c r="FAK264" s="1"/>
      <c r="FAL264" s="1"/>
      <c r="FAM264" s="1"/>
      <c r="FAN264" s="1"/>
      <c r="FAO264" s="1"/>
      <c r="FAP264" s="1"/>
      <c r="FAQ264" s="1"/>
      <c r="FAR264" s="1"/>
      <c r="FAS264" s="1"/>
      <c r="FAT264" s="1"/>
      <c r="FAU264" s="1"/>
      <c r="FAV264" s="1"/>
      <c r="FAW264" s="1"/>
      <c r="FAX264" s="1"/>
      <c r="FAY264" s="1"/>
      <c r="FAZ264" s="1"/>
      <c r="FBA264" s="1"/>
      <c r="FBB264" s="1"/>
      <c r="FBC264" s="1"/>
      <c r="FBD264" s="1"/>
      <c r="FBE264" s="1"/>
      <c r="FBF264" s="1"/>
      <c r="FBG264" s="1"/>
      <c r="FBH264" s="1"/>
      <c r="FBI264" s="1"/>
      <c r="FBJ264" s="1"/>
      <c r="FBK264" s="1"/>
      <c r="FBL264" s="1"/>
      <c r="FBM264" s="1"/>
      <c r="FBN264" s="1"/>
      <c r="FBO264" s="1"/>
      <c r="FBP264" s="1"/>
      <c r="FBQ264" s="1"/>
      <c r="FBR264" s="1"/>
      <c r="FBS264" s="1"/>
      <c r="FBT264" s="1"/>
      <c r="FBU264" s="1"/>
      <c r="FBV264" s="1"/>
      <c r="FBW264" s="1"/>
      <c r="FBX264" s="1"/>
      <c r="FBY264" s="1"/>
      <c r="FBZ264" s="1"/>
      <c r="FCA264" s="1"/>
      <c r="FCB264" s="1"/>
      <c r="FCC264" s="1"/>
      <c r="FCD264" s="1"/>
      <c r="FCE264" s="1"/>
      <c r="FCF264" s="1"/>
      <c r="FCG264" s="1"/>
      <c r="FCH264" s="1"/>
      <c r="FCI264" s="1"/>
      <c r="FCJ264" s="1"/>
      <c r="FCK264" s="1"/>
      <c r="FCL264" s="1"/>
      <c r="FCM264" s="1"/>
      <c r="FCN264" s="1"/>
      <c r="FCO264" s="1"/>
      <c r="FCP264" s="1"/>
      <c r="FCQ264" s="1"/>
      <c r="FCR264" s="1"/>
      <c r="FCS264" s="1"/>
      <c r="FCT264" s="1"/>
      <c r="FCU264" s="1"/>
      <c r="FCV264" s="1"/>
      <c r="FCW264" s="1"/>
      <c r="FCX264" s="1"/>
      <c r="FCY264" s="1"/>
      <c r="FCZ264" s="1"/>
      <c r="FDA264" s="1"/>
      <c r="FDB264" s="1"/>
      <c r="FDC264" s="1"/>
      <c r="FDD264" s="1"/>
      <c r="FDE264" s="1"/>
      <c r="FDF264" s="1"/>
      <c r="FDG264" s="1"/>
      <c r="FDH264" s="1"/>
      <c r="FDI264" s="1"/>
      <c r="FDJ264" s="1"/>
      <c r="FDK264" s="1"/>
      <c r="FDL264" s="1"/>
      <c r="FDM264" s="1"/>
      <c r="FDN264" s="1"/>
      <c r="FDO264" s="1"/>
      <c r="FDP264" s="1"/>
      <c r="FDQ264" s="1"/>
      <c r="FDR264" s="1"/>
      <c r="FDS264" s="1"/>
      <c r="FDT264" s="1"/>
      <c r="FDU264" s="1"/>
      <c r="FDV264" s="1"/>
      <c r="FDW264" s="1"/>
      <c r="FDX264" s="1"/>
      <c r="FDY264" s="1"/>
      <c r="FDZ264" s="1"/>
      <c r="FEA264" s="1"/>
      <c r="FEB264" s="1"/>
      <c r="FEC264" s="1"/>
      <c r="FED264" s="1"/>
      <c r="FEE264" s="1"/>
      <c r="FEF264" s="1"/>
      <c r="FEG264" s="1"/>
      <c r="FEH264" s="1"/>
      <c r="FEI264" s="1"/>
      <c r="FEJ264" s="1"/>
      <c r="FEK264" s="1"/>
      <c r="FEL264" s="1"/>
      <c r="FEM264" s="1"/>
      <c r="FEN264" s="1"/>
      <c r="FEO264" s="1"/>
      <c r="FEP264" s="1"/>
      <c r="FEQ264" s="1"/>
      <c r="FER264" s="1"/>
      <c r="FES264" s="1"/>
      <c r="FET264" s="1"/>
      <c r="FEU264" s="1"/>
      <c r="FEV264" s="1"/>
      <c r="FEW264" s="1"/>
      <c r="FEX264" s="1"/>
      <c r="FEY264" s="1"/>
      <c r="FEZ264" s="1"/>
      <c r="FFA264" s="1"/>
      <c r="FFB264" s="1"/>
      <c r="FFC264" s="1"/>
      <c r="FFD264" s="1"/>
      <c r="FFE264" s="1"/>
      <c r="FFF264" s="1"/>
      <c r="FFG264" s="1"/>
      <c r="FFH264" s="1"/>
      <c r="FFI264" s="1"/>
      <c r="FFJ264" s="1"/>
      <c r="FFK264" s="1"/>
      <c r="FFL264" s="1"/>
      <c r="FFM264" s="1"/>
      <c r="FFN264" s="1"/>
      <c r="FFO264" s="1"/>
      <c r="FFP264" s="1"/>
      <c r="FFQ264" s="1"/>
      <c r="FFR264" s="1"/>
      <c r="FFS264" s="1"/>
      <c r="FFT264" s="1"/>
      <c r="FFU264" s="1"/>
      <c r="FFV264" s="1"/>
      <c r="FFW264" s="1"/>
      <c r="FFX264" s="1"/>
      <c r="FFY264" s="1"/>
      <c r="FFZ264" s="1"/>
      <c r="FGA264" s="1"/>
      <c r="FGB264" s="1"/>
      <c r="FGC264" s="1"/>
      <c r="FGD264" s="1"/>
      <c r="FGE264" s="1"/>
      <c r="FGF264" s="1"/>
      <c r="FGG264" s="1"/>
      <c r="FGH264" s="1"/>
      <c r="FGI264" s="1"/>
      <c r="FGJ264" s="1"/>
      <c r="FGK264" s="1"/>
      <c r="FGL264" s="1"/>
      <c r="FGM264" s="1"/>
      <c r="FGN264" s="1"/>
      <c r="FGO264" s="1"/>
      <c r="FGP264" s="1"/>
      <c r="FGQ264" s="1"/>
      <c r="FGR264" s="1"/>
      <c r="FGS264" s="1"/>
      <c r="FGT264" s="1"/>
      <c r="FGU264" s="1"/>
      <c r="FGV264" s="1"/>
      <c r="FGW264" s="1"/>
      <c r="FGX264" s="1"/>
      <c r="FGY264" s="1"/>
      <c r="FGZ264" s="1"/>
      <c r="FHA264" s="1"/>
      <c r="FHB264" s="1"/>
      <c r="FHC264" s="1"/>
      <c r="FHD264" s="1"/>
      <c r="FHE264" s="1"/>
      <c r="FHF264" s="1"/>
      <c r="FHG264" s="1"/>
      <c r="FHH264" s="1"/>
      <c r="FHI264" s="1"/>
      <c r="FHJ264" s="1"/>
      <c r="FHK264" s="1"/>
      <c r="FHL264" s="1"/>
      <c r="FHM264" s="1"/>
      <c r="FHN264" s="1"/>
      <c r="FHO264" s="1"/>
      <c r="FHP264" s="1"/>
      <c r="FHQ264" s="1"/>
      <c r="FHR264" s="1"/>
      <c r="FHS264" s="1"/>
      <c r="FHT264" s="1"/>
      <c r="FHU264" s="1"/>
      <c r="FHV264" s="1"/>
      <c r="FHW264" s="1"/>
      <c r="FHX264" s="1"/>
      <c r="FHY264" s="1"/>
      <c r="FHZ264" s="1"/>
      <c r="FIA264" s="1"/>
      <c r="FIB264" s="1"/>
      <c r="FIC264" s="1"/>
      <c r="FID264" s="1"/>
      <c r="FIE264" s="1"/>
      <c r="FIF264" s="1"/>
      <c r="FIG264" s="1"/>
      <c r="FIH264" s="1"/>
      <c r="FII264" s="1"/>
      <c r="FIJ264" s="1"/>
      <c r="FIK264" s="1"/>
      <c r="FIL264" s="1"/>
      <c r="FIM264" s="1"/>
      <c r="FIN264" s="1"/>
      <c r="FIO264" s="1"/>
      <c r="FIP264" s="1"/>
      <c r="FIQ264" s="1"/>
      <c r="FIR264" s="1"/>
      <c r="FIS264" s="1"/>
      <c r="FIT264" s="1"/>
      <c r="FIU264" s="1"/>
      <c r="FIV264" s="1"/>
      <c r="FIW264" s="1"/>
      <c r="FIX264" s="1"/>
      <c r="FIY264" s="1"/>
      <c r="FIZ264" s="1"/>
      <c r="FJA264" s="1"/>
      <c r="FJB264" s="1"/>
      <c r="FJC264" s="1"/>
      <c r="FJD264" s="1"/>
      <c r="FJE264" s="1"/>
      <c r="FJF264" s="1"/>
      <c r="FJG264" s="1"/>
      <c r="FJH264" s="1"/>
      <c r="FJI264" s="1"/>
      <c r="FJJ264" s="1"/>
      <c r="FJK264" s="1"/>
      <c r="FJL264" s="1"/>
      <c r="FJM264" s="1"/>
      <c r="FJN264" s="1"/>
      <c r="FJO264" s="1"/>
      <c r="FJP264" s="1"/>
      <c r="FJQ264" s="1"/>
      <c r="FJR264" s="1"/>
      <c r="FJS264" s="1"/>
      <c r="FJT264" s="1"/>
      <c r="FJU264" s="1"/>
      <c r="FJV264" s="1"/>
      <c r="FJW264" s="1"/>
      <c r="FJX264" s="1"/>
      <c r="FJY264" s="1"/>
      <c r="FJZ264" s="1"/>
      <c r="FKA264" s="1"/>
      <c r="FKB264" s="1"/>
      <c r="FKC264" s="1"/>
      <c r="FKD264" s="1"/>
      <c r="FKE264" s="1"/>
      <c r="FKF264" s="1"/>
      <c r="FKG264" s="1"/>
      <c r="FKH264" s="1"/>
      <c r="FKI264" s="1"/>
      <c r="FKJ264" s="1"/>
      <c r="FKK264" s="1"/>
      <c r="FKL264" s="1"/>
      <c r="FKM264" s="1"/>
      <c r="FKN264" s="1"/>
      <c r="FKO264" s="1"/>
      <c r="FKP264" s="1"/>
      <c r="FKQ264" s="1"/>
      <c r="FKR264" s="1"/>
      <c r="FKS264" s="1"/>
      <c r="FKT264" s="1"/>
      <c r="FKU264" s="1"/>
      <c r="FKV264" s="1"/>
      <c r="FKW264" s="1"/>
      <c r="FKX264" s="1"/>
      <c r="FKY264" s="1"/>
      <c r="FKZ264" s="1"/>
      <c r="FLA264" s="1"/>
      <c r="FLB264" s="1"/>
      <c r="FLC264" s="1"/>
      <c r="FLD264" s="1"/>
      <c r="FLE264" s="1"/>
      <c r="FLF264" s="1"/>
      <c r="FLG264" s="1"/>
      <c r="FLH264" s="1"/>
      <c r="FLI264" s="1"/>
      <c r="FLJ264" s="1"/>
      <c r="FLK264" s="1"/>
      <c r="FLL264" s="1"/>
      <c r="FLM264" s="1"/>
      <c r="FLN264" s="1"/>
      <c r="FLO264" s="1"/>
      <c r="FLP264" s="1"/>
      <c r="FLQ264" s="1"/>
      <c r="FLR264" s="1"/>
      <c r="FLS264" s="1"/>
      <c r="FLT264" s="1"/>
      <c r="FLU264" s="1"/>
      <c r="FLV264" s="1"/>
      <c r="FLW264" s="1"/>
      <c r="FLX264" s="1"/>
      <c r="FLY264" s="1"/>
      <c r="FLZ264" s="1"/>
      <c r="FMA264" s="1"/>
      <c r="FMB264" s="1"/>
      <c r="FMC264" s="1"/>
      <c r="FMD264" s="1"/>
      <c r="FME264" s="1"/>
      <c r="FMF264" s="1"/>
      <c r="FMG264" s="1"/>
      <c r="FMH264" s="1"/>
      <c r="FMI264" s="1"/>
      <c r="FMJ264" s="1"/>
      <c r="FMK264" s="1"/>
      <c r="FML264" s="1"/>
      <c r="FMM264" s="1"/>
      <c r="FMN264" s="1"/>
      <c r="FMO264" s="1"/>
      <c r="FMP264" s="1"/>
      <c r="FMQ264" s="1"/>
      <c r="FMR264" s="1"/>
      <c r="FMS264" s="1"/>
      <c r="FMT264" s="1"/>
      <c r="FMU264" s="1"/>
      <c r="FMV264" s="1"/>
      <c r="FMW264" s="1"/>
      <c r="FMX264" s="1"/>
      <c r="FMY264" s="1"/>
      <c r="FMZ264" s="1"/>
      <c r="FNA264" s="1"/>
      <c r="FNB264" s="1"/>
      <c r="FNC264" s="1"/>
      <c r="FND264" s="1"/>
      <c r="FNE264" s="1"/>
      <c r="FNF264" s="1"/>
      <c r="FNG264" s="1"/>
      <c r="FNH264" s="1"/>
      <c r="FNI264" s="1"/>
      <c r="FNJ264" s="1"/>
      <c r="FNK264" s="1"/>
      <c r="FNL264" s="1"/>
      <c r="FNM264" s="1"/>
      <c r="FNN264" s="1"/>
      <c r="FNO264" s="1"/>
      <c r="FNP264" s="1"/>
      <c r="FNQ264" s="1"/>
      <c r="FNR264" s="1"/>
      <c r="FNS264" s="1"/>
      <c r="FNT264" s="1"/>
      <c r="FNU264" s="1"/>
      <c r="FNV264" s="1"/>
      <c r="FNW264" s="1"/>
      <c r="FNX264" s="1"/>
      <c r="FNY264" s="1"/>
      <c r="FNZ264" s="1"/>
      <c r="FOA264" s="1"/>
      <c r="FOB264" s="1"/>
      <c r="FOC264" s="1"/>
      <c r="FOD264" s="1"/>
      <c r="FOE264" s="1"/>
      <c r="FOF264" s="1"/>
      <c r="FOG264" s="1"/>
      <c r="FOH264" s="1"/>
      <c r="FOI264" s="1"/>
      <c r="FOJ264" s="1"/>
      <c r="FOK264" s="1"/>
      <c r="FOL264" s="1"/>
      <c r="FOM264" s="1"/>
      <c r="FON264" s="1"/>
      <c r="FOO264" s="1"/>
      <c r="FOP264" s="1"/>
      <c r="FOQ264" s="1"/>
      <c r="FOR264" s="1"/>
      <c r="FOS264" s="1"/>
      <c r="FOT264" s="1"/>
      <c r="FOU264" s="1"/>
      <c r="FOV264" s="1"/>
      <c r="FOW264" s="1"/>
      <c r="FOX264" s="1"/>
      <c r="FOY264" s="1"/>
      <c r="FOZ264" s="1"/>
      <c r="FPA264" s="1"/>
      <c r="FPB264" s="1"/>
      <c r="FPC264" s="1"/>
      <c r="FPD264" s="1"/>
      <c r="FPE264" s="1"/>
      <c r="FPF264" s="1"/>
      <c r="FPG264" s="1"/>
      <c r="FPH264" s="1"/>
      <c r="FPI264" s="1"/>
      <c r="FPJ264" s="1"/>
      <c r="FPK264" s="1"/>
      <c r="FPL264" s="1"/>
      <c r="FPM264" s="1"/>
      <c r="FPN264" s="1"/>
      <c r="FPO264" s="1"/>
      <c r="FPP264" s="1"/>
      <c r="FPQ264" s="1"/>
      <c r="FPR264" s="1"/>
      <c r="FPS264" s="1"/>
      <c r="FPT264" s="1"/>
      <c r="FPU264" s="1"/>
      <c r="FPV264" s="1"/>
      <c r="FPW264" s="1"/>
      <c r="FPX264" s="1"/>
      <c r="FPY264" s="1"/>
      <c r="FPZ264" s="1"/>
      <c r="FQA264" s="1"/>
      <c r="FQB264" s="1"/>
      <c r="FQC264" s="1"/>
      <c r="FQD264" s="1"/>
      <c r="FQE264" s="1"/>
      <c r="FQF264" s="1"/>
      <c r="FQG264" s="1"/>
      <c r="FQH264" s="1"/>
      <c r="FQI264" s="1"/>
      <c r="FQJ264" s="1"/>
      <c r="FQK264" s="1"/>
      <c r="FQL264" s="1"/>
      <c r="FQM264" s="1"/>
      <c r="FQN264" s="1"/>
      <c r="FQO264" s="1"/>
      <c r="FQP264" s="1"/>
      <c r="FQQ264" s="1"/>
      <c r="FQR264" s="1"/>
      <c r="FQS264" s="1"/>
      <c r="FQT264" s="1"/>
      <c r="FQU264" s="1"/>
      <c r="FQV264" s="1"/>
      <c r="FQW264" s="1"/>
      <c r="FQX264" s="1"/>
      <c r="FQY264" s="1"/>
      <c r="FQZ264" s="1"/>
      <c r="FRA264" s="1"/>
      <c r="FRB264" s="1"/>
      <c r="FRC264" s="1"/>
      <c r="FRD264" s="1"/>
      <c r="FRE264" s="1"/>
      <c r="FRF264" s="1"/>
      <c r="FRG264" s="1"/>
      <c r="FRH264" s="1"/>
      <c r="FRI264" s="1"/>
      <c r="FRJ264" s="1"/>
      <c r="FRK264" s="1"/>
      <c r="FRL264" s="1"/>
      <c r="FRM264" s="1"/>
      <c r="FRN264" s="1"/>
      <c r="FRO264" s="1"/>
      <c r="FRP264" s="1"/>
      <c r="FRQ264" s="1"/>
      <c r="FRR264" s="1"/>
      <c r="FRS264" s="1"/>
      <c r="FRT264" s="1"/>
      <c r="FRU264" s="1"/>
      <c r="FRV264" s="1"/>
      <c r="FRW264" s="1"/>
      <c r="FRX264" s="1"/>
      <c r="FRY264" s="1"/>
      <c r="FRZ264" s="1"/>
      <c r="FSA264" s="1"/>
      <c r="FSB264" s="1"/>
      <c r="FSC264" s="1"/>
      <c r="FSD264" s="1"/>
      <c r="FSE264" s="1"/>
      <c r="FSF264" s="1"/>
      <c r="FSG264" s="1"/>
      <c r="FSH264" s="1"/>
      <c r="FSI264" s="1"/>
      <c r="FSJ264" s="1"/>
      <c r="FSK264" s="1"/>
      <c r="FSL264" s="1"/>
      <c r="FSM264" s="1"/>
      <c r="FSN264" s="1"/>
      <c r="FSO264" s="1"/>
      <c r="FSP264" s="1"/>
      <c r="FSQ264" s="1"/>
      <c r="FSR264" s="1"/>
      <c r="FSS264" s="1"/>
      <c r="FST264" s="1"/>
      <c r="FSU264" s="1"/>
      <c r="FSV264" s="1"/>
      <c r="FSW264" s="1"/>
      <c r="FSX264" s="1"/>
      <c r="FSY264" s="1"/>
      <c r="FSZ264" s="1"/>
      <c r="FTA264" s="1"/>
      <c r="FTB264" s="1"/>
      <c r="FTC264" s="1"/>
      <c r="FTD264" s="1"/>
      <c r="FTE264" s="1"/>
      <c r="FTF264" s="1"/>
      <c r="FTG264" s="1"/>
      <c r="FTH264" s="1"/>
      <c r="FTI264" s="1"/>
      <c r="FTJ264" s="1"/>
      <c r="FTK264" s="1"/>
      <c r="FTL264" s="1"/>
      <c r="FTM264" s="1"/>
      <c r="FTN264" s="1"/>
      <c r="FTO264" s="1"/>
      <c r="FTP264" s="1"/>
      <c r="FTQ264" s="1"/>
      <c r="FTR264" s="1"/>
      <c r="FTS264" s="1"/>
      <c r="FTT264" s="1"/>
      <c r="FTU264" s="1"/>
      <c r="FTV264" s="1"/>
      <c r="FTW264" s="1"/>
      <c r="FTX264" s="1"/>
      <c r="FTY264" s="1"/>
      <c r="FTZ264" s="1"/>
      <c r="FUA264" s="1"/>
      <c r="FUB264" s="1"/>
      <c r="FUC264" s="1"/>
      <c r="FUD264" s="1"/>
      <c r="FUE264" s="1"/>
      <c r="FUF264" s="1"/>
      <c r="FUG264" s="1"/>
      <c r="FUH264" s="1"/>
      <c r="FUI264" s="1"/>
      <c r="FUJ264" s="1"/>
      <c r="FUK264" s="1"/>
      <c r="FUL264" s="1"/>
      <c r="FUM264" s="1"/>
      <c r="FUN264" s="1"/>
      <c r="FUO264" s="1"/>
      <c r="FUP264" s="1"/>
      <c r="FUQ264" s="1"/>
      <c r="FUR264" s="1"/>
      <c r="FUS264" s="1"/>
      <c r="FUT264" s="1"/>
      <c r="FUU264" s="1"/>
      <c r="FUV264" s="1"/>
      <c r="FUW264" s="1"/>
      <c r="FUX264" s="1"/>
      <c r="FUY264" s="1"/>
      <c r="FUZ264" s="1"/>
      <c r="FVA264" s="1"/>
      <c r="FVB264" s="1"/>
      <c r="FVC264" s="1"/>
      <c r="FVD264" s="1"/>
      <c r="FVE264" s="1"/>
      <c r="FVF264" s="1"/>
      <c r="FVG264" s="1"/>
      <c r="FVH264" s="1"/>
      <c r="FVI264" s="1"/>
      <c r="FVJ264" s="1"/>
      <c r="FVK264" s="1"/>
      <c r="FVL264" s="1"/>
      <c r="FVM264" s="1"/>
      <c r="FVN264" s="1"/>
      <c r="FVO264" s="1"/>
      <c r="FVP264" s="1"/>
      <c r="FVQ264" s="1"/>
      <c r="FVR264" s="1"/>
      <c r="FVS264" s="1"/>
      <c r="FVT264" s="1"/>
      <c r="FVU264" s="1"/>
      <c r="FVV264" s="1"/>
      <c r="FVW264" s="1"/>
      <c r="FVX264" s="1"/>
      <c r="FVY264" s="1"/>
      <c r="FVZ264" s="1"/>
      <c r="FWA264" s="1"/>
      <c r="FWB264" s="1"/>
      <c r="FWC264" s="1"/>
      <c r="FWD264" s="1"/>
      <c r="FWE264" s="1"/>
      <c r="FWF264" s="1"/>
      <c r="FWG264" s="1"/>
      <c r="FWH264" s="1"/>
      <c r="FWI264" s="1"/>
      <c r="FWJ264" s="1"/>
      <c r="FWK264" s="1"/>
      <c r="FWL264" s="1"/>
      <c r="FWM264" s="1"/>
      <c r="FWN264" s="1"/>
      <c r="FWO264" s="1"/>
      <c r="FWP264" s="1"/>
      <c r="FWQ264" s="1"/>
      <c r="FWR264" s="1"/>
      <c r="FWS264" s="1"/>
      <c r="FWT264" s="1"/>
      <c r="FWU264" s="1"/>
      <c r="FWV264" s="1"/>
      <c r="FWW264" s="1"/>
      <c r="FWX264" s="1"/>
      <c r="FWY264" s="1"/>
      <c r="FWZ264" s="1"/>
      <c r="FXA264" s="1"/>
      <c r="FXB264" s="1"/>
      <c r="FXC264" s="1"/>
      <c r="FXD264" s="1"/>
      <c r="FXE264" s="1"/>
      <c r="FXF264" s="1"/>
      <c r="FXG264" s="1"/>
      <c r="FXH264" s="1"/>
      <c r="FXI264" s="1"/>
      <c r="FXJ264" s="1"/>
      <c r="FXK264" s="1"/>
      <c r="FXL264" s="1"/>
      <c r="FXM264" s="1"/>
      <c r="FXN264" s="1"/>
      <c r="FXO264" s="1"/>
      <c r="FXP264" s="1"/>
      <c r="FXQ264" s="1"/>
      <c r="FXR264" s="1"/>
      <c r="FXS264" s="1"/>
      <c r="FXT264" s="1"/>
      <c r="FXU264" s="1"/>
      <c r="FXV264" s="1"/>
      <c r="FXW264" s="1"/>
      <c r="FXX264" s="1"/>
      <c r="FXY264" s="1"/>
      <c r="FXZ264" s="1"/>
      <c r="FYA264" s="1"/>
      <c r="FYB264" s="1"/>
      <c r="FYC264" s="1"/>
      <c r="FYD264" s="1"/>
      <c r="FYE264" s="1"/>
      <c r="FYF264" s="1"/>
      <c r="FYG264" s="1"/>
      <c r="FYH264" s="1"/>
      <c r="FYI264" s="1"/>
      <c r="FYJ264" s="1"/>
      <c r="FYK264" s="1"/>
      <c r="FYL264" s="1"/>
      <c r="FYM264" s="1"/>
      <c r="FYN264" s="1"/>
      <c r="FYO264" s="1"/>
      <c r="FYP264" s="1"/>
      <c r="FYQ264" s="1"/>
      <c r="FYR264" s="1"/>
      <c r="FYS264" s="1"/>
      <c r="FYT264" s="1"/>
      <c r="FYU264" s="1"/>
      <c r="FYV264" s="1"/>
      <c r="FYW264" s="1"/>
      <c r="FYX264" s="1"/>
      <c r="FYY264" s="1"/>
      <c r="FYZ264" s="1"/>
      <c r="FZA264" s="1"/>
      <c r="FZB264" s="1"/>
      <c r="FZC264" s="1"/>
      <c r="FZD264" s="1"/>
      <c r="FZE264" s="1"/>
      <c r="FZF264" s="1"/>
      <c r="FZG264" s="1"/>
      <c r="FZH264" s="1"/>
      <c r="FZI264" s="1"/>
      <c r="FZJ264" s="1"/>
      <c r="FZK264" s="1"/>
      <c r="FZL264" s="1"/>
      <c r="FZM264" s="1"/>
      <c r="FZN264" s="1"/>
      <c r="FZO264" s="1"/>
      <c r="FZP264" s="1"/>
      <c r="FZQ264" s="1"/>
      <c r="FZR264" s="1"/>
      <c r="FZS264" s="1"/>
      <c r="FZT264" s="1"/>
      <c r="FZU264" s="1"/>
      <c r="FZV264" s="1"/>
      <c r="FZW264" s="1"/>
      <c r="FZX264" s="1"/>
      <c r="FZY264" s="1"/>
      <c r="FZZ264" s="1"/>
      <c r="GAA264" s="1"/>
      <c r="GAB264" s="1"/>
      <c r="GAC264" s="1"/>
      <c r="GAD264" s="1"/>
      <c r="GAE264" s="1"/>
      <c r="GAF264" s="1"/>
      <c r="GAG264" s="1"/>
      <c r="GAH264" s="1"/>
      <c r="GAI264" s="1"/>
      <c r="GAJ264" s="1"/>
      <c r="GAK264" s="1"/>
      <c r="GAL264" s="1"/>
      <c r="GAM264" s="1"/>
      <c r="GAN264" s="1"/>
      <c r="GAO264" s="1"/>
      <c r="GAP264" s="1"/>
      <c r="GAQ264" s="1"/>
      <c r="GAR264" s="1"/>
      <c r="GAS264" s="1"/>
      <c r="GAT264" s="1"/>
      <c r="GAU264" s="1"/>
      <c r="GAV264" s="1"/>
      <c r="GAW264" s="1"/>
      <c r="GAX264" s="1"/>
      <c r="GAY264" s="1"/>
      <c r="GAZ264" s="1"/>
      <c r="GBA264" s="1"/>
      <c r="GBB264" s="1"/>
      <c r="GBC264" s="1"/>
      <c r="GBD264" s="1"/>
      <c r="GBE264" s="1"/>
      <c r="GBF264" s="1"/>
      <c r="GBG264" s="1"/>
      <c r="GBH264" s="1"/>
      <c r="GBI264" s="1"/>
      <c r="GBJ264" s="1"/>
      <c r="GBK264" s="1"/>
      <c r="GBL264" s="1"/>
      <c r="GBM264" s="1"/>
      <c r="GBN264" s="1"/>
      <c r="GBO264" s="1"/>
      <c r="GBP264" s="1"/>
      <c r="GBQ264" s="1"/>
      <c r="GBR264" s="1"/>
      <c r="GBS264" s="1"/>
      <c r="GBT264" s="1"/>
      <c r="GBU264" s="1"/>
      <c r="GBV264" s="1"/>
      <c r="GBW264" s="1"/>
      <c r="GBX264" s="1"/>
      <c r="GBY264" s="1"/>
      <c r="GBZ264" s="1"/>
      <c r="GCA264" s="1"/>
      <c r="GCB264" s="1"/>
      <c r="GCC264" s="1"/>
      <c r="GCD264" s="1"/>
      <c r="GCE264" s="1"/>
      <c r="GCF264" s="1"/>
      <c r="GCG264" s="1"/>
      <c r="GCH264" s="1"/>
      <c r="GCI264" s="1"/>
      <c r="GCJ264" s="1"/>
      <c r="GCK264" s="1"/>
      <c r="GCL264" s="1"/>
      <c r="GCM264" s="1"/>
      <c r="GCN264" s="1"/>
      <c r="GCO264" s="1"/>
      <c r="GCP264" s="1"/>
      <c r="GCQ264" s="1"/>
      <c r="GCR264" s="1"/>
      <c r="GCS264" s="1"/>
      <c r="GCT264" s="1"/>
      <c r="GCU264" s="1"/>
      <c r="GCV264" s="1"/>
      <c r="GCW264" s="1"/>
      <c r="GCX264" s="1"/>
      <c r="GCY264" s="1"/>
      <c r="GCZ264" s="1"/>
      <c r="GDA264" s="1"/>
      <c r="GDB264" s="1"/>
      <c r="GDC264" s="1"/>
      <c r="GDD264" s="1"/>
      <c r="GDE264" s="1"/>
      <c r="GDF264" s="1"/>
      <c r="GDG264" s="1"/>
      <c r="GDH264" s="1"/>
      <c r="GDI264" s="1"/>
      <c r="GDJ264" s="1"/>
      <c r="GDK264" s="1"/>
      <c r="GDL264" s="1"/>
      <c r="GDM264" s="1"/>
      <c r="GDN264" s="1"/>
      <c r="GDO264" s="1"/>
      <c r="GDP264" s="1"/>
      <c r="GDQ264" s="1"/>
      <c r="GDR264" s="1"/>
      <c r="GDS264" s="1"/>
      <c r="GDT264" s="1"/>
      <c r="GDU264" s="1"/>
      <c r="GDV264" s="1"/>
      <c r="GDW264" s="1"/>
      <c r="GDX264" s="1"/>
      <c r="GDY264" s="1"/>
      <c r="GDZ264" s="1"/>
      <c r="GEA264" s="1"/>
      <c r="GEB264" s="1"/>
      <c r="GEC264" s="1"/>
      <c r="GED264" s="1"/>
      <c r="GEE264" s="1"/>
      <c r="GEF264" s="1"/>
      <c r="GEG264" s="1"/>
      <c r="GEH264" s="1"/>
      <c r="GEI264" s="1"/>
      <c r="GEJ264" s="1"/>
      <c r="GEK264" s="1"/>
      <c r="GEL264" s="1"/>
      <c r="GEM264" s="1"/>
      <c r="GEN264" s="1"/>
      <c r="GEO264" s="1"/>
      <c r="GEP264" s="1"/>
      <c r="GEQ264" s="1"/>
      <c r="GER264" s="1"/>
      <c r="GES264" s="1"/>
      <c r="GET264" s="1"/>
      <c r="GEU264" s="1"/>
      <c r="GEV264" s="1"/>
      <c r="GEW264" s="1"/>
      <c r="GEX264" s="1"/>
      <c r="GEY264" s="1"/>
      <c r="GEZ264" s="1"/>
      <c r="GFA264" s="1"/>
      <c r="GFB264" s="1"/>
      <c r="GFC264" s="1"/>
      <c r="GFD264" s="1"/>
      <c r="GFE264" s="1"/>
      <c r="GFF264" s="1"/>
      <c r="GFG264" s="1"/>
      <c r="GFH264" s="1"/>
      <c r="GFI264" s="1"/>
      <c r="GFJ264" s="1"/>
      <c r="GFK264" s="1"/>
      <c r="GFL264" s="1"/>
      <c r="GFM264" s="1"/>
      <c r="GFN264" s="1"/>
      <c r="GFO264" s="1"/>
      <c r="GFP264" s="1"/>
      <c r="GFQ264" s="1"/>
      <c r="GFR264" s="1"/>
      <c r="GFS264" s="1"/>
      <c r="GFT264" s="1"/>
      <c r="GFU264" s="1"/>
      <c r="GFV264" s="1"/>
      <c r="GFW264" s="1"/>
      <c r="GFX264" s="1"/>
      <c r="GFY264" s="1"/>
      <c r="GFZ264" s="1"/>
      <c r="GGA264" s="1"/>
      <c r="GGB264" s="1"/>
      <c r="GGC264" s="1"/>
      <c r="GGD264" s="1"/>
      <c r="GGE264" s="1"/>
      <c r="GGF264" s="1"/>
      <c r="GGG264" s="1"/>
      <c r="GGH264" s="1"/>
      <c r="GGI264" s="1"/>
      <c r="GGJ264" s="1"/>
      <c r="GGK264" s="1"/>
      <c r="GGL264" s="1"/>
      <c r="GGM264" s="1"/>
      <c r="GGN264" s="1"/>
      <c r="GGO264" s="1"/>
      <c r="GGP264" s="1"/>
      <c r="GGQ264" s="1"/>
      <c r="GGR264" s="1"/>
      <c r="GGS264" s="1"/>
      <c r="GGT264" s="1"/>
      <c r="GGU264" s="1"/>
      <c r="GGV264" s="1"/>
      <c r="GGW264" s="1"/>
      <c r="GGX264" s="1"/>
      <c r="GGY264" s="1"/>
      <c r="GGZ264" s="1"/>
      <c r="GHA264" s="1"/>
      <c r="GHB264" s="1"/>
      <c r="GHC264" s="1"/>
      <c r="GHD264" s="1"/>
      <c r="GHE264" s="1"/>
      <c r="GHF264" s="1"/>
      <c r="GHG264" s="1"/>
      <c r="GHH264" s="1"/>
      <c r="GHI264" s="1"/>
      <c r="GHJ264" s="1"/>
      <c r="GHK264" s="1"/>
      <c r="GHL264" s="1"/>
      <c r="GHM264" s="1"/>
      <c r="GHN264" s="1"/>
      <c r="GHO264" s="1"/>
      <c r="GHP264" s="1"/>
      <c r="GHQ264" s="1"/>
      <c r="GHR264" s="1"/>
      <c r="GHS264" s="1"/>
      <c r="GHT264" s="1"/>
      <c r="GHU264" s="1"/>
      <c r="GHV264" s="1"/>
      <c r="GHW264" s="1"/>
      <c r="GHX264" s="1"/>
      <c r="GHY264" s="1"/>
      <c r="GHZ264" s="1"/>
      <c r="GIA264" s="1"/>
      <c r="GIB264" s="1"/>
      <c r="GIC264" s="1"/>
      <c r="GID264" s="1"/>
      <c r="GIE264" s="1"/>
      <c r="GIF264" s="1"/>
      <c r="GIG264" s="1"/>
      <c r="GIH264" s="1"/>
      <c r="GII264" s="1"/>
      <c r="GIJ264" s="1"/>
      <c r="GIK264" s="1"/>
      <c r="GIL264" s="1"/>
      <c r="GIM264" s="1"/>
      <c r="GIN264" s="1"/>
      <c r="GIO264" s="1"/>
      <c r="GIP264" s="1"/>
      <c r="GIQ264" s="1"/>
      <c r="GIR264" s="1"/>
      <c r="GIS264" s="1"/>
      <c r="GIT264" s="1"/>
      <c r="GIU264" s="1"/>
      <c r="GIV264" s="1"/>
      <c r="GIW264" s="1"/>
      <c r="GIX264" s="1"/>
      <c r="GIY264" s="1"/>
      <c r="GIZ264" s="1"/>
      <c r="GJA264" s="1"/>
      <c r="GJB264" s="1"/>
      <c r="GJC264" s="1"/>
      <c r="GJD264" s="1"/>
      <c r="GJE264" s="1"/>
      <c r="GJF264" s="1"/>
      <c r="GJG264" s="1"/>
      <c r="GJH264" s="1"/>
      <c r="GJI264" s="1"/>
      <c r="GJJ264" s="1"/>
      <c r="GJK264" s="1"/>
      <c r="GJL264" s="1"/>
      <c r="GJM264" s="1"/>
      <c r="GJN264" s="1"/>
      <c r="GJO264" s="1"/>
      <c r="GJP264" s="1"/>
      <c r="GJQ264" s="1"/>
      <c r="GJR264" s="1"/>
      <c r="GJS264" s="1"/>
      <c r="GJT264" s="1"/>
      <c r="GJU264" s="1"/>
      <c r="GJV264" s="1"/>
      <c r="GJW264" s="1"/>
      <c r="GJX264" s="1"/>
      <c r="GJY264" s="1"/>
      <c r="GJZ264" s="1"/>
      <c r="GKA264" s="1"/>
      <c r="GKB264" s="1"/>
      <c r="GKC264" s="1"/>
      <c r="GKD264" s="1"/>
      <c r="GKE264" s="1"/>
      <c r="GKF264" s="1"/>
      <c r="GKG264" s="1"/>
      <c r="GKH264" s="1"/>
      <c r="GKI264" s="1"/>
      <c r="GKJ264" s="1"/>
      <c r="GKK264" s="1"/>
      <c r="GKL264" s="1"/>
      <c r="GKM264" s="1"/>
      <c r="GKN264" s="1"/>
      <c r="GKO264" s="1"/>
      <c r="GKP264" s="1"/>
      <c r="GKQ264" s="1"/>
      <c r="GKR264" s="1"/>
      <c r="GKS264" s="1"/>
      <c r="GKT264" s="1"/>
      <c r="GKU264" s="1"/>
      <c r="GKV264" s="1"/>
      <c r="GKW264" s="1"/>
      <c r="GKX264" s="1"/>
      <c r="GKY264" s="1"/>
      <c r="GKZ264" s="1"/>
      <c r="GLA264" s="1"/>
      <c r="GLB264" s="1"/>
      <c r="GLC264" s="1"/>
      <c r="GLD264" s="1"/>
      <c r="GLE264" s="1"/>
      <c r="GLF264" s="1"/>
      <c r="GLG264" s="1"/>
      <c r="GLH264" s="1"/>
      <c r="GLI264" s="1"/>
      <c r="GLJ264" s="1"/>
      <c r="GLK264" s="1"/>
      <c r="GLL264" s="1"/>
      <c r="GLM264" s="1"/>
      <c r="GLN264" s="1"/>
      <c r="GLO264" s="1"/>
      <c r="GLP264" s="1"/>
      <c r="GLQ264" s="1"/>
      <c r="GLR264" s="1"/>
      <c r="GLS264" s="1"/>
      <c r="GLT264" s="1"/>
      <c r="GLU264" s="1"/>
      <c r="GLV264" s="1"/>
      <c r="GLW264" s="1"/>
      <c r="GLX264" s="1"/>
      <c r="GLY264" s="1"/>
      <c r="GLZ264" s="1"/>
      <c r="GMA264" s="1"/>
      <c r="GMB264" s="1"/>
      <c r="GMC264" s="1"/>
      <c r="GMD264" s="1"/>
      <c r="GME264" s="1"/>
      <c r="GMF264" s="1"/>
      <c r="GMG264" s="1"/>
      <c r="GMH264" s="1"/>
      <c r="GMI264" s="1"/>
      <c r="GMJ264" s="1"/>
      <c r="GMK264" s="1"/>
      <c r="GML264" s="1"/>
      <c r="GMM264" s="1"/>
      <c r="GMN264" s="1"/>
      <c r="GMO264" s="1"/>
      <c r="GMP264" s="1"/>
      <c r="GMQ264" s="1"/>
      <c r="GMR264" s="1"/>
      <c r="GMS264" s="1"/>
      <c r="GMT264" s="1"/>
      <c r="GMU264" s="1"/>
      <c r="GMV264" s="1"/>
      <c r="GMW264" s="1"/>
      <c r="GMX264" s="1"/>
      <c r="GMY264" s="1"/>
      <c r="GMZ264" s="1"/>
      <c r="GNA264" s="1"/>
      <c r="GNB264" s="1"/>
      <c r="GNC264" s="1"/>
      <c r="GND264" s="1"/>
      <c r="GNE264" s="1"/>
      <c r="GNF264" s="1"/>
      <c r="GNG264" s="1"/>
      <c r="GNH264" s="1"/>
      <c r="GNI264" s="1"/>
      <c r="GNJ264" s="1"/>
      <c r="GNK264" s="1"/>
      <c r="GNL264" s="1"/>
      <c r="GNM264" s="1"/>
      <c r="GNN264" s="1"/>
      <c r="GNO264" s="1"/>
      <c r="GNP264" s="1"/>
      <c r="GNQ264" s="1"/>
      <c r="GNR264" s="1"/>
      <c r="GNS264" s="1"/>
      <c r="GNT264" s="1"/>
      <c r="GNU264" s="1"/>
      <c r="GNV264" s="1"/>
      <c r="GNW264" s="1"/>
      <c r="GNX264" s="1"/>
      <c r="GNY264" s="1"/>
      <c r="GNZ264" s="1"/>
      <c r="GOA264" s="1"/>
      <c r="GOB264" s="1"/>
      <c r="GOC264" s="1"/>
      <c r="GOD264" s="1"/>
      <c r="GOE264" s="1"/>
      <c r="GOF264" s="1"/>
      <c r="GOG264" s="1"/>
      <c r="GOH264" s="1"/>
      <c r="GOI264" s="1"/>
      <c r="GOJ264" s="1"/>
      <c r="GOK264" s="1"/>
      <c r="GOL264" s="1"/>
      <c r="GOM264" s="1"/>
      <c r="GON264" s="1"/>
      <c r="GOO264" s="1"/>
      <c r="GOP264" s="1"/>
      <c r="GOQ264" s="1"/>
      <c r="GOR264" s="1"/>
      <c r="GOS264" s="1"/>
      <c r="GOT264" s="1"/>
      <c r="GOU264" s="1"/>
      <c r="GOV264" s="1"/>
      <c r="GOW264" s="1"/>
      <c r="GOX264" s="1"/>
      <c r="GOY264" s="1"/>
      <c r="GOZ264" s="1"/>
      <c r="GPA264" s="1"/>
      <c r="GPB264" s="1"/>
      <c r="GPC264" s="1"/>
      <c r="GPD264" s="1"/>
      <c r="GPE264" s="1"/>
      <c r="GPF264" s="1"/>
      <c r="GPG264" s="1"/>
      <c r="GPH264" s="1"/>
      <c r="GPI264" s="1"/>
      <c r="GPJ264" s="1"/>
      <c r="GPK264" s="1"/>
      <c r="GPL264" s="1"/>
      <c r="GPM264" s="1"/>
      <c r="GPN264" s="1"/>
      <c r="GPO264" s="1"/>
      <c r="GPP264" s="1"/>
      <c r="GPQ264" s="1"/>
      <c r="GPR264" s="1"/>
      <c r="GPS264" s="1"/>
      <c r="GPT264" s="1"/>
      <c r="GPU264" s="1"/>
      <c r="GPV264" s="1"/>
      <c r="GPW264" s="1"/>
      <c r="GPX264" s="1"/>
      <c r="GPY264" s="1"/>
      <c r="GPZ264" s="1"/>
      <c r="GQA264" s="1"/>
      <c r="GQB264" s="1"/>
      <c r="GQC264" s="1"/>
      <c r="GQD264" s="1"/>
      <c r="GQE264" s="1"/>
      <c r="GQF264" s="1"/>
      <c r="GQG264" s="1"/>
      <c r="GQH264" s="1"/>
      <c r="GQI264" s="1"/>
      <c r="GQJ264" s="1"/>
      <c r="GQK264" s="1"/>
      <c r="GQL264" s="1"/>
      <c r="GQM264" s="1"/>
      <c r="GQN264" s="1"/>
      <c r="GQO264" s="1"/>
      <c r="GQP264" s="1"/>
      <c r="GQQ264" s="1"/>
      <c r="GQR264" s="1"/>
      <c r="GQS264" s="1"/>
      <c r="GQT264" s="1"/>
      <c r="GQU264" s="1"/>
      <c r="GQV264" s="1"/>
      <c r="GQW264" s="1"/>
      <c r="GQX264" s="1"/>
      <c r="GQY264" s="1"/>
      <c r="GQZ264" s="1"/>
      <c r="GRA264" s="1"/>
      <c r="GRB264" s="1"/>
      <c r="GRC264" s="1"/>
      <c r="GRD264" s="1"/>
      <c r="GRE264" s="1"/>
      <c r="GRF264" s="1"/>
      <c r="GRG264" s="1"/>
      <c r="GRH264" s="1"/>
      <c r="GRI264" s="1"/>
      <c r="GRJ264" s="1"/>
      <c r="GRK264" s="1"/>
      <c r="GRL264" s="1"/>
      <c r="GRM264" s="1"/>
      <c r="GRN264" s="1"/>
      <c r="GRO264" s="1"/>
      <c r="GRP264" s="1"/>
      <c r="GRQ264" s="1"/>
      <c r="GRR264" s="1"/>
      <c r="GRS264" s="1"/>
      <c r="GRT264" s="1"/>
      <c r="GRU264" s="1"/>
      <c r="GRV264" s="1"/>
      <c r="GRW264" s="1"/>
      <c r="GRX264" s="1"/>
      <c r="GRY264" s="1"/>
      <c r="GRZ264" s="1"/>
      <c r="GSA264" s="1"/>
      <c r="GSB264" s="1"/>
      <c r="GSC264" s="1"/>
      <c r="GSD264" s="1"/>
      <c r="GSE264" s="1"/>
      <c r="GSF264" s="1"/>
      <c r="GSG264" s="1"/>
      <c r="GSH264" s="1"/>
      <c r="GSI264" s="1"/>
      <c r="GSJ264" s="1"/>
      <c r="GSK264" s="1"/>
      <c r="GSL264" s="1"/>
      <c r="GSM264" s="1"/>
      <c r="GSN264" s="1"/>
      <c r="GSO264" s="1"/>
      <c r="GSP264" s="1"/>
      <c r="GSQ264" s="1"/>
      <c r="GSR264" s="1"/>
      <c r="GSS264" s="1"/>
      <c r="GST264" s="1"/>
      <c r="GSU264" s="1"/>
      <c r="GSV264" s="1"/>
      <c r="GSW264" s="1"/>
      <c r="GSX264" s="1"/>
      <c r="GSY264" s="1"/>
      <c r="GSZ264" s="1"/>
      <c r="GTA264" s="1"/>
      <c r="GTB264" s="1"/>
      <c r="GTC264" s="1"/>
      <c r="GTD264" s="1"/>
      <c r="GTE264" s="1"/>
      <c r="GTF264" s="1"/>
      <c r="GTG264" s="1"/>
      <c r="GTH264" s="1"/>
      <c r="GTI264" s="1"/>
      <c r="GTJ264" s="1"/>
      <c r="GTK264" s="1"/>
      <c r="GTL264" s="1"/>
      <c r="GTM264" s="1"/>
      <c r="GTN264" s="1"/>
      <c r="GTO264" s="1"/>
      <c r="GTP264" s="1"/>
      <c r="GTQ264" s="1"/>
      <c r="GTR264" s="1"/>
      <c r="GTS264" s="1"/>
      <c r="GTT264" s="1"/>
      <c r="GTU264" s="1"/>
      <c r="GTV264" s="1"/>
      <c r="GTW264" s="1"/>
      <c r="GTX264" s="1"/>
      <c r="GTY264" s="1"/>
      <c r="GTZ264" s="1"/>
      <c r="GUA264" s="1"/>
      <c r="GUB264" s="1"/>
      <c r="GUC264" s="1"/>
      <c r="GUD264" s="1"/>
      <c r="GUE264" s="1"/>
      <c r="GUF264" s="1"/>
      <c r="GUG264" s="1"/>
      <c r="GUH264" s="1"/>
      <c r="GUI264" s="1"/>
      <c r="GUJ264" s="1"/>
      <c r="GUK264" s="1"/>
      <c r="GUL264" s="1"/>
      <c r="GUM264" s="1"/>
      <c r="GUN264" s="1"/>
      <c r="GUO264" s="1"/>
      <c r="GUP264" s="1"/>
      <c r="GUQ264" s="1"/>
      <c r="GUR264" s="1"/>
      <c r="GUS264" s="1"/>
      <c r="GUT264" s="1"/>
      <c r="GUU264" s="1"/>
      <c r="GUV264" s="1"/>
      <c r="GUW264" s="1"/>
      <c r="GUX264" s="1"/>
      <c r="GUY264" s="1"/>
      <c r="GUZ264" s="1"/>
      <c r="GVA264" s="1"/>
      <c r="GVB264" s="1"/>
      <c r="GVC264" s="1"/>
      <c r="GVD264" s="1"/>
      <c r="GVE264" s="1"/>
      <c r="GVF264" s="1"/>
      <c r="GVG264" s="1"/>
      <c r="GVH264" s="1"/>
      <c r="GVI264" s="1"/>
      <c r="GVJ264" s="1"/>
      <c r="GVK264" s="1"/>
      <c r="GVL264" s="1"/>
      <c r="GVM264" s="1"/>
      <c r="GVN264" s="1"/>
      <c r="GVO264" s="1"/>
      <c r="GVP264" s="1"/>
      <c r="GVQ264" s="1"/>
      <c r="GVR264" s="1"/>
      <c r="GVS264" s="1"/>
      <c r="GVT264" s="1"/>
      <c r="GVU264" s="1"/>
      <c r="GVV264" s="1"/>
      <c r="GVW264" s="1"/>
      <c r="GVX264" s="1"/>
      <c r="GVY264" s="1"/>
      <c r="GVZ264" s="1"/>
      <c r="GWA264" s="1"/>
      <c r="GWB264" s="1"/>
      <c r="GWC264" s="1"/>
      <c r="GWD264" s="1"/>
      <c r="GWE264" s="1"/>
      <c r="GWF264" s="1"/>
      <c r="GWG264" s="1"/>
      <c r="GWH264" s="1"/>
      <c r="GWI264" s="1"/>
      <c r="GWJ264" s="1"/>
      <c r="GWK264" s="1"/>
      <c r="GWL264" s="1"/>
      <c r="GWM264" s="1"/>
      <c r="GWN264" s="1"/>
      <c r="GWO264" s="1"/>
      <c r="GWP264" s="1"/>
      <c r="GWQ264" s="1"/>
      <c r="GWR264" s="1"/>
      <c r="GWS264" s="1"/>
      <c r="GWT264" s="1"/>
      <c r="GWU264" s="1"/>
      <c r="GWV264" s="1"/>
      <c r="GWW264" s="1"/>
      <c r="GWX264" s="1"/>
      <c r="GWY264" s="1"/>
      <c r="GWZ264" s="1"/>
      <c r="GXA264" s="1"/>
      <c r="GXB264" s="1"/>
      <c r="GXC264" s="1"/>
      <c r="GXD264" s="1"/>
      <c r="GXE264" s="1"/>
      <c r="GXF264" s="1"/>
      <c r="GXG264" s="1"/>
      <c r="GXH264" s="1"/>
      <c r="GXI264" s="1"/>
      <c r="GXJ264" s="1"/>
      <c r="GXK264" s="1"/>
      <c r="GXL264" s="1"/>
      <c r="GXM264" s="1"/>
      <c r="GXN264" s="1"/>
      <c r="GXO264" s="1"/>
      <c r="GXP264" s="1"/>
      <c r="GXQ264" s="1"/>
      <c r="GXR264" s="1"/>
      <c r="GXS264" s="1"/>
      <c r="GXT264" s="1"/>
      <c r="GXU264" s="1"/>
      <c r="GXV264" s="1"/>
      <c r="GXW264" s="1"/>
      <c r="GXX264" s="1"/>
      <c r="GXY264" s="1"/>
      <c r="GXZ264" s="1"/>
      <c r="GYA264" s="1"/>
      <c r="GYB264" s="1"/>
      <c r="GYC264" s="1"/>
      <c r="GYD264" s="1"/>
      <c r="GYE264" s="1"/>
      <c r="GYF264" s="1"/>
      <c r="GYG264" s="1"/>
      <c r="GYH264" s="1"/>
      <c r="GYI264" s="1"/>
      <c r="GYJ264" s="1"/>
      <c r="GYK264" s="1"/>
      <c r="GYL264" s="1"/>
      <c r="GYM264" s="1"/>
      <c r="GYN264" s="1"/>
      <c r="GYO264" s="1"/>
      <c r="GYP264" s="1"/>
      <c r="GYQ264" s="1"/>
      <c r="GYR264" s="1"/>
      <c r="GYS264" s="1"/>
      <c r="GYT264" s="1"/>
      <c r="GYU264" s="1"/>
      <c r="GYV264" s="1"/>
      <c r="GYW264" s="1"/>
      <c r="GYX264" s="1"/>
      <c r="GYY264" s="1"/>
      <c r="GYZ264" s="1"/>
      <c r="GZA264" s="1"/>
      <c r="GZB264" s="1"/>
      <c r="GZC264" s="1"/>
      <c r="GZD264" s="1"/>
      <c r="GZE264" s="1"/>
      <c r="GZF264" s="1"/>
      <c r="GZG264" s="1"/>
      <c r="GZH264" s="1"/>
      <c r="GZI264" s="1"/>
      <c r="GZJ264" s="1"/>
      <c r="GZK264" s="1"/>
      <c r="GZL264" s="1"/>
      <c r="GZM264" s="1"/>
      <c r="GZN264" s="1"/>
      <c r="GZO264" s="1"/>
      <c r="GZP264" s="1"/>
      <c r="GZQ264" s="1"/>
      <c r="GZR264" s="1"/>
      <c r="GZS264" s="1"/>
      <c r="GZT264" s="1"/>
      <c r="GZU264" s="1"/>
      <c r="GZV264" s="1"/>
      <c r="GZW264" s="1"/>
      <c r="GZX264" s="1"/>
      <c r="GZY264" s="1"/>
      <c r="GZZ264" s="1"/>
      <c r="HAA264" s="1"/>
      <c r="HAB264" s="1"/>
      <c r="HAC264" s="1"/>
      <c r="HAD264" s="1"/>
      <c r="HAE264" s="1"/>
      <c r="HAF264" s="1"/>
      <c r="HAG264" s="1"/>
      <c r="HAH264" s="1"/>
      <c r="HAI264" s="1"/>
      <c r="HAJ264" s="1"/>
      <c r="HAK264" s="1"/>
      <c r="HAL264" s="1"/>
      <c r="HAM264" s="1"/>
      <c r="HAN264" s="1"/>
      <c r="HAO264" s="1"/>
      <c r="HAP264" s="1"/>
      <c r="HAQ264" s="1"/>
      <c r="HAR264" s="1"/>
      <c r="HAS264" s="1"/>
      <c r="HAT264" s="1"/>
      <c r="HAU264" s="1"/>
      <c r="HAV264" s="1"/>
      <c r="HAW264" s="1"/>
      <c r="HAX264" s="1"/>
      <c r="HAY264" s="1"/>
      <c r="HAZ264" s="1"/>
      <c r="HBA264" s="1"/>
      <c r="HBB264" s="1"/>
      <c r="HBC264" s="1"/>
      <c r="HBD264" s="1"/>
      <c r="HBE264" s="1"/>
      <c r="HBF264" s="1"/>
      <c r="HBG264" s="1"/>
      <c r="HBH264" s="1"/>
      <c r="HBI264" s="1"/>
      <c r="HBJ264" s="1"/>
      <c r="HBK264" s="1"/>
      <c r="HBL264" s="1"/>
      <c r="HBM264" s="1"/>
      <c r="HBN264" s="1"/>
      <c r="HBO264" s="1"/>
      <c r="HBP264" s="1"/>
      <c r="HBQ264" s="1"/>
      <c r="HBR264" s="1"/>
      <c r="HBS264" s="1"/>
      <c r="HBT264" s="1"/>
      <c r="HBU264" s="1"/>
      <c r="HBV264" s="1"/>
      <c r="HBW264" s="1"/>
      <c r="HBX264" s="1"/>
      <c r="HBY264" s="1"/>
      <c r="HBZ264" s="1"/>
      <c r="HCA264" s="1"/>
      <c r="HCB264" s="1"/>
      <c r="HCC264" s="1"/>
      <c r="HCD264" s="1"/>
      <c r="HCE264" s="1"/>
      <c r="HCF264" s="1"/>
      <c r="HCG264" s="1"/>
      <c r="HCH264" s="1"/>
      <c r="HCI264" s="1"/>
      <c r="HCJ264" s="1"/>
      <c r="HCK264" s="1"/>
      <c r="HCL264" s="1"/>
      <c r="HCM264" s="1"/>
      <c r="HCN264" s="1"/>
      <c r="HCO264" s="1"/>
      <c r="HCP264" s="1"/>
      <c r="HCQ264" s="1"/>
      <c r="HCR264" s="1"/>
      <c r="HCS264" s="1"/>
      <c r="HCT264" s="1"/>
      <c r="HCU264" s="1"/>
      <c r="HCV264" s="1"/>
      <c r="HCW264" s="1"/>
      <c r="HCX264" s="1"/>
      <c r="HCY264" s="1"/>
      <c r="HCZ264" s="1"/>
      <c r="HDA264" s="1"/>
      <c r="HDB264" s="1"/>
      <c r="HDC264" s="1"/>
      <c r="HDD264" s="1"/>
      <c r="HDE264" s="1"/>
      <c r="HDF264" s="1"/>
      <c r="HDG264" s="1"/>
      <c r="HDH264" s="1"/>
      <c r="HDI264" s="1"/>
      <c r="HDJ264" s="1"/>
      <c r="HDK264" s="1"/>
      <c r="HDL264" s="1"/>
      <c r="HDM264" s="1"/>
      <c r="HDN264" s="1"/>
      <c r="HDO264" s="1"/>
      <c r="HDP264" s="1"/>
      <c r="HDQ264" s="1"/>
      <c r="HDR264" s="1"/>
      <c r="HDS264" s="1"/>
      <c r="HDT264" s="1"/>
      <c r="HDU264" s="1"/>
      <c r="HDV264" s="1"/>
      <c r="HDW264" s="1"/>
      <c r="HDX264" s="1"/>
      <c r="HDY264" s="1"/>
      <c r="HDZ264" s="1"/>
      <c r="HEA264" s="1"/>
      <c r="HEB264" s="1"/>
      <c r="HEC264" s="1"/>
      <c r="HED264" s="1"/>
      <c r="HEE264" s="1"/>
      <c r="HEF264" s="1"/>
      <c r="HEG264" s="1"/>
      <c r="HEH264" s="1"/>
      <c r="HEI264" s="1"/>
      <c r="HEJ264" s="1"/>
      <c r="HEK264" s="1"/>
      <c r="HEL264" s="1"/>
      <c r="HEM264" s="1"/>
      <c r="HEN264" s="1"/>
      <c r="HEO264" s="1"/>
      <c r="HEP264" s="1"/>
      <c r="HEQ264" s="1"/>
      <c r="HER264" s="1"/>
      <c r="HES264" s="1"/>
      <c r="HET264" s="1"/>
      <c r="HEU264" s="1"/>
      <c r="HEV264" s="1"/>
      <c r="HEW264" s="1"/>
      <c r="HEX264" s="1"/>
      <c r="HEY264" s="1"/>
      <c r="HEZ264" s="1"/>
      <c r="HFA264" s="1"/>
      <c r="HFB264" s="1"/>
      <c r="HFC264" s="1"/>
      <c r="HFD264" s="1"/>
      <c r="HFE264" s="1"/>
      <c r="HFF264" s="1"/>
      <c r="HFG264" s="1"/>
      <c r="HFH264" s="1"/>
      <c r="HFI264" s="1"/>
      <c r="HFJ264" s="1"/>
      <c r="HFK264" s="1"/>
      <c r="HFL264" s="1"/>
      <c r="HFM264" s="1"/>
      <c r="HFN264" s="1"/>
      <c r="HFO264" s="1"/>
      <c r="HFP264" s="1"/>
      <c r="HFQ264" s="1"/>
      <c r="HFR264" s="1"/>
      <c r="HFS264" s="1"/>
      <c r="HFT264" s="1"/>
      <c r="HFU264" s="1"/>
      <c r="HFV264" s="1"/>
      <c r="HFW264" s="1"/>
      <c r="HFX264" s="1"/>
      <c r="HFY264" s="1"/>
      <c r="HFZ264" s="1"/>
      <c r="HGA264" s="1"/>
      <c r="HGB264" s="1"/>
      <c r="HGC264" s="1"/>
      <c r="HGD264" s="1"/>
      <c r="HGE264" s="1"/>
      <c r="HGF264" s="1"/>
      <c r="HGG264" s="1"/>
      <c r="HGH264" s="1"/>
      <c r="HGI264" s="1"/>
      <c r="HGJ264" s="1"/>
      <c r="HGK264" s="1"/>
      <c r="HGL264" s="1"/>
      <c r="HGM264" s="1"/>
      <c r="HGN264" s="1"/>
      <c r="HGO264" s="1"/>
      <c r="HGP264" s="1"/>
      <c r="HGQ264" s="1"/>
      <c r="HGR264" s="1"/>
      <c r="HGS264" s="1"/>
      <c r="HGT264" s="1"/>
      <c r="HGU264" s="1"/>
      <c r="HGV264" s="1"/>
      <c r="HGW264" s="1"/>
      <c r="HGX264" s="1"/>
      <c r="HGY264" s="1"/>
      <c r="HGZ264" s="1"/>
      <c r="HHA264" s="1"/>
      <c r="HHB264" s="1"/>
      <c r="HHC264" s="1"/>
      <c r="HHD264" s="1"/>
      <c r="HHE264" s="1"/>
      <c r="HHF264" s="1"/>
      <c r="HHG264" s="1"/>
      <c r="HHH264" s="1"/>
      <c r="HHI264" s="1"/>
      <c r="HHJ264" s="1"/>
      <c r="HHK264" s="1"/>
      <c r="HHL264" s="1"/>
      <c r="HHM264" s="1"/>
      <c r="HHN264" s="1"/>
      <c r="HHO264" s="1"/>
      <c r="HHP264" s="1"/>
      <c r="HHQ264" s="1"/>
      <c r="HHR264" s="1"/>
      <c r="HHS264" s="1"/>
      <c r="HHT264" s="1"/>
      <c r="HHU264" s="1"/>
      <c r="HHV264" s="1"/>
      <c r="HHW264" s="1"/>
      <c r="HHX264" s="1"/>
      <c r="HHY264" s="1"/>
      <c r="HHZ264" s="1"/>
      <c r="HIA264" s="1"/>
      <c r="HIB264" s="1"/>
      <c r="HIC264" s="1"/>
      <c r="HID264" s="1"/>
      <c r="HIE264" s="1"/>
      <c r="HIF264" s="1"/>
      <c r="HIG264" s="1"/>
      <c r="HIH264" s="1"/>
      <c r="HII264" s="1"/>
      <c r="HIJ264" s="1"/>
      <c r="HIK264" s="1"/>
      <c r="HIL264" s="1"/>
      <c r="HIM264" s="1"/>
      <c r="HIN264" s="1"/>
      <c r="HIO264" s="1"/>
      <c r="HIP264" s="1"/>
      <c r="HIQ264" s="1"/>
      <c r="HIR264" s="1"/>
      <c r="HIS264" s="1"/>
      <c r="HIT264" s="1"/>
      <c r="HIU264" s="1"/>
      <c r="HIV264" s="1"/>
      <c r="HIW264" s="1"/>
      <c r="HIX264" s="1"/>
      <c r="HIY264" s="1"/>
      <c r="HIZ264" s="1"/>
      <c r="HJA264" s="1"/>
      <c r="HJB264" s="1"/>
      <c r="HJC264" s="1"/>
      <c r="HJD264" s="1"/>
      <c r="HJE264" s="1"/>
      <c r="HJF264" s="1"/>
      <c r="HJG264" s="1"/>
      <c r="HJH264" s="1"/>
      <c r="HJI264" s="1"/>
      <c r="HJJ264" s="1"/>
      <c r="HJK264" s="1"/>
      <c r="HJL264" s="1"/>
      <c r="HJM264" s="1"/>
      <c r="HJN264" s="1"/>
      <c r="HJO264" s="1"/>
      <c r="HJP264" s="1"/>
      <c r="HJQ264" s="1"/>
      <c r="HJR264" s="1"/>
      <c r="HJS264" s="1"/>
      <c r="HJT264" s="1"/>
      <c r="HJU264" s="1"/>
      <c r="HJV264" s="1"/>
      <c r="HJW264" s="1"/>
      <c r="HJX264" s="1"/>
      <c r="HJY264" s="1"/>
      <c r="HJZ264" s="1"/>
      <c r="HKA264" s="1"/>
      <c r="HKB264" s="1"/>
      <c r="HKC264" s="1"/>
      <c r="HKD264" s="1"/>
      <c r="HKE264" s="1"/>
      <c r="HKF264" s="1"/>
      <c r="HKG264" s="1"/>
      <c r="HKH264" s="1"/>
      <c r="HKI264" s="1"/>
      <c r="HKJ264" s="1"/>
      <c r="HKK264" s="1"/>
      <c r="HKL264" s="1"/>
      <c r="HKM264" s="1"/>
      <c r="HKN264" s="1"/>
      <c r="HKO264" s="1"/>
      <c r="HKP264" s="1"/>
      <c r="HKQ264" s="1"/>
      <c r="HKR264" s="1"/>
      <c r="HKS264" s="1"/>
      <c r="HKT264" s="1"/>
      <c r="HKU264" s="1"/>
      <c r="HKV264" s="1"/>
      <c r="HKW264" s="1"/>
      <c r="HKX264" s="1"/>
      <c r="HKY264" s="1"/>
      <c r="HKZ264" s="1"/>
      <c r="HLA264" s="1"/>
      <c r="HLB264" s="1"/>
      <c r="HLC264" s="1"/>
      <c r="HLD264" s="1"/>
      <c r="HLE264" s="1"/>
      <c r="HLF264" s="1"/>
      <c r="HLG264" s="1"/>
      <c r="HLH264" s="1"/>
      <c r="HLI264" s="1"/>
      <c r="HLJ264" s="1"/>
      <c r="HLK264" s="1"/>
      <c r="HLL264" s="1"/>
      <c r="HLM264" s="1"/>
      <c r="HLN264" s="1"/>
      <c r="HLO264" s="1"/>
      <c r="HLP264" s="1"/>
      <c r="HLQ264" s="1"/>
      <c r="HLR264" s="1"/>
      <c r="HLS264" s="1"/>
      <c r="HLT264" s="1"/>
      <c r="HLU264" s="1"/>
      <c r="HLV264" s="1"/>
      <c r="HLW264" s="1"/>
      <c r="HLX264" s="1"/>
      <c r="HLY264" s="1"/>
      <c r="HLZ264" s="1"/>
      <c r="HMA264" s="1"/>
      <c r="HMB264" s="1"/>
      <c r="HMC264" s="1"/>
      <c r="HMD264" s="1"/>
      <c r="HME264" s="1"/>
      <c r="HMF264" s="1"/>
      <c r="HMG264" s="1"/>
      <c r="HMH264" s="1"/>
      <c r="HMI264" s="1"/>
      <c r="HMJ264" s="1"/>
      <c r="HMK264" s="1"/>
      <c r="HML264" s="1"/>
      <c r="HMM264" s="1"/>
      <c r="HMN264" s="1"/>
      <c r="HMO264" s="1"/>
      <c r="HMP264" s="1"/>
      <c r="HMQ264" s="1"/>
      <c r="HMR264" s="1"/>
      <c r="HMS264" s="1"/>
      <c r="HMT264" s="1"/>
      <c r="HMU264" s="1"/>
      <c r="HMV264" s="1"/>
      <c r="HMW264" s="1"/>
      <c r="HMX264" s="1"/>
      <c r="HMY264" s="1"/>
      <c r="HMZ264" s="1"/>
      <c r="HNA264" s="1"/>
      <c r="HNB264" s="1"/>
      <c r="HNC264" s="1"/>
      <c r="HND264" s="1"/>
      <c r="HNE264" s="1"/>
      <c r="HNF264" s="1"/>
      <c r="HNG264" s="1"/>
      <c r="HNH264" s="1"/>
      <c r="HNI264" s="1"/>
      <c r="HNJ264" s="1"/>
      <c r="HNK264" s="1"/>
      <c r="HNL264" s="1"/>
      <c r="HNM264" s="1"/>
      <c r="HNN264" s="1"/>
      <c r="HNO264" s="1"/>
      <c r="HNP264" s="1"/>
      <c r="HNQ264" s="1"/>
      <c r="HNR264" s="1"/>
      <c r="HNS264" s="1"/>
      <c r="HNT264" s="1"/>
      <c r="HNU264" s="1"/>
      <c r="HNV264" s="1"/>
      <c r="HNW264" s="1"/>
      <c r="HNX264" s="1"/>
      <c r="HNY264" s="1"/>
      <c r="HNZ264" s="1"/>
      <c r="HOA264" s="1"/>
      <c r="HOB264" s="1"/>
      <c r="HOC264" s="1"/>
      <c r="HOD264" s="1"/>
      <c r="HOE264" s="1"/>
      <c r="HOF264" s="1"/>
      <c r="HOG264" s="1"/>
      <c r="HOH264" s="1"/>
      <c r="HOI264" s="1"/>
      <c r="HOJ264" s="1"/>
      <c r="HOK264" s="1"/>
      <c r="HOL264" s="1"/>
      <c r="HOM264" s="1"/>
      <c r="HON264" s="1"/>
      <c r="HOO264" s="1"/>
      <c r="HOP264" s="1"/>
      <c r="HOQ264" s="1"/>
      <c r="HOR264" s="1"/>
      <c r="HOS264" s="1"/>
      <c r="HOT264" s="1"/>
      <c r="HOU264" s="1"/>
      <c r="HOV264" s="1"/>
      <c r="HOW264" s="1"/>
      <c r="HOX264" s="1"/>
      <c r="HOY264" s="1"/>
      <c r="HOZ264" s="1"/>
      <c r="HPA264" s="1"/>
      <c r="HPB264" s="1"/>
      <c r="HPC264" s="1"/>
      <c r="HPD264" s="1"/>
      <c r="HPE264" s="1"/>
      <c r="HPF264" s="1"/>
      <c r="HPG264" s="1"/>
      <c r="HPH264" s="1"/>
      <c r="HPI264" s="1"/>
      <c r="HPJ264" s="1"/>
      <c r="HPK264" s="1"/>
      <c r="HPL264" s="1"/>
      <c r="HPM264" s="1"/>
      <c r="HPN264" s="1"/>
      <c r="HPO264" s="1"/>
      <c r="HPP264" s="1"/>
      <c r="HPQ264" s="1"/>
      <c r="HPR264" s="1"/>
      <c r="HPS264" s="1"/>
      <c r="HPT264" s="1"/>
      <c r="HPU264" s="1"/>
      <c r="HPV264" s="1"/>
      <c r="HPW264" s="1"/>
      <c r="HPX264" s="1"/>
      <c r="HPY264" s="1"/>
      <c r="HPZ264" s="1"/>
      <c r="HQA264" s="1"/>
      <c r="HQB264" s="1"/>
      <c r="HQC264" s="1"/>
      <c r="HQD264" s="1"/>
      <c r="HQE264" s="1"/>
      <c r="HQF264" s="1"/>
      <c r="HQG264" s="1"/>
      <c r="HQH264" s="1"/>
      <c r="HQI264" s="1"/>
      <c r="HQJ264" s="1"/>
      <c r="HQK264" s="1"/>
      <c r="HQL264" s="1"/>
      <c r="HQM264" s="1"/>
      <c r="HQN264" s="1"/>
      <c r="HQO264" s="1"/>
      <c r="HQP264" s="1"/>
      <c r="HQQ264" s="1"/>
      <c r="HQR264" s="1"/>
      <c r="HQS264" s="1"/>
      <c r="HQT264" s="1"/>
      <c r="HQU264" s="1"/>
      <c r="HQV264" s="1"/>
      <c r="HQW264" s="1"/>
      <c r="HQX264" s="1"/>
      <c r="HQY264" s="1"/>
      <c r="HQZ264" s="1"/>
      <c r="HRA264" s="1"/>
      <c r="HRB264" s="1"/>
      <c r="HRC264" s="1"/>
      <c r="HRD264" s="1"/>
      <c r="HRE264" s="1"/>
      <c r="HRF264" s="1"/>
      <c r="HRG264" s="1"/>
      <c r="HRH264" s="1"/>
      <c r="HRI264" s="1"/>
      <c r="HRJ264" s="1"/>
      <c r="HRK264" s="1"/>
      <c r="HRL264" s="1"/>
      <c r="HRM264" s="1"/>
      <c r="HRN264" s="1"/>
      <c r="HRO264" s="1"/>
      <c r="HRP264" s="1"/>
      <c r="HRQ264" s="1"/>
      <c r="HRR264" s="1"/>
      <c r="HRS264" s="1"/>
      <c r="HRT264" s="1"/>
      <c r="HRU264" s="1"/>
      <c r="HRV264" s="1"/>
      <c r="HRW264" s="1"/>
      <c r="HRX264" s="1"/>
      <c r="HRY264" s="1"/>
      <c r="HRZ264" s="1"/>
      <c r="HSA264" s="1"/>
      <c r="HSB264" s="1"/>
      <c r="HSC264" s="1"/>
      <c r="HSD264" s="1"/>
      <c r="HSE264" s="1"/>
      <c r="HSF264" s="1"/>
      <c r="HSG264" s="1"/>
      <c r="HSH264" s="1"/>
      <c r="HSI264" s="1"/>
      <c r="HSJ264" s="1"/>
      <c r="HSK264" s="1"/>
      <c r="HSL264" s="1"/>
      <c r="HSM264" s="1"/>
      <c r="HSN264" s="1"/>
      <c r="HSO264" s="1"/>
      <c r="HSP264" s="1"/>
      <c r="HSQ264" s="1"/>
      <c r="HSR264" s="1"/>
      <c r="HSS264" s="1"/>
      <c r="HST264" s="1"/>
      <c r="HSU264" s="1"/>
      <c r="HSV264" s="1"/>
      <c r="HSW264" s="1"/>
      <c r="HSX264" s="1"/>
      <c r="HSY264" s="1"/>
      <c r="HSZ264" s="1"/>
      <c r="HTA264" s="1"/>
      <c r="HTB264" s="1"/>
      <c r="HTC264" s="1"/>
      <c r="HTD264" s="1"/>
      <c r="HTE264" s="1"/>
      <c r="HTF264" s="1"/>
      <c r="HTG264" s="1"/>
      <c r="HTH264" s="1"/>
      <c r="HTI264" s="1"/>
      <c r="HTJ264" s="1"/>
      <c r="HTK264" s="1"/>
      <c r="HTL264" s="1"/>
      <c r="HTM264" s="1"/>
      <c r="HTN264" s="1"/>
      <c r="HTO264" s="1"/>
      <c r="HTP264" s="1"/>
      <c r="HTQ264" s="1"/>
      <c r="HTR264" s="1"/>
      <c r="HTS264" s="1"/>
      <c r="HTT264" s="1"/>
      <c r="HTU264" s="1"/>
      <c r="HTV264" s="1"/>
      <c r="HTW264" s="1"/>
      <c r="HTX264" s="1"/>
      <c r="HTY264" s="1"/>
      <c r="HTZ264" s="1"/>
      <c r="HUA264" s="1"/>
      <c r="HUB264" s="1"/>
      <c r="HUC264" s="1"/>
      <c r="HUD264" s="1"/>
      <c r="HUE264" s="1"/>
      <c r="HUF264" s="1"/>
      <c r="HUG264" s="1"/>
      <c r="HUH264" s="1"/>
      <c r="HUI264" s="1"/>
      <c r="HUJ264" s="1"/>
      <c r="HUK264" s="1"/>
      <c r="HUL264" s="1"/>
      <c r="HUM264" s="1"/>
      <c r="HUN264" s="1"/>
      <c r="HUO264" s="1"/>
      <c r="HUP264" s="1"/>
      <c r="HUQ264" s="1"/>
      <c r="HUR264" s="1"/>
      <c r="HUS264" s="1"/>
      <c r="HUT264" s="1"/>
      <c r="HUU264" s="1"/>
      <c r="HUV264" s="1"/>
      <c r="HUW264" s="1"/>
      <c r="HUX264" s="1"/>
      <c r="HUY264" s="1"/>
      <c r="HUZ264" s="1"/>
      <c r="HVA264" s="1"/>
      <c r="HVB264" s="1"/>
      <c r="HVC264" s="1"/>
      <c r="HVD264" s="1"/>
      <c r="HVE264" s="1"/>
      <c r="HVF264" s="1"/>
      <c r="HVG264" s="1"/>
      <c r="HVH264" s="1"/>
      <c r="HVI264" s="1"/>
      <c r="HVJ264" s="1"/>
      <c r="HVK264" s="1"/>
      <c r="HVL264" s="1"/>
      <c r="HVM264" s="1"/>
      <c r="HVN264" s="1"/>
      <c r="HVO264" s="1"/>
      <c r="HVP264" s="1"/>
      <c r="HVQ264" s="1"/>
      <c r="HVR264" s="1"/>
      <c r="HVS264" s="1"/>
      <c r="HVT264" s="1"/>
      <c r="HVU264" s="1"/>
      <c r="HVV264" s="1"/>
      <c r="HVW264" s="1"/>
      <c r="HVX264" s="1"/>
      <c r="HVY264" s="1"/>
      <c r="HVZ264" s="1"/>
      <c r="HWA264" s="1"/>
      <c r="HWB264" s="1"/>
      <c r="HWC264" s="1"/>
      <c r="HWD264" s="1"/>
      <c r="HWE264" s="1"/>
      <c r="HWF264" s="1"/>
      <c r="HWG264" s="1"/>
      <c r="HWH264" s="1"/>
      <c r="HWI264" s="1"/>
      <c r="HWJ264" s="1"/>
      <c r="HWK264" s="1"/>
      <c r="HWL264" s="1"/>
      <c r="HWM264" s="1"/>
      <c r="HWN264" s="1"/>
      <c r="HWO264" s="1"/>
      <c r="HWP264" s="1"/>
      <c r="HWQ264" s="1"/>
      <c r="HWR264" s="1"/>
      <c r="HWS264" s="1"/>
      <c r="HWT264" s="1"/>
      <c r="HWU264" s="1"/>
      <c r="HWV264" s="1"/>
      <c r="HWW264" s="1"/>
      <c r="HWX264" s="1"/>
      <c r="HWY264" s="1"/>
      <c r="HWZ264" s="1"/>
      <c r="HXA264" s="1"/>
      <c r="HXB264" s="1"/>
      <c r="HXC264" s="1"/>
      <c r="HXD264" s="1"/>
      <c r="HXE264" s="1"/>
      <c r="HXF264" s="1"/>
      <c r="HXG264" s="1"/>
      <c r="HXH264" s="1"/>
      <c r="HXI264" s="1"/>
      <c r="HXJ264" s="1"/>
      <c r="HXK264" s="1"/>
      <c r="HXL264" s="1"/>
      <c r="HXM264" s="1"/>
      <c r="HXN264" s="1"/>
      <c r="HXO264" s="1"/>
      <c r="HXP264" s="1"/>
      <c r="HXQ264" s="1"/>
      <c r="HXR264" s="1"/>
      <c r="HXS264" s="1"/>
      <c r="HXT264" s="1"/>
      <c r="HXU264" s="1"/>
      <c r="HXV264" s="1"/>
      <c r="HXW264" s="1"/>
      <c r="HXX264" s="1"/>
      <c r="HXY264" s="1"/>
      <c r="HXZ264" s="1"/>
      <c r="HYA264" s="1"/>
      <c r="HYB264" s="1"/>
      <c r="HYC264" s="1"/>
      <c r="HYD264" s="1"/>
      <c r="HYE264" s="1"/>
      <c r="HYF264" s="1"/>
      <c r="HYG264" s="1"/>
      <c r="HYH264" s="1"/>
      <c r="HYI264" s="1"/>
      <c r="HYJ264" s="1"/>
      <c r="HYK264" s="1"/>
      <c r="HYL264" s="1"/>
      <c r="HYM264" s="1"/>
      <c r="HYN264" s="1"/>
      <c r="HYO264" s="1"/>
      <c r="HYP264" s="1"/>
      <c r="HYQ264" s="1"/>
      <c r="HYR264" s="1"/>
      <c r="HYS264" s="1"/>
      <c r="HYT264" s="1"/>
      <c r="HYU264" s="1"/>
      <c r="HYV264" s="1"/>
      <c r="HYW264" s="1"/>
      <c r="HYX264" s="1"/>
      <c r="HYY264" s="1"/>
      <c r="HYZ264" s="1"/>
      <c r="HZA264" s="1"/>
      <c r="HZB264" s="1"/>
      <c r="HZC264" s="1"/>
      <c r="HZD264" s="1"/>
      <c r="HZE264" s="1"/>
      <c r="HZF264" s="1"/>
      <c r="HZG264" s="1"/>
      <c r="HZH264" s="1"/>
      <c r="HZI264" s="1"/>
      <c r="HZJ264" s="1"/>
      <c r="HZK264" s="1"/>
      <c r="HZL264" s="1"/>
      <c r="HZM264" s="1"/>
      <c r="HZN264" s="1"/>
      <c r="HZO264" s="1"/>
      <c r="HZP264" s="1"/>
      <c r="HZQ264" s="1"/>
      <c r="HZR264" s="1"/>
      <c r="HZS264" s="1"/>
      <c r="HZT264" s="1"/>
      <c r="HZU264" s="1"/>
      <c r="HZV264" s="1"/>
      <c r="HZW264" s="1"/>
      <c r="HZX264" s="1"/>
      <c r="HZY264" s="1"/>
      <c r="HZZ264" s="1"/>
      <c r="IAA264" s="1"/>
      <c r="IAB264" s="1"/>
      <c r="IAC264" s="1"/>
      <c r="IAD264" s="1"/>
      <c r="IAE264" s="1"/>
      <c r="IAF264" s="1"/>
      <c r="IAG264" s="1"/>
      <c r="IAH264" s="1"/>
      <c r="IAI264" s="1"/>
      <c r="IAJ264" s="1"/>
      <c r="IAK264" s="1"/>
      <c r="IAL264" s="1"/>
      <c r="IAM264" s="1"/>
      <c r="IAN264" s="1"/>
      <c r="IAO264" s="1"/>
      <c r="IAP264" s="1"/>
      <c r="IAQ264" s="1"/>
      <c r="IAR264" s="1"/>
      <c r="IAS264" s="1"/>
      <c r="IAT264" s="1"/>
      <c r="IAU264" s="1"/>
      <c r="IAV264" s="1"/>
      <c r="IAW264" s="1"/>
      <c r="IAX264" s="1"/>
      <c r="IAY264" s="1"/>
      <c r="IAZ264" s="1"/>
      <c r="IBA264" s="1"/>
      <c r="IBB264" s="1"/>
      <c r="IBC264" s="1"/>
      <c r="IBD264" s="1"/>
      <c r="IBE264" s="1"/>
      <c r="IBF264" s="1"/>
      <c r="IBG264" s="1"/>
      <c r="IBH264" s="1"/>
      <c r="IBI264" s="1"/>
      <c r="IBJ264" s="1"/>
      <c r="IBK264" s="1"/>
      <c r="IBL264" s="1"/>
      <c r="IBM264" s="1"/>
      <c r="IBN264" s="1"/>
      <c r="IBO264" s="1"/>
      <c r="IBP264" s="1"/>
      <c r="IBQ264" s="1"/>
      <c r="IBR264" s="1"/>
      <c r="IBS264" s="1"/>
      <c r="IBT264" s="1"/>
      <c r="IBU264" s="1"/>
      <c r="IBV264" s="1"/>
      <c r="IBW264" s="1"/>
      <c r="IBX264" s="1"/>
      <c r="IBY264" s="1"/>
      <c r="IBZ264" s="1"/>
      <c r="ICA264" s="1"/>
      <c r="ICB264" s="1"/>
      <c r="ICC264" s="1"/>
      <c r="ICD264" s="1"/>
      <c r="ICE264" s="1"/>
      <c r="ICF264" s="1"/>
      <c r="ICG264" s="1"/>
      <c r="ICH264" s="1"/>
      <c r="ICI264" s="1"/>
      <c r="ICJ264" s="1"/>
      <c r="ICK264" s="1"/>
      <c r="ICL264" s="1"/>
      <c r="ICM264" s="1"/>
      <c r="ICN264" s="1"/>
      <c r="ICO264" s="1"/>
      <c r="ICP264" s="1"/>
      <c r="ICQ264" s="1"/>
      <c r="ICR264" s="1"/>
      <c r="ICS264" s="1"/>
      <c r="ICT264" s="1"/>
      <c r="ICU264" s="1"/>
      <c r="ICV264" s="1"/>
      <c r="ICW264" s="1"/>
      <c r="ICX264" s="1"/>
      <c r="ICY264" s="1"/>
      <c r="ICZ264" s="1"/>
      <c r="IDA264" s="1"/>
      <c r="IDB264" s="1"/>
      <c r="IDC264" s="1"/>
      <c r="IDD264" s="1"/>
      <c r="IDE264" s="1"/>
      <c r="IDF264" s="1"/>
      <c r="IDG264" s="1"/>
      <c r="IDH264" s="1"/>
      <c r="IDI264" s="1"/>
      <c r="IDJ264" s="1"/>
      <c r="IDK264" s="1"/>
      <c r="IDL264" s="1"/>
      <c r="IDM264" s="1"/>
      <c r="IDN264" s="1"/>
      <c r="IDO264" s="1"/>
      <c r="IDP264" s="1"/>
      <c r="IDQ264" s="1"/>
      <c r="IDR264" s="1"/>
      <c r="IDS264" s="1"/>
      <c r="IDT264" s="1"/>
      <c r="IDU264" s="1"/>
      <c r="IDV264" s="1"/>
      <c r="IDW264" s="1"/>
      <c r="IDX264" s="1"/>
      <c r="IDY264" s="1"/>
      <c r="IDZ264" s="1"/>
      <c r="IEA264" s="1"/>
      <c r="IEB264" s="1"/>
      <c r="IEC264" s="1"/>
      <c r="IED264" s="1"/>
      <c r="IEE264" s="1"/>
      <c r="IEF264" s="1"/>
      <c r="IEG264" s="1"/>
      <c r="IEH264" s="1"/>
      <c r="IEI264" s="1"/>
      <c r="IEJ264" s="1"/>
      <c r="IEK264" s="1"/>
      <c r="IEL264" s="1"/>
      <c r="IEM264" s="1"/>
      <c r="IEN264" s="1"/>
      <c r="IEO264" s="1"/>
      <c r="IEP264" s="1"/>
      <c r="IEQ264" s="1"/>
      <c r="IER264" s="1"/>
      <c r="IES264" s="1"/>
      <c r="IET264" s="1"/>
      <c r="IEU264" s="1"/>
      <c r="IEV264" s="1"/>
      <c r="IEW264" s="1"/>
      <c r="IEX264" s="1"/>
      <c r="IEY264" s="1"/>
      <c r="IEZ264" s="1"/>
      <c r="IFA264" s="1"/>
      <c r="IFB264" s="1"/>
      <c r="IFC264" s="1"/>
      <c r="IFD264" s="1"/>
      <c r="IFE264" s="1"/>
      <c r="IFF264" s="1"/>
      <c r="IFG264" s="1"/>
      <c r="IFH264" s="1"/>
      <c r="IFI264" s="1"/>
      <c r="IFJ264" s="1"/>
      <c r="IFK264" s="1"/>
      <c r="IFL264" s="1"/>
      <c r="IFM264" s="1"/>
      <c r="IFN264" s="1"/>
      <c r="IFO264" s="1"/>
      <c r="IFP264" s="1"/>
      <c r="IFQ264" s="1"/>
      <c r="IFR264" s="1"/>
      <c r="IFS264" s="1"/>
      <c r="IFT264" s="1"/>
      <c r="IFU264" s="1"/>
      <c r="IFV264" s="1"/>
      <c r="IFW264" s="1"/>
      <c r="IFX264" s="1"/>
      <c r="IFY264" s="1"/>
      <c r="IFZ264" s="1"/>
      <c r="IGA264" s="1"/>
      <c r="IGB264" s="1"/>
      <c r="IGC264" s="1"/>
      <c r="IGD264" s="1"/>
      <c r="IGE264" s="1"/>
      <c r="IGF264" s="1"/>
      <c r="IGG264" s="1"/>
      <c r="IGH264" s="1"/>
      <c r="IGI264" s="1"/>
      <c r="IGJ264" s="1"/>
      <c r="IGK264" s="1"/>
      <c r="IGL264" s="1"/>
      <c r="IGM264" s="1"/>
      <c r="IGN264" s="1"/>
      <c r="IGO264" s="1"/>
      <c r="IGP264" s="1"/>
      <c r="IGQ264" s="1"/>
      <c r="IGR264" s="1"/>
      <c r="IGS264" s="1"/>
      <c r="IGT264" s="1"/>
      <c r="IGU264" s="1"/>
      <c r="IGV264" s="1"/>
      <c r="IGW264" s="1"/>
      <c r="IGX264" s="1"/>
      <c r="IGY264" s="1"/>
      <c r="IGZ264" s="1"/>
      <c r="IHA264" s="1"/>
      <c r="IHB264" s="1"/>
      <c r="IHC264" s="1"/>
      <c r="IHD264" s="1"/>
      <c r="IHE264" s="1"/>
      <c r="IHF264" s="1"/>
      <c r="IHG264" s="1"/>
      <c r="IHH264" s="1"/>
      <c r="IHI264" s="1"/>
      <c r="IHJ264" s="1"/>
      <c r="IHK264" s="1"/>
      <c r="IHL264" s="1"/>
      <c r="IHM264" s="1"/>
      <c r="IHN264" s="1"/>
      <c r="IHO264" s="1"/>
      <c r="IHP264" s="1"/>
      <c r="IHQ264" s="1"/>
      <c r="IHR264" s="1"/>
      <c r="IHS264" s="1"/>
      <c r="IHT264" s="1"/>
      <c r="IHU264" s="1"/>
      <c r="IHV264" s="1"/>
      <c r="IHW264" s="1"/>
      <c r="IHX264" s="1"/>
      <c r="IHY264" s="1"/>
      <c r="IHZ264" s="1"/>
      <c r="IIA264" s="1"/>
      <c r="IIB264" s="1"/>
      <c r="IIC264" s="1"/>
      <c r="IID264" s="1"/>
      <c r="IIE264" s="1"/>
      <c r="IIF264" s="1"/>
      <c r="IIG264" s="1"/>
      <c r="IIH264" s="1"/>
      <c r="III264" s="1"/>
      <c r="IIJ264" s="1"/>
      <c r="IIK264" s="1"/>
      <c r="IIL264" s="1"/>
      <c r="IIM264" s="1"/>
      <c r="IIN264" s="1"/>
      <c r="IIO264" s="1"/>
      <c r="IIP264" s="1"/>
      <c r="IIQ264" s="1"/>
      <c r="IIR264" s="1"/>
      <c r="IIS264" s="1"/>
      <c r="IIT264" s="1"/>
      <c r="IIU264" s="1"/>
      <c r="IIV264" s="1"/>
      <c r="IIW264" s="1"/>
      <c r="IIX264" s="1"/>
      <c r="IIY264" s="1"/>
      <c r="IIZ264" s="1"/>
      <c r="IJA264" s="1"/>
      <c r="IJB264" s="1"/>
      <c r="IJC264" s="1"/>
      <c r="IJD264" s="1"/>
      <c r="IJE264" s="1"/>
      <c r="IJF264" s="1"/>
      <c r="IJG264" s="1"/>
      <c r="IJH264" s="1"/>
      <c r="IJI264" s="1"/>
      <c r="IJJ264" s="1"/>
      <c r="IJK264" s="1"/>
      <c r="IJL264" s="1"/>
      <c r="IJM264" s="1"/>
      <c r="IJN264" s="1"/>
      <c r="IJO264" s="1"/>
      <c r="IJP264" s="1"/>
      <c r="IJQ264" s="1"/>
      <c r="IJR264" s="1"/>
      <c r="IJS264" s="1"/>
      <c r="IJT264" s="1"/>
      <c r="IJU264" s="1"/>
      <c r="IJV264" s="1"/>
      <c r="IJW264" s="1"/>
      <c r="IJX264" s="1"/>
      <c r="IJY264" s="1"/>
      <c r="IJZ264" s="1"/>
      <c r="IKA264" s="1"/>
      <c r="IKB264" s="1"/>
      <c r="IKC264" s="1"/>
      <c r="IKD264" s="1"/>
      <c r="IKE264" s="1"/>
      <c r="IKF264" s="1"/>
      <c r="IKG264" s="1"/>
      <c r="IKH264" s="1"/>
      <c r="IKI264" s="1"/>
      <c r="IKJ264" s="1"/>
      <c r="IKK264" s="1"/>
      <c r="IKL264" s="1"/>
      <c r="IKM264" s="1"/>
      <c r="IKN264" s="1"/>
      <c r="IKO264" s="1"/>
      <c r="IKP264" s="1"/>
      <c r="IKQ264" s="1"/>
      <c r="IKR264" s="1"/>
      <c r="IKS264" s="1"/>
      <c r="IKT264" s="1"/>
      <c r="IKU264" s="1"/>
      <c r="IKV264" s="1"/>
      <c r="IKW264" s="1"/>
      <c r="IKX264" s="1"/>
      <c r="IKY264" s="1"/>
      <c r="IKZ264" s="1"/>
      <c r="ILA264" s="1"/>
      <c r="ILB264" s="1"/>
      <c r="ILC264" s="1"/>
      <c r="ILD264" s="1"/>
      <c r="ILE264" s="1"/>
      <c r="ILF264" s="1"/>
      <c r="ILG264" s="1"/>
      <c r="ILH264" s="1"/>
      <c r="ILI264" s="1"/>
      <c r="ILJ264" s="1"/>
      <c r="ILK264" s="1"/>
      <c r="ILL264" s="1"/>
      <c r="ILM264" s="1"/>
      <c r="ILN264" s="1"/>
      <c r="ILO264" s="1"/>
      <c r="ILP264" s="1"/>
      <c r="ILQ264" s="1"/>
      <c r="ILR264" s="1"/>
      <c r="ILS264" s="1"/>
      <c r="ILT264" s="1"/>
      <c r="ILU264" s="1"/>
      <c r="ILV264" s="1"/>
      <c r="ILW264" s="1"/>
      <c r="ILX264" s="1"/>
      <c r="ILY264" s="1"/>
      <c r="ILZ264" s="1"/>
      <c r="IMA264" s="1"/>
      <c r="IMB264" s="1"/>
      <c r="IMC264" s="1"/>
      <c r="IMD264" s="1"/>
      <c r="IME264" s="1"/>
      <c r="IMF264" s="1"/>
      <c r="IMG264" s="1"/>
      <c r="IMH264" s="1"/>
      <c r="IMI264" s="1"/>
      <c r="IMJ264" s="1"/>
      <c r="IMK264" s="1"/>
      <c r="IML264" s="1"/>
      <c r="IMM264" s="1"/>
      <c r="IMN264" s="1"/>
      <c r="IMO264" s="1"/>
      <c r="IMP264" s="1"/>
      <c r="IMQ264" s="1"/>
      <c r="IMR264" s="1"/>
      <c r="IMS264" s="1"/>
      <c r="IMT264" s="1"/>
      <c r="IMU264" s="1"/>
      <c r="IMV264" s="1"/>
      <c r="IMW264" s="1"/>
      <c r="IMX264" s="1"/>
      <c r="IMY264" s="1"/>
      <c r="IMZ264" s="1"/>
      <c r="INA264" s="1"/>
      <c r="INB264" s="1"/>
      <c r="INC264" s="1"/>
      <c r="IND264" s="1"/>
      <c r="INE264" s="1"/>
      <c r="INF264" s="1"/>
      <c r="ING264" s="1"/>
      <c r="INH264" s="1"/>
      <c r="INI264" s="1"/>
      <c r="INJ264" s="1"/>
      <c r="INK264" s="1"/>
      <c r="INL264" s="1"/>
      <c r="INM264" s="1"/>
      <c r="INN264" s="1"/>
      <c r="INO264" s="1"/>
      <c r="INP264" s="1"/>
      <c r="INQ264" s="1"/>
      <c r="INR264" s="1"/>
      <c r="INS264" s="1"/>
      <c r="INT264" s="1"/>
      <c r="INU264" s="1"/>
      <c r="INV264" s="1"/>
      <c r="INW264" s="1"/>
      <c r="INX264" s="1"/>
      <c r="INY264" s="1"/>
      <c r="INZ264" s="1"/>
      <c r="IOA264" s="1"/>
      <c r="IOB264" s="1"/>
      <c r="IOC264" s="1"/>
      <c r="IOD264" s="1"/>
      <c r="IOE264" s="1"/>
      <c r="IOF264" s="1"/>
      <c r="IOG264" s="1"/>
      <c r="IOH264" s="1"/>
      <c r="IOI264" s="1"/>
      <c r="IOJ264" s="1"/>
      <c r="IOK264" s="1"/>
      <c r="IOL264" s="1"/>
      <c r="IOM264" s="1"/>
      <c r="ION264" s="1"/>
      <c r="IOO264" s="1"/>
      <c r="IOP264" s="1"/>
      <c r="IOQ264" s="1"/>
      <c r="IOR264" s="1"/>
      <c r="IOS264" s="1"/>
      <c r="IOT264" s="1"/>
      <c r="IOU264" s="1"/>
      <c r="IOV264" s="1"/>
      <c r="IOW264" s="1"/>
      <c r="IOX264" s="1"/>
      <c r="IOY264" s="1"/>
      <c r="IOZ264" s="1"/>
      <c r="IPA264" s="1"/>
      <c r="IPB264" s="1"/>
      <c r="IPC264" s="1"/>
      <c r="IPD264" s="1"/>
      <c r="IPE264" s="1"/>
      <c r="IPF264" s="1"/>
      <c r="IPG264" s="1"/>
      <c r="IPH264" s="1"/>
      <c r="IPI264" s="1"/>
      <c r="IPJ264" s="1"/>
      <c r="IPK264" s="1"/>
      <c r="IPL264" s="1"/>
      <c r="IPM264" s="1"/>
      <c r="IPN264" s="1"/>
      <c r="IPO264" s="1"/>
      <c r="IPP264" s="1"/>
      <c r="IPQ264" s="1"/>
      <c r="IPR264" s="1"/>
      <c r="IPS264" s="1"/>
      <c r="IPT264" s="1"/>
      <c r="IPU264" s="1"/>
      <c r="IPV264" s="1"/>
      <c r="IPW264" s="1"/>
      <c r="IPX264" s="1"/>
      <c r="IPY264" s="1"/>
      <c r="IPZ264" s="1"/>
      <c r="IQA264" s="1"/>
      <c r="IQB264" s="1"/>
      <c r="IQC264" s="1"/>
      <c r="IQD264" s="1"/>
      <c r="IQE264" s="1"/>
      <c r="IQF264" s="1"/>
      <c r="IQG264" s="1"/>
      <c r="IQH264" s="1"/>
      <c r="IQI264" s="1"/>
      <c r="IQJ264" s="1"/>
      <c r="IQK264" s="1"/>
      <c r="IQL264" s="1"/>
      <c r="IQM264" s="1"/>
      <c r="IQN264" s="1"/>
      <c r="IQO264" s="1"/>
      <c r="IQP264" s="1"/>
      <c r="IQQ264" s="1"/>
      <c r="IQR264" s="1"/>
      <c r="IQS264" s="1"/>
      <c r="IQT264" s="1"/>
      <c r="IQU264" s="1"/>
      <c r="IQV264" s="1"/>
      <c r="IQW264" s="1"/>
      <c r="IQX264" s="1"/>
      <c r="IQY264" s="1"/>
      <c r="IQZ264" s="1"/>
      <c r="IRA264" s="1"/>
      <c r="IRB264" s="1"/>
      <c r="IRC264" s="1"/>
      <c r="IRD264" s="1"/>
      <c r="IRE264" s="1"/>
      <c r="IRF264" s="1"/>
      <c r="IRG264" s="1"/>
      <c r="IRH264" s="1"/>
      <c r="IRI264" s="1"/>
      <c r="IRJ264" s="1"/>
      <c r="IRK264" s="1"/>
      <c r="IRL264" s="1"/>
      <c r="IRM264" s="1"/>
      <c r="IRN264" s="1"/>
      <c r="IRO264" s="1"/>
      <c r="IRP264" s="1"/>
      <c r="IRQ264" s="1"/>
      <c r="IRR264" s="1"/>
      <c r="IRS264" s="1"/>
      <c r="IRT264" s="1"/>
      <c r="IRU264" s="1"/>
      <c r="IRV264" s="1"/>
      <c r="IRW264" s="1"/>
      <c r="IRX264" s="1"/>
      <c r="IRY264" s="1"/>
      <c r="IRZ264" s="1"/>
      <c r="ISA264" s="1"/>
      <c r="ISB264" s="1"/>
      <c r="ISC264" s="1"/>
      <c r="ISD264" s="1"/>
      <c r="ISE264" s="1"/>
      <c r="ISF264" s="1"/>
      <c r="ISG264" s="1"/>
      <c r="ISH264" s="1"/>
      <c r="ISI264" s="1"/>
      <c r="ISJ264" s="1"/>
      <c r="ISK264" s="1"/>
      <c r="ISL264" s="1"/>
      <c r="ISM264" s="1"/>
      <c r="ISN264" s="1"/>
      <c r="ISO264" s="1"/>
      <c r="ISP264" s="1"/>
      <c r="ISQ264" s="1"/>
      <c r="ISR264" s="1"/>
      <c r="ISS264" s="1"/>
      <c r="IST264" s="1"/>
      <c r="ISU264" s="1"/>
      <c r="ISV264" s="1"/>
      <c r="ISW264" s="1"/>
      <c r="ISX264" s="1"/>
      <c r="ISY264" s="1"/>
      <c r="ISZ264" s="1"/>
      <c r="ITA264" s="1"/>
      <c r="ITB264" s="1"/>
      <c r="ITC264" s="1"/>
      <c r="ITD264" s="1"/>
      <c r="ITE264" s="1"/>
      <c r="ITF264" s="1"/>
      <c r="ITG264" s="1"/>
      <c r="ITH264" s="1"/>
      <c r="ITI264" s="1"/>
      <c r="ITJ264" s="1"/>
      <c r="ITK264" s="1"/>
      <c r="ITL264" s="1"/>
      <c r="ITM264" s="1"/>
      <c r="ITN264" s="1"/>
      <c r="ITO264" s="1"/>
      <c r="ITP264" s="1"/>
      <c r="ITQ264" s="1"/>
      <c r="ITR264" s="1"/>
      <c r="ITS264" s="1"/>
      <c r="ITT264" s="1"/>
      <c r="ITU264" s="1"/>
      <c r="ITV264" s="1"/>
      <c r="ITW264" s="1"/>
      <c r="ITX264" s="1"/>
      <c r="ITY264" s="1"/>
      <c r="ITZ264" s="1"/>
      <c r="IUA264" s="1"/>
      <c r="IUB264" s="1"/>
      <c r="IUC264" s="1"/>
      <c r="IUD264" s="1"/>
      <c r="IUE264" s="1"/>
      <c r="IUF264" s="1"/>
      <c r="IUG264" s="1"/>
      <c r="IUH264" s="1"/>
      <c r="IUI264" s="1"/>
      <c r="IUJ264" s="1"/>
      <c r="IUK264" s="1"/>
      <c r="IUL264" s="1"/>
      <c r="IUM264" s="1"/>
      <c r="IUN264" s="1"/>
      <c r="IUO264" s="1"/>
      <c r="IUP264" s="1"/>
      <c r="IUQ264" s="1"/>
      <c r="IUR264" s="1"/>
      <c r="IUS264" s="1"/>
      <c r="IUT264" s="1"/>
      <c r="IUU264" s="1"/>
      <c r="IUV264" s="1"/>
      <c r="IUW264" s="1"/>
      <c r="IUX264" s="1"/>
      <c r="IUY264" s="1"/>
      <c r="IUZ264" s="1"/>
      <c r="IVA264" s="1"/>
      <c r="IVB264" s="1"/>
      <c r="IVC264" s="1"/>
      <c r="IVD264" s="1"/>
      <c r="IVE264" s="1"/>
      <c r="IVF264" s="1"/>
      <c r="IVG264" s="1"/>
      <c r="IVH264" s="1"/>
      <c r="IVI264" s="1"/>
      <c r="IVJ264" s="1"/>
      <c r="IVK264" s="1"/>
      <c r="IVL264" s="1"/>
      <c r="IVM264" s="1"/>
      <c r="IVN264" s="1"/>
      <c r="IVO264" s="1"/>
      <c r="IVP264" s="1"/>
      <c r="IVQ264" s="1"/>
      <c r="IVR264" s="1"/>
      <c r="IVS264" s="1"/>
      <c r="IVT264" s="1"/>
      <c r="IVU264" s="1"/>
      <c r="IVV264" s="1"/>
      <c r="IVW264" s="1"/>
      <c r="IVX264" s="1"/>
      <c r="IVY264" s="1"/>
      <c r="IVZ264" s="1"/>
      <c r="IWA264" s="1"/>
      <c r="IWB264" s="1"/>
      <c r="IWC264" s="1"/>
      <c r="IWD264" s="1"/>
      <c r="IWE264" s="1"/>
      <c r="IWF264" s="1"/>
      <c r="IWG264" s="1"/>
      <c r="IWH264" s="1"/>
      <c r="IWI264" s="1"/>
      <c r="IWJ264" s="1"/>
      <c r="IWK264" s="1"/>
      <c r="IWL264" s="1"/>
      <c r="IWM264" s="1"/>
      <c r="IWN264" s="1"/>
      <c r="IWO264" s="1"/>
      <c r="IWP264" s="1"/>
      <c r="IWQ264" s="1"/>
      <c r="IWR264" s="1"/>
      <c r="IWS264" s="1"/>
      <c r="IWT264" s="1"/>
      <c r="IWU264" s="1"/>
      <c r="IWV264" s="1"/>
      <c r="IWW264" s="1"/>
      <c r="IWX264" s="1"/>
      <c r="IWY264" s="1"/>
      <c r="IWZ264" s="1"/>
      <c r="IXA264" s="1"/>
      <c r="IXB264" s="1"/>
      <c r="IXC264" s="1"/>
      <c r="IXD264" s="1"/>
      <c r="IXE264" s="1"/>
      <c r="IXF264" s="1"/>
      <c r="IXG264" s="1"/>
      <c r="IXH264" s="1"/>
      <c r="IXI264" s="1"/>
      <c r="IXJ264" s="1"/>
      <c r="IXK264" s="1"/>
      <c r="IXL264" s="1"/>
      <c r="IXM264" s="1"/>
      <c r="IXN264" s="1"/>
      <c r="IXO264" s="1"/>
      <c r="IXP264" s="1"/>
      <c r="IXQ264" s="1"/>
      <c r="IXR264" s="1"/>
      <c r="IXS264" s="1"/>
      <c r="IXT264" s="1"/>
      <c r="IXU264" s="1"/>
      <c r="IXV264" s="1"/>
      <c r="IXW264" s="1"/>
      <c r="IXX264" s="1"/>
      <c r="IXY264" s="1"/>
      <c r="IXZ264" s="1"/>
      <c r="IYA264" s="1"/>
      <c r="IYB264" s="1"/>
      <c r="IYC264" s="1"/>
      <c r="IYD264" s="1"/>
      <c r="IYE264" s="1"/>
      <c r="IYF264" s="1"/>
      <c r="IYG264" s="1"/>
      <c r="IYH264" s="1"/>
      <c r="IYI264" s="1"/>
      <c r="IYJ264" s="1"/>
      <c r="IYK264" s="1"/>
      <c r="IYL264" s="1"/>
      <c r="IYM264" s="1"/>
      <c r="IYN264" s="1"/>
      <c r="IYO264" s="1"/>
      <c r="IYP264" s="1"/>
      <c r="IYQ264" s="1"/>
      <c r="IYR264" s="1"/>
      <c r="IYS264" s="1"/>
      <c r="IYT264" s="1"/>
      <c r="IYU264" s="1"/>
      <c r="IYV264" s="1"/>
      <c r="IYW264" s="1"/>
      <c r="IYX264" s="1"/>
      <c r="IYY264" s="1"/>
      <c r="IYZ264" s="1"/>
      <c r="IZA264" s="1"/>
      <c r="IZB264" s="1"/>
      <c r="IZC264" s="1"/>
      <c r="IZD264" s="1"/>
      <c r="IZE264" s="1"/>
      <c r="IZF264" s="1"/>
      <c r="IZG264" s="1"/>
      <c r="IZH264" s="1"/>
      <c r="IZI264" s="1"/>
      <c r="IZJ264" s="1"/>
      <c r="IZK264" s="1"/>
      <c r="IZL264" s="1"/>
      <c r="IZM264" s="1"/>
      <c r="IZN264" s="1"/>
      <c r="IZO264" s="1"/>
      <c r="IZP264" s="1"/>
      <c r="IZQ264" s="1"/>
      <c r="IZR264" s="1"/>
      <c r="IZS264" s="1"/>
      <c r="IZT264" s="1"/>
      <c r="IZU264" s="1"/>
      <c r="IZV264" s="1"/>
      <c r="IZW264" s="1"/>
      <c r="IZX264" s="1"/>
      <c r="IZY264" s="1"/>
      <c r="IZZ264" s="1"/>
      <c r="JAA264" s="1"/>
      <c r="JAB264" s="1"/>
      <c r="JAC264" s="1"/>
      <c r="JAD264" s="1"/>
      <c r="JAE264" s="1"/>
      <c r="JAF264" s="1"/>
      <c r="JAG264" s="1"/>
      <c r="JAH264" s="1"/>
      <c r="JAI264" s="1"/>
      <c r="JAJ264" s="1"/>
      <c r="JAK264" s="1"/>
      <c r="JAL264" s="1"/>
      <c r="JAM264" s="1"/>
      <c r="JAN264" s="1"/>
      <c r="JAO264" s="1"/>
      <c r="JAP264" s="1"/>
      <c r="JAQ264" s="1"/>
      <c r="JAR264" s="1"/>
      <c r="JAS264" s="1"/>
      <c r="JAT264" s="1"/>
      <c r="JAU264" s="1"/>
      <c r="JAV264" s="1"/>
      <c r="JAW264" s="1"/>
      <c r="JAX264" s="1"/>
      <c r="JAY264" s="1"/>
      <c r="JAZ264" s="1"/>
      <c r="JBA264" s="1"/>
      <c r="JBB264" s="1"/>
      <c r="JBC264" s="1"/>
      <c r="JBD264" s="1"/>
      <c r="JBE264" s="1"/>
      <c r="JBF264" s="1"/>
      <c r="JBG264" s="1"/>
      <c r="JBH264" s="1"/>
      <c r="JBI264" s="1"/>
      <c r="JBJ264" s="1"/>
      <c r="JBK264" s="1"/>
      <c r="JBL264" s="1"/>
      <c r="JBM264" s="1"/>
      <c r="JBN264" s="1"/>
      <c r="JBO264" s="1"/>
      <c r="JBP264" s="1"/>
      <c r="JBQ264" s="1"/>
      <c r="JBR264" s="1"/>
      <c r="JBS264" s="1"/>
      <c r="JBT264" s="1"/>
      <c r="JBU264" s="1"/>
      <c r="JBV264" s="1"/>
      <c r="JBW264" s="1"/>
      <c r="JBX264" s="1"/>
      <c r="JBY264" s="1"/>
      <c r="JBZ264" s="1"/>
      <c r="JCA264" s="1"/>
      <c r="JCB264" s="1"/>
      <c r="JCC264" s="1"/>
      <c r="JCD264" s="1"/>
      <c r="JCE264" s="1"/>
      <c r="JCF264" s="1"/>
      <c r="JCG264" s="1"/>
      <c r="JCH264" s="1"/>
      <c r="JCI264" s="1"/>
      <c r="JCJ264" s="1"/>
      <c r="JCK264" s="1"/>
      <c r="JCL264" s="1"/>
      <c r="JCM264" s="1"/>
      <c r="JCN264" s="1"/>
      <c r="JCO264" s="1"/>
      <c r="JCP264" s="1"/>
      <c r="JCQ264" s="1"/>
      <c r="JCR264" s="1"/>
      <c r="JCS264" s="1"/>
      <c r="JCT264" s="1"/>
      <c r="JCU264" s="1"/>
      <c r="JCV264" s="1"/>
      <c r="JCW264" s="1"/>
      <c r="JCX264" s="1"/>
      <c r="JCY264" s="1"/>
      <c r="JCZ264" s="1"/>
      <c r="JDA264" s="1"/>
      <c r="JDB264" s="1"/>
      <c r="JDC264" s="1"/>
      <c r="JDD264" s="1"/>
      <c r="JDE264" s="1"/>
      <c r="JDF264" s="1"/>
      <c r="JDG264" s="1"/>
      <c r="JDH264" s="1"/>
      <c r="JDI264" s="1"/>
      <c r="JDJ264" s="1"/>
      <c r="JDK264" s="1"/>
      <c r="JDL264" s="1"/>
      <c r="JDM264" s="1"/>
      <c r="JDN264" s="1"/>
      <c r="JDO264" s="1"/>
      <c r="JDP264" s="1"/>
      <c r="JDQ264" s="1"/>
      <c r="JDR264" s="1"/>
      <c r="JDS264" s="1"/>
      <c r="JDT264" s="1"/>
      <c r="JDU264" s="1"/>
      <c r="JDV264" s="1"/>
      <c r="JDW264" s="1"/>
      <c r="JDX264" s="1"/>
      <c r="JDY264" s="1"/>
      <c r="JDZ264" s="1"/>
      <c r="JEA264" s="1"/>
      <c r="JEB264" s="1"/>
      <c r="JEC264" s="1"/>
      <c r="JED264" s="1"/>
      <c r="JEE264" s="1"/>
      <c r="JEF264" s="1"/>
      <c r="JEG264" s="1"/>
      <c r="JEH264" s="1"/>
      <c r="JEI264" s="1"/>
      <c r="JEJ264" s="1"/>
      <c r="JEK264" s="1"/>
      <c r="JEL264" s="1"/>
      <c r="JEM264" s="1"/>
      <c r="JEN264" s="1"/>
      <c r="JEO264" s="1"/>
      <c r="JEP264" s="1"/>
      <c r="JEQ264" s="1"/>
      <c r="JER264" s="1"/>
      <c r="JES264" s="1"/>
      <c r="JET264" s="1"/>
      <c r="JEU264" s="1"/>
      <c r="JEV264" s="1"/>
      <c r="JEW264" s="1"/>
      <c r="JEX264" s="1"/>
      <c r="JEY264" s="1"/>
      <c r="JEZ264" s="1"/>
      <c r="JFA264" s="1"/>
      <c r="JFB264" s="1"/>
      <c r="JFC264" s="1"/>
      <c r="JFD264" s="1"/>
      <c r="JFE264" s="1"/>
      <c r="JFF264" s="1"/>
      <c r="JFG264" s="1"/>
      <c r="JFH264" s="1"/>
      <c r="JFI264" s="1"/>
      <c r="JFJ264" s="1"/>
      <c r="JFK264" s="1"/>
      <c r="JFL264" s="1"/>
      <c r="JFM264" s="1"/>
      <c r="JFN264" s="1"/>
      <c r="JFO264" s="1"/>
      <c r="JFP264" s="1"/>
      <c r="JFQ264" s="1"/>
      <c r="JFR264" s="1"/>
      <c r="JFS264" s="1"/>
      <c r="JFT264" s="1"/>
      <c r="JFU264" s="1"/>
      <c r="JFV264" s="1"/>
      <c r="JFW264" s="1"/>
      <c r="JFX264" s="1"/>
      <c r="JFY264" s="1"/>
      <c r="JFZ264" s="1"/>
      <c r="JGA264" s="1"/>
      <c r="JGB264" s="1"/>
      <c r="JGC264" s="1"/>
      <c r="JGD264" s="1"/>
      <c r="JGE264" s="1"/>
      <c r="JGF264" s="1"/>
      <c r="JGG264" s="1"/>
      <c r="JGH264" s="1"/>
      <c r="JGI264" s="1"/>
      <c r="JGJ264" s="1"/>
      <c r="JGK264" s="1"/>
      <c r="JGL264" s="1"/>
      <c r="JGM264" s="1"/>
      <c r="JGN264" s="1"/>
      <c r="JGO264" s="1"/>
      <c r="JGP264" s="1"/>
      <c r="JGQ264" s="1"/>
      <c r="JGR264" s="1"/>
      <c r="JGS264" s="1"/>
      <c r="JGT264" s="1"/>
      <c r="JGU264" s="1"/>
      <c r="JGV264" s="1"/>
      <c r="JGW264" s="1"/>
      <c r="JGX264" s="1"/>
      <c r="JGY264" s="1"/>
      <c r="JGZ264" s="1"/>
      <c r="JHA264" s="1"/>
      <c r="JHB264" s="1"/>
      <c r="JHC264" s="1"/>
      <c r="JHD264" s="1"/>
      <c r="JHE264" s="1"/>
      <c r="JHF264" s="1"/>
      <c r="JHG264" s="1"/>
      <c r="JHH264" s="1"/>
      <c r="JHI264" s="1"/>
      <c r="JHJ264" s="1"/>
      <c r="JHK264" s="1"/>
      <c r="JHL264" s="1"/>
      <c r="JHM264" s="1"/>
      <c r="JHN264" s="1"/>
      <c r="JHO264" s="1"/>
      <c r="JHP264" s="1"/>
      <c r="JHQ264" s="1"/>
      <c r="JHR264" s="1"/>
      <c r="JHS264" s="1"/>
      <c r="JHT264" s="1"/>
      <c r="JHU264" s="1"/>
      <c r="JHV264" s="1"/>
      <c r="JHW264" s="1"/>
      <c r="JHX264" s="1"/>
      <c r="JHY264" s="1"/>
      <c r="JHZ264" s="1"/>
      <c r="JIA264" s="1"/>
      <c r="JIB264" s="1"/>
      <c r="JIC264" s="1"/>
      <c r="JID264" s="1"/>
      <c r="JIE264" s="1"/>
      <c r="JIF264" s="1"/>
      <c r="JIG264" s="1"/>
      <c r="JIH264" s="1"/>
      <c r="JII264" s="1"/>
      <c r="JIJ264" s="1"/>
      <c r="JIK264" s="1"/>
      <c r="JIL264" s="1"/>
      <c r="JIM264" s="1"/>
      <c r="JIN264" s="1"/>
      <c r="JIO264" s="1"/>
      <c r="JIP264" s="1"/>
      <c r="JIQ264" s="1"/>
      <c r="JIR264" s="1"/>
      <c r="JIS264" s="1"/>
      <c r="JIT264" s="1"/>
      <c r="JIU264" s="1"/>
      <c r="JIV264" s="1"/>
      <c r="JIW264" s="1"/>
      <c r="JIX264" s="1"/>
      <c r="JIY264" s="1"/>
      <c r="JIZ264" s="1"/>
      <c r="JJA264" s="1"/>
      <c r="JJB264" s="1"/>
      <c r="JJC264" s="1"/>
      <c r="JJD264" s="1"/>
      <c r="JJE264" s="1"/>
      <c r="JJF264" s="1"/>
      <c r="JJG264" s="1"/>
      <c r="JJH264" s="1"/>
      <c r="JJI264" s="1"/>
      <c r="JJJ264" s="1"/>
      <c r="JJK264" s="1"/>
      <c r="JJL264" s="1"/>
      <c r="JJM264" s="1"/>
      <c r="JJN264" s="1"/>
      <c r="JJO264" s="1"/>
      <c r="JJP264" s="1"/>
      <c r="JJQ264" s="1"/>
      <c r="JJR264" s="1"/>
      <c r="JJS264" s="1"/>
      <c r="JJT264" s="1"/>
      <c r="JJU264" s="1"/>
      <c r="JJV264" s="1"/>
      <c r="JJW264" s="1"/>
      <c r="JJX264" s="1"/>
      <c r="JJY264" s="1"/>
      <c r="JJZ264" s="1"/>
      <c r="JKA264" s="1"/>
      <c r="JKB264" s="1"/>
      <c r="JKC264" s="1"/>
      <c r="JKD264" s="1"/>
      <c r="JKE264" s="1"/>
      <c r="JKF264" s="1"/>
      <c r="JKG264" s="1"/>
      <c r="JKH264" s="1"/>
      <c r="JKI264" s="1"/>
      <c r="JKJ264" s="1"/>
      <c r="JKK264" s="1"/>
      <c r="JKL264" s="1"/>
      <c r="JKM264" s="1"/>
      <c r="JKN264" s="1"/>
      <c r="JKO264" s="1"/>
      <c r="JKP264" s="1"/>
      <c r="JKQ264" s="1"/>
      <c r="JKR264" s="1"/>
      <c r="JKS264" s="1"/>
      <c r="JKT264" s="1"/>
      <c r="JKU264" s="1"/>
      <c r="JKV264" s="1"/>
      <c r="JKW264" s="1"/>
      <c r="JKX264" s="1"/>
      <c r="JKY264" s="1"/>
      <c r="JKZ264" s="1"/>
      <c r="JLA264" s="1"/>
      <c r="JLB264" s="1"/>
      <c r="JLC264" s="1"/>
      <c r="JLD264" s="1"/>
      <c r="JLE264" s="1"/>
      <c r="JLF264" s="1"/>
      <c r="JLG264" s="1"/>
      <c r="JLH264" s="1"/>
      <c r="JLI264" s="1"/>
      <c r="JLJ264" s="1"/>
      <c r="JLK264" s="1"/>
      <c r="JLL264" s="1"/>
      <c r="JLM264" s="1"/>
      <c r="JLN264" s="1"/>
      <c r="JLO264" s="1"/>
      <c r="JLP264" s="1"/>
      <c r="JLQ264" s="1"/>
      <c r="JLR264" s="1"/>
      <c r="JLS264" s="1"/>
      <c r="JLT264" s="1"/>
      <c r="JLU264" s="1"/>
      <c r="JLV264" s="1"/>
      <c r="JLW264" s="1"/>
      <c r="JLX264" s="1"/>
      <c r="JLY264" s="1"/>
      <c r="JLZ264" s="1"/>
      <c r="JMA264" s="1"/>
      <c r="JMB264" s="1"/>
      <c r="JMC264" s="1"/>
      <c r="JMD264" s="1"/>
      <c r="JME264" s="1"/>
      <c r="JMF264" s="1"/>
      <c r="JMG264" s="1"/>
      <c r="JMH264" s="1"/>
      <c r="JMI264" s="1"/>
      <c r="JMJ264" s="1"/>
      <c r="JMK264" s="1"/>
      <c r="JML264" s="1"/>
      <c r="JMM264" s="1"/>
      <c r="JMN264" s="1"/>
      <c r="JMO264" s="1"/>
      <c r="JMP264" s="1"/>
      <c r="JMQ264" s="1"/>
      <c r="JMR264" s="1"/>
      <c r="JMS264" s="1"/>
      <c r="JMT264" s="1"/>
      <c r="JMU264" s="1"/>
      <c r="JMV264" s="1"/>
      <c r="JMW264" s="1"/>
      <c r="JMX264" s="1"/>
      <c r="JMY264" s="1"/>
      <c r="JMZ264" s="1"/>
      <c r="JNA264" s="1"/>
      <c r="JNB264" s="1"/>
      <c r="JNC264" s="1"/>
      <c r="JND264" s="1"/>
      <c r="JNE264" s="1"/>
      <c r="JNF264" s="1"/>
      <c r="JNG264" s="1"/>
      <c r="JNH264" s="1"/>
      <c r="JNI264" s="1"/>
      <c r="JNJ264" s="1"/>
      <c r="JNK264" s="1"/>
      <c r="JNL264" s="1"/>
      <c r="JNM264" s="1"/>
      <c r="JNN264" s="1"/>
      <c r="JNO264" s="1"/>
      <c r="JNP264" s="1"/>
      <c r="JNQ264" s="1"/>
      <c r="JNR264" s="1"/>
      <c r="JNS264" s="1"/>
      <c r="JNT264" s="1"/>
      <c r="JNU264" s="1"/>
      <c r="JNV264" s="1"/>
      <c r="JNW264" s="1"/>
      <c r="JNX264" s="1"/>
      <c r="JNY264" s="1"/>
      <c r="JNZ264" s="1"/>
      <c r="JOA264" s="1"/>
      <c r="JOB264" s="1"/>
      <c r="JOC264" s="1"/>
      <c r="JOD264" s="1"/>
      <c r="JOE264" s="1"/>
      <c r="JOF264" s="1"/>
      <c r="JOG264" s="1"/>
      <c r="JOH264" s="1"/>
      <c r="JOI264" s="1"/>
      <c r="JOJ264" s="1"/>
      <c r="JOK264" s="1"/>
      <c r="JOL264" s="1"/>
      <c r="JOM264" s="1"/>
      <c r="JON264" s="1"/>
      <c r="JOO264" s="1"/>
      <c r="JOP264" s="1"/>
      <c r="JOQ264" s="1"/>
      <c r="JOR264" s="1"/>
      <c r="JOS264" s="1"/>
      <c r="JOT264" s="1"/>
      <c r="JOU264" s="1"/>
      <c r="JOV264" s="1"/>
      <c r="JOW264" s="1"/>
      <c r="JOX264" s="1"/>
      <c r="JOY264" s="1"/>
      <c r="JOZ264" s="1"/>
      <c r="JPA264" s="1"/>
      <c r="JPB264" s="1"/>
      <c r="JPC264" s="1"/>
      <c r="JPD264" s="1"/>
      <c r="JPE264" s="1"/>
      <c r="JPF264" s="1"/>
      <c r="JPG264" s="1"/>
      <c r="JPH264" s="1"/>
      <c r="JPI264" s="1"/>
      <c r="JPJ264" s="1"/>
      <c r="JPK264" s="1"/>
      <c r="JPL264" s="1"/>
      <c r="JPM264" s="1"/>
      <c r="JPN264" s="1"/>
      <c r="JPO264" s="1"/>
      <c r="JPP264" s="1"/>
      <c r="JPQ264" s="1"/>
      <c r="JPR264" s="1"/>
      <c r="JPS264" s="1"/>
      <c r="JPT264" s="1"/>
      <c r="JPU264" s="1"/>
      <c r="JPV264" s="1"/>
      <c r="JPW264" s="1"/>
      <c r="JPX264" s="1"/>
      <c r="JPY264" s="1"/>
      <c r="JPZ264" s="1"/>
      <c r="JQA264" s="1"/>
      <c r="JQB264" s="1"/>
      <c r="JQC264" s="1"/>
      <c r="JQD264" s="1"/>
      <c r="JQE264" s="1"/>
      <c r="JQF264" s="1"/>
      <c r="JQG264" s="1"/>
      <c r="JQH264" s="1"/>
      <c r="JQI264" s="1"/>
      <c r="JQJ264" s="1"/>
      <c r="JQK264" s="1"/>
      <c r="JQL264" s="1"/>
      <c r="JQM264" s="1"/>
      <c r="JQN264" s="1"/>
      <c r="JQO264" s="1"/>
      <c r="JQP264" s="1"/>
      <c r="JQQ264" s="1"/>
      <c r="JQR264" s="1"/>
      <c r="JQS264" s="1"/>
      <c r="JQT264" s="1"/>
      <c r="JQU264" s="1"/>
      <c r="JQV264" s="1"/>
      <c r="JQW264" s="1"/>
      <c r="JQX264" s="1"/>
      <c r="JQY264" s="1"/>
      <c r="JQZ264" s="1"/>
      <c r="JRA264" s="1"/>
      <c r="JRB264" s="1"/>
      <c r="JRC264" s="1"/>
      <c r="JRD264" s="1"/>
      <c r="JRE264" s="1"/>
      <c r="JRF264" s="1"/>
      <c r="JRG264" s="1"/>
      <c r="JRH264" s="1"/>
      <c r="JRI264" s="1"/>
      <c r="JRJ264" s="1"/>
      <c r="JRK264" s="1"/>
      <c r="JRL264" s="1"/>
      <c r="JRM264" s="1"/>
      <c r="JRN264" s="1"/>
      <c r="JRO264" s="1"/>
      <c r="JRP264" s="1"/>
      <c r="JRQ264" s="1"/>
      <c r="JRR264" s="1"/>
      <c r="JRS264" s="1"/>
      <c r="JRT264" s="1"/>
      <c r="JRU264" s="1"/>
      <c r="JRV264" s="1"/>
      <c r="JRW264" s="1"/>
      <c r="JRX264" s="1"/>
      <c r="JRY264" s="1"/>
      <c r="JRZ264" s="1"/>
      <c r="JSA264" s="1"/>
      <c r="JSB264" s="1"/>
      <c r="JSC264" s="1"/>
      <c r="JSD264" s="1"/>
      <c r="JSE264" s="1"/>
      <c r="JSF264" s="1"/>
      <c r="JSG264" s="1"/>
      <c r="JSH264" s="1"/>
      <c r="JSI264" s="1"/>
      <c r="JSJ264" s="1"/>
      <c r="JSK264" s="1"/>
      <c r="JSL264" s="1"/>
      <c r="JSM264" s="1"/>
      <c r="JSN264" s="1"/>
      <c r="JSO264" s="1"/>
      <c r="JSP264" s="1"/>
      <c r="JSQ264" s="1"/>
      <c r="JSR264" s="1"/>
      <c r="JSS264" s="1"/>
      <c r="JST264" s="1"/>
      <c r="JSU264" s="1"/>
      <c r="JSV264" s="1"/>
      <c r="JSW264" s="1"/>
      <c r="JSX264" s="1"/>
      <c r="JSY264" s="1"/>
      <c r="JSZ264" s="1"/>
      <c r="JTA264" s="1"/>
      <c r="JTB264" s="1"/>
      <c r="JTC264" s="1"/>
      <c r="JTD264" s="1"/>
      <c r="JTE264" s="1"/>
      <c r="JTF264" s="1"/>
      <c r="JTG264" s="1"/>
      <c r="JTH264" s="1"/>
      <c r="JTI264" s="1"/>
      <c r="JTJ264" s="1"/>
      <c r="JTK264" s="1"/>
      <c r="JTL264" s="1"/>
      <c r="JTM264" s="1"/>
      <c r="JTN264" s="1"/>
      <c r="JTO264" s="1"/>
      <c r="JTP264" s="1"/>
      <c r="JTQ264" s="1"/>
      <c r="JTR264" s="1"/>
      <c r="JTS264" s="1"/>
      <c r="JTT264" s="1"/>
      <c r="JTU264" s="1"/>
      <c r="JTV264" s="1"/>
      <c r="JTW264" s="1"/>
      <c r="JTX264" s="1"/>
      <c r="JTY264" s="1"/>
      <c r="JTZ264" s="1"/>
      <c r="JUA264" s="1"/>
      <c r="JUB264" s="1"/>
      <c r="JUC264" s="1"/>
      <c r="JUD264" s="1"/>
      <c r="JUE264" s="1"/>
      <c r="JUF264" s="1"/>
      <c r="JUG264" s="1"/>
      <c r="JUH264" s="1"/>
      <c r="JUI264" s="1"/>
      <c r="JUJ264" s="1"/>
      <c r="JUK264" s="1"/>
      <c r="JUL264" s="1"/>
      <c r="JUM264" s="1"/>
      <c r="JUN264" s="1"/>
      <c r="JUO264" s="1"/>
      <c r="JUP264" s="1"/>
      <c r="JUQ264" s="1"/>
      <c r="JUR264" s="1"/>
      <c r="JUS264" s="1"/>
      <c r="JUT264" s="1"/>
      <c r="JUU264" s="1"/>
      <c r="JUV264" s="1"/>
      <c r="JUW264" s="1"/>
      <c r="JUX264" s="1"/>
      <c r="JUY264" s="1"/>
      <c r="JUZ264" s="1"/>
      <c r="JVA264" s="1"/>
      <c r="JVB264" s="1"/>
      <c r="JVC264" s="1"/>
      <c r="JVD264" s="1"/>
      <c r="JVE264" s="1"/>
      <c r="JVF264" s="1"/>
      <c r="JVG264" s="1"/>
      <c r="JVH264" s="1"/>
      <c r="JVI264" s="1"/>
      <c r="JVJ264" s="1"/>
      <c r="JVK264" s="1"/>
      <c r="JVL264" s="1"/>
      <c r="JVM264" s="1"/>
      <c r="JVN264" s="1"/>
      <c r="JVO264" s="1"/>
      <c r="JVP264" s="1"/>
      <c r="JVQ264" s="1"/>
      <c r="JVR264" s="1"/>
      <c r="JVS264" s="1"/>
      <c r="JVT264" s="1"/>
      <c r="JVU264" s="1"/>
      <c r="JVV264" s="1"/>
      <c r="JVW264" s="1"/>
      <c r="JVX264" s="1"/>
      <c r="JVY264" s="1"/>
      <c r="JVZ264" s="1"/>
      <c r="JWA264" s="1"/>
      <c r="JWB264" s="1"/>
      <c r="JWC264" s="1"/>
      <c r="JWD264" s="1"/>
      <c r="JWE264" s="1"/>
      <c r="JWF264" s="1"/>
      <c r="JWG264" s="1"/>
      <c r="JWH264" s="1"/>
      <c r="JWI264" s="1"/>
      <c r="JWJ264" s="1"/>
      <c r="JWK264" s="1"/>
      <c r="JWL264" s="1"/>
      <c r="JWM264" s="1"/>
      <c r="JWN264" s="1"/>
      <c r="JWO264" s="1"/>
      <c r="JWP264" s="1"/>
      <c r="JWQ264" s="1"/>
      <c r="JWR264" s="1"/>
      <c r="JWS264" s="1"/>
      <c r="JWT264" s="1"/>
      <c r="JWU264" s="1"/>
      <c r="JWV264" s="1"/>
      <c r="JWW264" s="1"/>
      <c r="JWX264" s="1"/>
      <c r="JWY264" s="1"/>
      <c r="JWZ264" s="1"/>
      <c r="JXA264" s="1"/>
      <c r="JXB264" s="1"/>
      <c r="JXC264" s="1"/>
      <c r="JXD264" s="1"/>
      <c r="JXE264" s="1"/>
      <c r="JXF264" s="1"/>
      <c r="JXG264" s="1"/>
      <c r="JXH264" s="1"/>
      <c r="JXI264" s="1"/>
      <c r="JXJ264" s="1"/>
      <c r="JXK264" s="1"/>
      <c r="JXL264" s="1"/>
      <c r="JXM264" s="1"/>
      <c r="JXN264" s="1"/>
      <c r="JXO264" s="1"/>
      <c r="JXP264" s="1"/>
      <c r="JXQ264" s="1"/>
      <c r="JXR264" s="1"/>
      <c r="JXS264" s="1"/>
      <c r="JXT264" s="1"/>
      <c r="JXU264" s="1"/>
      <c r="JXV264" s="1"/>
      <c r="JXW264" s="1"/>
      <c r="JXX264" s="1"/>
      <c r="JXY264" s="1"/>
      <c r="JXZ264" s="1"/>
      <c r="JYA264" s="1"/>
      <c r="JYB264" s="1"/>
      <c r="JYC264" s="1"/>
      <c r="JYD264" s="1"/>
      <c r="JYE264" s="1"/>
      <c r="JYF264" s="1"/>
      <c r="JYG264" s="1"/>
      <c r="JYH264" s="1"/>
      <c r="JYI264" s="1"/>
      <c r="JYJ264" s="1"/>
      <c r="JYK264" s="1"/>
      <c r="JYL264" s="1"/>
      <c r="JYM264" s="1"/>
      <c r="JYN264" s="1"/>
      <c r="JYO264" s="1"/>
      <c r="JYP264" s="1"/>
      <c r="JYQ264" s="1"/>
      <c r="JYR264" s="1"/>
      <c r="JYS264" s="1"/>
      <c r="JYT264" s="1"/>
      <c r="JYU264" s="1"/>
      <c r="JYV264" s="1"/>
      <c r="JYW264" s="1"/>
      <c r="JYX264" s="1"/>
      <c r="JYY264" s="1"/>
      <c r="JYZ264" s="1"/>
      <c r="JZA264" s="1"/>
      <c r="JZB264" s="1"/>
      <c r="JZC264" s="1"/>
      <c r="JZD264" s="1"/>
      <c r="JZE264" s="1"/>
      <c r="JZF264" s="1"/>
      <c r="JZG264" s="1"/>
      <c r="JZH264" s="1"/>
      <c r="JZI264" s="1"/>
      <c r="JZJ264" s="1"/>
      <c r="JZK264" s="1"/>
      <c r="JZL264" s="1"/>
      <c r="JZM264" s="1"/>
      <c r="JZN264" s="1"/>
      <c r="JZO264" s="1"/>
      <c r="JZP264" s="1"/>
      <c r="JZQ264" s="1"/>
      <c r="JZR264" s="1"/>
      <c r="JZS264" s="1"/>
      <c r="JZT264" s="1"/>
      <c r="JZU264" s="1"/>
      <c r="JZV264" s="1"/>
      <c r="JZW264" s="1"/>
      <c r="JZX264" s="1"/>
      <c r="JZY264" s="1"/>
      <c r="JZZ264" s="1"/>
      <c r="KAA264" s="1"/>
      <c r="KAB264" s="1"/>
      <c r="KAC264" s="1"/>
      <c r="KAD264" s="1"/>
      <c r="KAE264" s="1"/>
      <c r="KAF264" s="1"/>
      <c r="KAG264" s="1"/>
      <c r="KAH264" s="1"/>
      <c r="KAI264" s="1"/>
      <c r="KAJ264" s="1"/>
      <c r="KAK264" s="1"/>
      <c r="KAL264" s="1"/>
      <c r="KAM264" s="1"/>
      <c r="KAN264" s="1"/>
      <c r="KAO264" s="1"/>
      <c r="KAP264" s="1"/>
      <c r="KAQ264" s="1"/>
      <c r="KAR264" s="1"/>
      <c r="KAS264" s="1"/>
      <c r="KAT264" s="1"/>
      <c r="KAU264" s="1"/>
      <c r="KAV264" s="1"/>
      <c r="KAW264" s="1"/>
      <c r="KAX264" s="1"/>
      <c r="KAY264" s="1"/>
      <c r="KAZ264" s="1"/>
      <c r="KBA264" s="1"/>
      <c r="KBB264" s="1"/>
      <c r="KBC264" s="1"/>
      <c r="KBD264" s="1"/>
      <c r="KBE264" s="1"/>
      <c r="KBF264" s="1"/>
      <c r="KBG264" s="1"/>
      <c r="KBH264" s="1"/>
      <c r="KBI264" s="1"/>
      <c r="KBJ264" s="1"/>
      <c r="KBK264" s="1"/>
      <c r="KBL264" s="1"/>
      <c r="KBM264" s="1"/>
      <c r="KBN264" s="1"/>
      <c r="KBO264" s="1"/>
      <c r="KBP264" s="1"/>
      <c r="KBQ264" s="1"/>
      <c r="KBR264" s="1"/>
      <c r="KBS264" s="1"/>
      <c r="KBT264" s="1"/>
      <c r="KBU264" s="1"/>
      <c r="KBV264" s="1"/>
      <c r="KBW264" s="1"/>
      <c r="KBX264" s="1"/>
      <c r="KBY264" s="1"/>
      <c r="KBZ264" s="1"/>
      <c r="KCA264" s="1"/>
      <c r="KCB264" s="1"/>
      <c r="KCC264" s="1"/>
      <c r="KCD264" s="1"/>
      <c r="KCE264" s="1"/>
      <c r="KCF264" s="1"/>
      <c r="KCG264" s="1"/>
      <c r="KCH264" s="1"/>
      <c r="KCI264" s="1"/>
      <c r="KCJ264" s="1"/>
      <c r="KCK264" s="1"/>
      <c r="KCL264" s="1"/>
      <c r="KCM264" s="1"/>
      <c r="KCN264" s="1"/>
      <c r="KCO264" s="1"/>
      <c r="KCP264" s="1"/>
      <c r="KCQ264" s="1"/>
      <c r="KCR264" s="1"/>
      <c r="KCS264" s="1"/>
      <c r="KCT264" s="1"/>
      <c r="KCU264" s="1"/>
      <c r="KCV264" s="1"/>
      <c r="KCW264" s="1"/>
      <c r="KCX264" s="1"/>
      <c r="KCY264" s="1"/>
      <c r="KCZ264" s="1"/>
      <c r="KDA264" s="1"/>
      <c r="KDB264" s="1"/>
      <c r="KDC264" s="1"/>
      <c r="KDD264" s="1"/>
      <c r="KDE264" s="1"/>
      <c r="KDF264" s="1"/>
      <c r="KDG264" s="1"/>
      <c r="KDH264" s="1"/>
      <c r="KDI264" s="1"/>
      <c r="KDJ264" s="1"/>
      <c r="KDK264" s="1"/>
      <c r="KDL264" s="1"/>
      <c r="KDM264" s="1"/>
      <c r="KDN264" s="1"/>
      <c r="KDO264" s="1"/>
      <c r="KDP264" s="1"/>
      <c r="KDQ264" s="1"/>
      <c r="KDR264" s="1"/>
      <c r="KDS264" s="1"/>
      <c r="KDT264" s="1"/>
      <c r="KDU264" s="1"/>
      <c r="KDV264" s="1"/>
      <c r="KDW264" s="1"/>
      <c r="KDX264" s="1"/>
      <c r="KDY264" s="1"/>
      <c r="KDZ264" s="1"/>
      <c r="KEA264" s="1"/>
      <c r="KEB264" s="1"/>
      <c r="KEC264" s="1"/>
      <c r="KED264" s="1"/>
      <c r="KEE264" s="1"/>
      <c r="KEF264" s="1"/>
      <c r="KEG264" s="1"/>
      <c r="KEH264" s="1"/>
      <c r="KEI264" s="1"/>
      <c r="KEJ264" s="1"/>
      <c r="KEK264" s="1"/>
      <c r="KEL264" s="1"/>
      <c r="KEM264" s="1"/>
      <c r="KEN264" s="1"/>
      <c r="KEO264" s="1"/>
      <c r="KEP264" s="1"/>
      <c r="KEQ264" s="1"/>
      <c r="KER264" s="1"/>
      <c r="KES264" s="1"/>
      <c r="KET264" s="1"/>
      <c r="KEU264" s="1"/>
      <c r="KEV264" s="1"/>
      <c r="KEW264" s="1"/>
      <c r="KEX264" s="1"/>
      <c r="KEY264" s="1"/>
      <c r="KEZ264" s="1"/>
      <c r="KFA264" s="1"/>
      <c r="KFB264" s="1"/>
      <c r="KFC264" s="1"/>
      <c r="KFD264" s="1"/>
      <c r="KFE264" s="1"/>
      <c r="KFF264" s="1"/>
      <c r="KFG264" s="1"/>
      <c r="KFH264" s="1"/>
      <c r="KFI264" s="1"/>
      <c r="KFJ264" s="1"/>
      <c r="KFK264" s="1"/>
      <c r="KFL264" s="1"/>
      <c r="KFM264" s="1"/>
      <c r="KFN264" s="1"/>
      <c r="KFO264" s="1"/>
      <c r="KFP264" s="1"/>
      <c r="KFQ264" s="1"/>
      <c r="KFR264" s="1"/>
      <c r="KFS264" s="1"/>
      <c r="KFT264" s="1"/>
      <c r="KFU264" s="1"/>
      <c r="KFV264" s="1"/>
      <c r="KFW264" s="1"/>
      <c r="KFX264" s="1"/>
      <c r="KFY264" s="1"/>
      <c r="KFZ264" s="1"/>
      <c r="KGA264" s="1"/>
      <c r="KGB264" s="1"/>
      <c r="KGC264" s="1"/>
      <c r="KGD264" s="1"/>
      <c r="KGE264" s="1"/>
      <c r="KGF264" s="1"/>
      <c r="KGG264" s="1"/>
      <c r="KGH264" s="1"/>
      <c r="KGI264" s="1"/>
      <c r="KGJ264" s="1"/>
      <c r="KGK264" s="1"/>
      <c r="KGL264" s="1"/>
      <c r="KGM264" s="1"/>
      <c r="KGN264" s="1"/>
      <c r="KGO264" s="1"/>
      <c r="KGP264" s="1"/>
      <c r="KGQ264" s="1"/>
      <c r="KGR264" s="1"/>
      <c r="KGS264" s="1"/>
      <c r="KGT264" s="1"/>
      <c r="KGU264" s="1"/>
      <c r="KGV264" s="1"/>
      <c r="KGW264" s="1"/>
      <c r="KGX264" s="1"/>
      <c r="KGY264" s="1"/>
      <c r="KGZ264" s="1"/>
      <c r="KHA264" s="1"/>
      <c r="KHB264" s="1"/>
      <c r="KHC264" s="1"/>
      <c r="KHD264" s="1"/>
      <c r="KHE264" s="1"/>
      <c r="KHF264" s="1"/>
      <c r="KHG264" s="1"/>
      <c r="KHH264" s="1"/>
      <c r="KHI264" s="1"/>
      <c r="KHJ264" s="1"/>
      <c r="KHK264" s="1"/>
      <c r="KHL264" s="1"/>
      <c r="KHM264" s="1"/>
      <c r="KHN264" s="1"/>
      <c r="KHO264" s="1"/>
      <c r="KHP264" s="1"/>
      <c r="KHQ264" s="1"/>
      <c r="KHR264" s="1"/>
      <c r="KHS264" s="1"/>
      <c r="KHT264" s="1"/>
      <c r="KHU264" s="1"/>
      <c r="KHV264" s="1"/>
      <c r="KHW264" s="1"/>
      <c r="KHX264" s="1"/>
      <c r="KHY264" s="1"/>
      <c r="KHZ264" s="1"/>
      <c r="KIA264" s="1"/>
      <c r="KIB264" s="1"/>
      <c r="KIC264" s="1"/>
      <c r="KID264" s="1"/>
      <c r="KIE264" s="1"/>
      <c r="KIF264" s="1"/>
      <c r="KIG264" s="1"/>
      <c r="KIH264" s="1"/>
      <c r="KII264" s="1"/>
      <c r="KIJ264" s="1"/>
      <c r="KIK264" s="1"/>
      <c r="KIL264" s="1"/>
      <c r="KIM264" s="1"/>
      <c r="KIN264" s="1"/>
      <c r="KIO264" s="1"/>
      <c r="KIP264" s="1"/>
      <c r="KIQ264" s="1"/>
      <c r="KIR264" s="1"/>
      <c r="KIS264" s="1"/>
      <c r="KIT264" s="1"/>
      <c r="KIU264" s="1"/>
      <c r="KIV264" s="1"/>
      <c r="KIW264" s="1"/>
      <c r="KIX264" s="1"/>
      <c r="KIY264" s="1"/>
      <c r="KIZ264" s="1"/>
      <c r="KJA264" s="1"/>
      <c r="KJB264" s="1"/>
      <c r="KJC264" s="1"/>
      <c r="KJD264" s="1"/>
      <c r="KJE264" s="1"/>
      <c r="KJF264" s="1"/>
      <c r="KJG264" s="1"/>
      <c r="KJH264" s="1"/>
      <c r="KJI264" s="1"/>
      <c r="KJJ264" s="1"/>
      <c r="KJK264" s="1"/>
      <c r="KJL264" s="1"/>
      <c r="KJM264" s="1"/>
      <c r="KJN264" s="1"/>
      <c r="KJO264" s="1"/>
      <c r="KJP264" s="1"/>
      <c r="KJQ264" s="1"/>
      <c r="KJR264" s="1"/>
      <c r="KJS264" s="1"/>
      <c r="KJT264" s="1"/>
      <c r="KJU264" s="1"/>
      <c r="KJV264" s="1"/>
      <c r="KJW264" s="1"/>
      <c r="KJX264" s="1"/>
      <c r="KJY264" s="1"/>
      <c r="KJZ264" s="1"/>
      <c r="KKA264" s="1"/>
      <c r="KKB264" s="1"/>
      <c r="KKC264" s="1"/>
      <c r="KKD264" s="1"/>
      <c r="KKE264" s="1"/>
      <c r="KKF264" s="1"/>
      <c r="KKG264" s="1"/>
      <c r="KKH264" s="1"/>
      <c r="KKI264" s="1"/>
      <c r="KKJ264" s="1"/>
      <c r="KKK264" s="1"/>
      <c r="KKL264" s="1"/>
      <c r="KKM264" s="1"/>
      <c r="KKN264" s="1"/>
      <c r="KKO264" s="1"/>
      <c r="KKP264" s="1"/>
      <c r="KKQ264" s="1"/>
      <c r="KKR264" s="1"/>
      <c r="KKS264" s="1"/>
      <c r="KKT264" s="1"/>
      <c r="KKU264" s="1"/>
      <c r="KKV264" s="1"/>
      <c r="KKW264" s="1"/>
      <c r="KKX264" s="1"/>
      <c r="KKY264" s="1"/>
      <c r="KKZ264" s="1"/>
      <c r="KLA264" s="1"/>
      <c r="KLB264" s="1"/>
      <c r="KLC264" s="1"/>
      <c r="KLD264" s="1"/>
      <c r="KLE264" s="1"/>
      <c r="KLF264" s="1"/>
      <c r="KLG264" s="1"/>
      <c r="KLH264" s="1"/>
      <c r="KLI264" s="1"/>
      <c r="KLJ264" s="1"/>
      <c r="KLK264" s="1"/>
      <c r="KLL264" s="1"/>
      <c r="KLM264" s="1"/>
      <c r="KLN264" s="1"/>
      <c r="KLO264" s="1"/>
      <c r="KLP264" s="1"/>
      <c r="KLQ264" s="1"/>
      <c r="KLR264" s="1"/>
      <c r="KLS264" s="1"/>
      <c r="KLT264" s="1"/>
      <c r="KLU264" s="1"/>
      <c r="KLV264" s="1"/>
      <c r="KLW264" s="1"/>
      <c r="KLX264" s="1"/>
      <c r="KLY264" s="1"/>
      <c r="KLZ264" s="1"/>
      <c r="KMA264" s="1"/>
      <c r="KMB264" s="1"/>
      <c r="KMC264" s="1"/>
      <c r="KMD264" s="1"/>
      <c r="KME264" s="1"/>
      <c r="KMF264" s="1"/>
      <c r="KMG264" s="1"/>
      <c r="KMH264" s="1"/>
      <c r="KMI264" s="1"/>
      <c r="KMJ264" s="1"/>
      <c r="KMK264" s="1"/>
      <c r="KML264" s="1"/>
      <c r="KMM264" s="1"/>
      <c r="KMN264" s="1"/>
      <c r="KMO264" s="1"/>
      <c r="KMP264" s="1"/>
      <c r="KMQ264" s="1"/>
      <c r="KMR264" s="1"/>
      <c r="KMS264" s="1"/>
      <c r="KMT264" s="1"/>
      <c r="KMU264" s="1"/>
      <c r="KMV264" s="1"/>
      <c r="KMW264" s="1"/>
      <c r="KMX264" s="1"/>
      <c r="KMY264" s="1"/>
      <c r="KMZ264" s="1"/>
      <c r="KNA264" s="1"/>
      <c r="KNB264" s="1"/>
      <c r="KNC264" s="1"/>
      <c r="KND264" s="1"/>
      <c r="KNE264" s="1"/>
      <c r="KNF264" s="1"/>
      <c r="KNG264" s="1"/>
      <c r="KNH264" s="1"/>
      <c r="KNI264" s="1"/>
      <c r="KNJ264" s="1"/>
      <c r="KNK264" s="1"/>
      <c r="KNL264" s="1"/>
      <c r="KNM264" s="1"/>
      <c r="KNN264" s="1"/>
      <c r="KNO264" s="1"/>
      <c r="KNP264" s="1"/>
      <c r="KNQ264" s="1"/>
      <c r="KNR264" s="1"/>
      <c r="KNS264" s="1"/>
      <c r="KNT264" s="1"/>
      <c r="KNU264" s="1"/>
      <c r="KNV264" s="1"/>
      <c r="KNW264" s="1"/>
      <c r="KNX264" s="1"/>
      <c r="KNY264" s="1"/>
      <c r="KNZ264" s="1"/>
      <c r="KOA264" s="1"/>
      <c r="KOB264" s="1"/>
      <c r="KOC264" s="1"/>
      <c r="KOD264" s="1"/>
      <c r="KOE264" s="1"/>
      <c r="KOF264" s="1"/>
      <c r="KOG264" s="1"/>
      <c r="KOH264" s="1"/>
      <c r="KOI264" s="1"/>
      <c r="KOJ264" s="1"/>
      <c r="KOK264" s="1"/>
      <c r="KOL264" s="1"/>
      <c r="KOM264" s="1"/>
      <c r="KON264" s="1"/>
      <c r="KOO264" s="1"/>
      <c r="KOP264" s="1"/>
      <c r="KOQ264" s="1"/>
      <c r="KOR264" s="1"/>
      <c r="KOS264" s="1"/>
      <c r="KOT264" s="1"/>
      <c r="KOU264" s="1"/>
      <c r="KOV264" s="1"/>
      <c r="KOW264" s="1"/>
      <c r="KOX264" s="1"/>
      <c r="KOY264" s="1"/>
      <c r="KOZ264" s="1"/>
      <c r="KPA264" s="1"/>
      <c r="KPB264" s="1"/>
      <c r="KPC264" s="1"/>
      <c r="KPD264" s="1"/>
      <c r="KPE264" s="1"/>
      <c r="KPF264" s="1"/>
      <c r="KPG264" s="1"/>
      <c r="KPH264" s="1"/>
      <c r="KPI264" s="1"/>
      <c r="KPJ264" s="1"/>
      <c r="KPK264" s="1"/>
      <c r="KPL264" s="1"/>
      <c r="KPM264" s="1"/>
      <c r="KPN264" s="1"/>
      <c r="KPO264" s="1"/>
      <c r="KPP264" s="1"/>
      <c r="KPQ264" s="1"/>
      <c r="KPR264" s="1"/>
      <c r="KPS264" s="1"/>
      <c r="KPT264" s="1"/>
      <c r="KPU264" s="1"/>
      <c r="KPV264" s="1"/>
      <c r="KPW264" s="1"/>
      <c r="KPX264" s="1"/>
      <c r="KPY264" s="1"/>
      <c r="KPZ264" s="1"/>
      <c r="KQA264" s="1"/>
      <c r="KQB264" s="1"/>
      <c r="KQC264" s="1"/>
      <c r="KQD264" s="1"/>
      <c r="KQE264" s="1"/>
      <c r="KQF264" s="1"/>
      <c r="KQG264" s="1"/>
      <c r="KQH264" s="1"/>
      <c r="KQI264" s="1"/>
      <c r="KQJ264" s="1"/>
      <c r="KQK264" s="1"/>
      <c r="KQL264" s="1"/>
      <c r="KQM264" s="1"/>
      <c r="KQN264" s="1"/>
      <c r="KQO264" s="1"/>
      <c r="KQP264" s="1"/>
      <c r="KQQ264" s="1"/>
      <c r="KQR264" s="1"/>
      <c r="KQS264" s="1"/>
      <c r="KQT264" s="1"/>
      <c r="KQU264" s="1"/>
      <c r="KQV264" s="1"/>
      <c r="KQW264" s="1"/>
      <c r="KQX264" s="1"/>
      <c r="KQY264" s="1"/>
      <c r="KQZ264" s="1"/>
      <c r="KRA264" s="1"/>
      <c r="KRB264" s="1"/>
      <c r="KRC264" s="1"/>
      <c r="KRD264" s="1"/>
      <c r="KRE264" s="1"/>
      <c r="KRF264" s="1"/>
      <c r="KRG264" s="1"/>
      <c r="KRH264" s="1"/>
      <c r="KRI264" s="1"/>
      <c r="KRJ264" s="1"/>
      <c r="KRK264" s="1"/>
      <c r="KRL264" s="1"/>
      <c r="KRM264" s="1"/>
      <c r="KRN264" s="1"/>
      <c r="KRO264" s="1"/>
      <c r="KRP264" s="1"/>
      <c r="KRQ264" s="1"/>
      <c r="KRR264" s="1"/>
      <c r="KRS264" s="1"/>
      <c r="KRT264" s="1"/>
      <c r="KRU264" s="1"/>
      <c r="KRV264" s="1"/>
      <c r="KRW264" s="1"/>
      <c r="KRX264" s="1"/>
      <c r="KRY264" s="1"/>
      <c r="KRZ264" s="1"/>
      <c r="KSA264" s="1"/>
      <c r="KSB264" s="1"/>
      <c r="KSC264" s="1"/>
      <c r="KSD264" s="1"/>
      <c r="KSE264" s="1"/>
      <c r="KSF264" s="1"/>
      <c r="KSG264" s="1"/>
      <c r="KSH264" s="1"/>
      <c r="KSI264" s="1"/>
      <c r="KSJ264" s="1"/>
      <c r="KSK264" s="1"/>
      <c r="KSL264" s="1"/>
      <c r="KSM264" s="1"/>
      <c r="KSN264" s="1"/>
      <c r="KSO264" s="1"/>
      <c r="KSP264" s="1"/>
      <c r="KSQ264" s="1"/>
      <c r="KSR264" s="1"/>
      <c r="KSS264" s="1"/>
      <c r="KST264" s="1"/>
      <c r="KSU264" s="1"/>
      <c r="KSV264" s="1"/>
      <c r="KSW264" s="1"/>
      <c r="KSX264" s="1"/>
      <c r="KSY264" s="1"/>
      <c r="KSZ264" s="1"/>
      <c r="KTA264" s="1"/>
      <c r="KTB264" s="1"/>
      <c r="KTC264" s="1"/>
      <c r="KTD264" s="1"/>
      <c r="KTE264" s="1"/>
      <c r="KTF264" s="1"/>
      <c r="KTG264" s="1"/>
      <c r="KTH264" s="1"/>
      <c r="KTI264" s="1"/>
      <c r="KTJ264" s="1"/>
      <c r="KTK264" s="1"/>
      <c r="KTL264" s="1"/>
      <c r="KTM264" s="1"/>
      <c r="KTN264" s="1"/>
      <c r="KTO264" s="1"/>
      <c r="KTP264" s="1"/>
      <c r="KTQ264" s="1"/>
      <c r="KTR264" s="1"/>
      <c r="KTS264" s="1"/>
      <c r="KTT264" s="1"/>
      <c r="KTU264" s="1"/>
      <c r="KTV264" s="1"/>
      <c r="KTW264" s="1"/>
      <c r="KTX264" s="1"/>
      <c r="KTY264" s="1"/>
      <c r="KTZ264" s="1"/>
      <c r="KUA264" s="1"/>
      <c r="KUB264" s="1"/>
      <c r="KUC264" s="1"/>
      <c r="KUD264" s="1"/>
      <c r="KUE264" s="1"/>
      <c r="KUF264" s="1"/>
      <c r="KUG264" s="1"/>
      <c r="KUH264" s="1"/>
      <c r="KUI264" s="1"/>
      <c r="KUJ264" s="1"/>
      <c r="KUK264" s="1"/>
      <c r="KUL264" s="1"/>
      <c r="KUM264" s="1"/>
      <c r="KUN264" s="1"/>
      <c r="KUO264" s="1"/>
      <c r="KUP264" s="1"/>
      <c r="KUQ264" s="1"/>
      <c r="KUR264" s="1"/>
      <c r="KUS264" s="1"/>
      <c r="KUT264" s="1"/>
      <c r="KUU264" s="1"/>
      <c r="KUV264" s="1"/>
      <c r="KUW264" s="1"/>
      <c r="KUX264" s="1"/>
      <c r="KUY264" s="1"/>
      <c r="KUZ264" s="1"/>
      <c r="KVA264" s="1"/>
      <c r="KVB264" s="1"/>
      <c r="KVC264" s="1"/>
      <c r="KVD264" s="1"/>
      <c r="KVE264" s="1"/>
      <c r="KVF264" s="1"/>
      <c r="KVG264" s="1"/>
      <c r="KVH264" s="1"/>
      <c r="KVI264" s="1"/>
      <c r="KVJ264" s="1"/>
      <c r="KVK264" s="1"/>
      <c r="KVL264" s="1"/>
      <c r="KVM264" s="1"/>
      <c r="KVN264" s="1"/>
      <c r="KVO264" s="1"/>
      <c r="KVP264" s="1"/>
      <c r="KVQ264" s="1"/>
      <c r="KVR264" s="1"/>
      <c r="KVS264" s="1"/>
      <c r="KVT264" s="1"/>
      <c r="KVU264" s="1"/>
      <c r="KVV264" s="1"/>
      <c r="KVW264" s="1"/>
      <c r="KVX264" s="1"/>
      <c r="KVY264" s="1"/>
      <c r="KVZ264" s="1"/>
      <c r="KWA264" s="1"/>
      <c r="KWB264" s="1"/>
      <c r="KWC264" s="1"/>
      <c r="KWD264" s="1"/>
      <c r="KWE264" s="1"/>
      <c r="KWF264" s="1"/>
      <c r="KWG264" s="1"/>
      <c r="KWH264" s="1"/>
      <c r="KWI264" s="1"/>
      <c r="KWJ264" s="1"/>
      <c r="KWK264" s="1"/>
      <c r="KWL264" s="1"/>
      <c r="KWM264" s="1"/>
      <c r="KWN264" s="1"/>
      <c r="KWO264" s="1"/>
      <c r="KWP264" s="1"/>
      <c r="KWQ264" s="1"/>
      <c r="KWR264" s="1"/>
      <c r="KWS264" s="1"/>
      <c r="KWT264" s="1"/>
      <c r="KWU264" s="1"/>
      <c r="KWV264" s="1"/>
      <c r="KWW264" s="1"/>
      <c r="KWX264" s="1"/>
      <c r="KWY264" s="1"/>
      <c r="KWZ264" s="1"/>
      <c r="KXA264" s="1"/>
      <c r="KXB264" s="1"/>
      <c r="KXC264" s="1"/>
      <c r="KXD264" s="1"/>
      <c r="KXE264" s="1"/>
      <c r="KXF264" s="1"/>
      <c r="KXG264" s="1"/>
      <c r="KXH264" s="1"/>
      <c r="KXI264" s="1"/>
      <c r="KXJ264" s="1"/>
      <c r="KXK264" s="1"/>
      <c r="KXL264" s="1"/>
      <c r="KXM264" s="1"/>
      <c r="KXN264" s="1"/>
      <c r="KXO264" s="1"/>
      <c r="KXP264" s="1"/>
      <c r="KXQ264" s="1"/>
      <c r="KXR264" s="1"/>
      <c r="KXS264" s="1"/>
      <c r="KXT264" s="1"/>
      <c r="KXU264" s="1"/>
      <c r="KXV264" s="1"/>
      <c r="KXW264" s="1"/>
      <c r="KXX264" s="1"/>
      <c r="KXY264" s="1"/>
      <c r="KXZ264" s="1"/>
      <c r="KYA264" s="1"/>
      <c r="KYB264" s="1"/>
      <c r="KYC264" s="1"/>
      <c r="KYD264" s="1"/>
      <c r="KYE264" s="1"/>
      <c r="KYF264" s="1"/>
      <c r="KYG264" s="1"/>
      <c r="KYH264" s="1"/>
      <c r="KYI264" s="1"/>
      <c r="KYJ264" s="1"/>
      <c r="KYK264" s="1"/>
      <c r="KYL264" s="1"/>
      <c r="KYM264" s="1"/>
      <c r="KYN264" s="1"/>
      <c r="KYO264" s="1"/>
      <c r="KYP264" s="1"/>
      <c r="KYQ264" s="1"/>
      <c r="KYR264" s="1"/>
      <c r="KYS264" s="1"/>
      <c r="KYT264" s="1"/>
      <c r="KYU264" s="1"/>
      <c r="KYV264" s="1"/>
      <c r="KYW264" s="1"/>
      <c r="KYX264" s="1"/>
      <c r="KYY264" s="1"/>
      <c r="KYZ264" s="1"/>
      <c r="KZA264" s="1"/>
      <c r="KZB264" s="1"/>
      <c r="KZC264" s="1"/>
      <c r="KZD264" s="1"/>
      <c r="KZE264" s="1"/>
      <c r="KZF264" s="1"/>
      <c r="KZG264" s="1"/>
      <c r="KZH264" s="1"/>
      <c r="KZI264" s="1"/>
      <c r="KZJ264" s="1"/>
      <c r="KZK264" s="1"/>
      <c r="KZL264" s="1"/>
      <c r="KZM264" s="1"/>
      <c r="KZN264" s="1"/>
      <c r="KZO264" s="1"/>
      <c r="KZP264" s="1"/>
      <c r="KZQ264" s="1"/>
      <c r="KZR264" s="1"/>
      <c r="KZS264" s="1"/>
      <c r="KZT264" s="1"/>
      <c r="KZU264" s="1"/>
      <c r="KZV264" s="1"/>
      <c r="KZW264" s="1"/>
      <c r="KZX264" s="1"/>
      <c r="KZY264" s="1"/>
      <c r="KZZ264" s="1"/>
      <c r="LAA264" s="1"/>
      <c r="LAB264" s="1"/>
      <c r="LAC264" s="1"/>
      <c r="LAD264" s="1"/>
      <c r="LAE264" s="1"/>
      <c r="LAF264" s="1"/>
      <c r="LAG264" s="1"/>
      <c r="LAH264" s="1"/>
      <c r="LAI264" s="1"/>
      <c r="LAJ264" s="1"/>
      <c r="LAK264" s="1"/>
      <c r="LAL264" s="1"/>
      <c r="LAM264" s="1"/>
      <c r="LAN264" s="1"/>
      <c r="LAO264" s="1"/>
      <c r="LAP264" s="1"/>
      <c r="LAQ264" s="1"/>
      <c r="LAR264" s="1"/>
      <c r="LAS264" s="1"/>
      <c r="LAT264" s="1"/>
      <c r="LAU264" s="1"/>
      <c r="LAV264" s="1"/>
      <c r="LAW264" s="1"/>
      <c r="LAX264" s="1"/>
      <c r="LAY264" s="1"/>
      <c r="LAZ264" s="1"/>
      <c r="LBA264" s="1"/>
      <c r="LBB264" s="1"/>
      <c r="LBC264" s="1"/>
      <c r="LBD264" s="1"/>
      <c r="LBE264" s="1"/>
      <c r="LBF264" s="1"/>
      <c r="LBG264" s="1"/>
      <c r="LBH264" s="1"/>
      <c r="LBI264" s="1"/>
      <c r="LBJ264" s="1"/>
      <c r="LBK264" s="1"/>
      <c r="LBL264" s="1"/>
      <c r="LBM264" s="1"/>
      <c r="LBN264" s="1"/>
      <c r="LBO264" s="1"/>
      <c r="LBP264" s="1"/>
      <c r="LBQ264" s="1"/>
      <c r="LBR264" s="1"/>
      <c r="LBS264" s="1"/>
      <c r="LBT264" s="1"/>
      <c r="LBU264" s="1"/>
      <c r="LBV264" s="1"/>
      <c r="LBW264" s="1"/>
      <c r="LBX264" s="1"/>
      <c r="LBY264" s="1"/>
      <c r="LBZ264" s="1"/>
      <c r="LCA264" s="1"/>
      <c r="LCB264" s="1"/>
      <c r="LCC264" s="1"/>
      <c r="LCD264" s="1"/>
      <c r="LCE264" s="1"/>
      <c r="LCF264" s="1"/>
      <c r="LCG264" s="1"/>
      <c r="LCH264" s="1"/>
      <c r="LCI264" s="1"/>
      <c r="LCJ264" s="1"/>
      <c r="LCK264" s="1"/>
      <c r="LCL264" s="1"/>
      <c r="LCM264" s="1"/>
      <c r="LCN264" s="1"/>
      <c r="LCO264" s="1"/>
      <c r="LCP264" s="1"/>
      <c r="LCQ264" s="1"/>
      <c r="LCR264" s="1"/>
      <c r="LCS264" s="1"/>
      <c r="LCT264" s="1"/>
      <c r="LCU264" s="1"/>
      <c r="LCV264" s="1"/>
      <c r="LCW264" s="1"/>
      <c r="LCX264" s="1"/>
      <c r="LCY264" s="1"/>
      <c r="LCZ264" s="1"/>
      <c r="LDA264" s="1"/>
      <c r="LDB264" s="1"/>
      <c r="LDC264" s="1"/>
      <c r="LDD264" s="1"/>
      <c r="LDE264" s="1"/>
      <c r="LDF264" s="1"/>
      <c r="LDG264" s="1"/>
      <c r="LDH264" s="1"/>
      <c r="LDI264" s="1"/>
      <c r="LDJ264" s="1"/>
      <c r="LDK264" s="1"/>
      <c r="LDL264" s="1"/>
      <c r="LDM264" s="1"/>
      <c r="LDN264" s="1"/>
      <c r="LDO264" s="1"/>
      <c r="LDP264" s="1"/>
      <c r="LDQ264" s="1"/>
      <c r="LDR264" s="1"/>
      <c r="LDS264" s="1"/>
      <c r="LDT264" s="1"/>
      <c r="LDU264" s="1"/>
      <c r="LDV264" s="1"/>
      <c r="LDW264" s="1"/>
      <c r="LDX264" s="1"/>
      <c r="LDY264" s="1"/>
      <c r="LDZ264" s="1"/>
      <c r="LEA264" s="1"/>
      <c r="LEB264" s="1"/>
      <c r="LEC264" s="1"/>
      <c r="LED264" s="1"/>
      <c r="LEE264" s="1"/>
      <c r="LEF264" s="1"/>
      <c r="LEG264" s="1"/>
      <c r="LEH264" s="1"/>
      <c r="LEI264" s="1"/>
      <c r="LEJ264" s="1"/>
      <c r="LEK264" s="1"/>
      <c r="LEL264" s="1"/>
      <c r="LEM264" s="1"/>
      <c r="LEN264" s="1"/>
      <c r="LEO264" s="1"/>
      <c r="LEP264" s="1"/>
      <c r="LEQ264" s="1"/>
      <c r="LER264" s="1"/>
      <c r="LES264" s="1"/>
      <c r="LET264" s="1"/>
      <c r="LEU264" s="1"/>
      <c r="LEV264" s="1"/>
      <c r="LEW264" s="1"/>
      <c r="LEX264" s="1"/>
      <c r="LEY264" s="1"/>
      <c r="LEZ264" s="1"/>
      <c r="LFA264" s="1"/>
      <c r="LFB264" s="1"/>
      <c r="LFC264" s="1"/>
      <c r="LFD264" s="1"/>
      <c r="LFE264" s="1"/>
      <c r="LFF264" s="1"/>
      <c r="LFG264" s="1"/>
      <c r="LFH264" s="1"/>
      <c r="LFI264" s="1"/>
      <c r="LFJ264" s="1"/>
      <c r="LFK264" s="1"/>
      <c r="LFL264" s="1"/>
      <c r="LFM264" s="1"/>
      <c r="LFN264" s="1"/>
      <c r="LFO264" s="1"/>
      <c r="LFP264" s="1"/>
      <c r="LFQ264" s="1"/>
      <c r="LFR264" s="1"/>
      <c r="LFS264" s="1"/>
      <c r="LFT264" s="1"/>
      <c r="LFU264" s="1"/>
      <c r="LFV264" s="1"/>
      <c r="LFW264" s="1"/>
      <c r="LFX264" s="1"/>
      <c r="LFY264" s="1"/>
      <c r="LFZ264" s="1"/>
      <c r="LGA264" s="1"/>
      <c r="LGB264" s="1"/>
      <c r="LGC264" s="1"/>
      <c r="LGD264" s="1"/>
      <c r="LGE264" s="1"/>
      <c r="LGF264" s="1"/>
      <c r="LGG264" s="1"/>
      <c r="LGH264" s="1"/>
      <c r="LGI264" s="1"/>
      <c r="LGJ264" s="1"/>
      <c r="LGK264" s="1"/>
      <c r="LGL264" s="1"/>
      <c r="LGM264" s="1"/>
      <c r="LGN264" s="1"/>
      <c r="LGO264" s="1"/>
      <c r="LGP264" s="1"/>
      <c r="LGQ264" s="1"/>
      <c r="LGR264" s="1"/>
      <c r="LGS264" s="1"/>
      <c r="LGT264" s="1"/>
      <c r="LGU264" s="1"/>
      <c r="LGV264" s="1"/>
      <c r="LGW264" s="1"/>
      <c r="LGX264" s="1"/>
      <c r="LGY264" s="1"/>
      <c r="LGZ264" s="1"/>
      <c r="LHA264" s="1"/>
      <c r="LHB264" s="1"/>
      <c r="LHC264" s="1"/>
      <c r="LHD264" s="1"/>
      <c r="LHE264" s="1"/>
      <c r="LHF264" s="1"/>
      <c r="LHG264" s="1"/>
      <c r="LHH264" s="1"/>
      <c r="LHI264" s="1"/>
      <c r="LHJ264" s="1"/>
      <c r="LHK264" s="1"/>
      <c r="LHL264" s="1"/>
      <c r="LHM264" s="1"/>
      <c r="LHN264" s="1"/>
      <c r="LHO264" s="1"/>
      <c r="LHP264" s="1"/>
      <c r="LHQ264" s="1"/>
      <c r="LHR264" s="1"/>
      <c r="LHS264" s="1"/>
      <c r="LHT264" s="1"/>
      <c r="LHU264" s="1"/>
      <c r="LHV264" s="1"/>
      <c r="LHW264" s="1"/>
      <c r="LHX264" s="1"/>
      <c r="LHY264" s="1"/>
      <c r="LHZ264" s="1"/>
      <c r="LIA264" s="1"/>
      <c r="LIB264" s="1"/>
      <c r="LIC264" s="1"/>
      <c r="LID264" s="1"/>
      <c r="LIE264" s="1"/>
      <c r="LIF264" s="1"/>
      <c r="LIG264" s="1"/>
      <c r="LIH264" s="1"/>
      <c r="LII264" s="1"/>
      <c r="LIJ264" s="1"/>
      <c r="LIK264" s="1"/>
      <c r="LIL264" s="1"/>
      <c r="LIM264" s="1"/>
      <c r="LIN264" s="1"/>
      <c r="LIO264" s="1"/>
      <c r="LIP264" s="1"/>
      <c r="LIQ264" s="1"/>
      <c r="LIR264" s="1"/>
      <c r="LIS264" s="1"/>
      <c r="LIT264" s="1"/>
      <c r="LIU264" s="1"/>
      <c r="LIV264" s="1"/>
      <c r="LIW264" s="1"/>
      <c r="LIX264" s="1"/>
      <c r="LIY264" s="1"/>
      <c r="LIZ264" s="1"/>
      <c r="LJA264" s="1"/>
      <c r="LJB264" s="1"/>
      <c r="LJC264" s="1"/>
      <c r="LJD264" s="1"/>
      <c r="LJE264" s="1"/>
      <c r="LJF264" s="1"/>
      <c r="LJG264" s="1"/>
      <c r="LJH264" s="1"/>
      <c r="LJI264" s="1"/>
      <c r="LJJ264" s="1"/>
      <c r="LJK264" s="1"/>
      <c r="LJL264" s="1"/>
      <c r="LJM264" s="1"/>
      <c r="LJN264" s="1"/>
      <c r="LJO264" s="1"/>
      <c r="LJP264" s="1"/>
      <c r="LJQ264" s="1"/>
      <c r="LJR264" s="1"/>
      <c r="LJS264" s="1"/>
      <c r="LJT264" s="1"/>
      <c r="LJU264" s="1"/>
      <c r="LJV264" s="1"/>
      <c r="LJW264" s="1"/>
      <c r="LJX264" s="1"/>
      <c r="LJY264" s="1"/>
      <c r="LJZ264" s="1"/>
      <c r="LKA264" s="1"/>
      <c r="LKB264" s="1"/>
      <c r="LKC264" s="1"/>
      <c r="LKD264" s="1"/>
      <c r="LKE264" s="1"/>
      <c r="LKF264" s="1"/>
      <c r="LKG264" s="1"/>
      <c r="LKH264" s="1"/>
      <c r="LKI264" s="1"/>
      <c r="LKJ264" s="1"/>
      <c r="LKK264" s="1"/>
      <c r="LKL264" s="1"/>
      <c r="LKM264" s="1"/>
      <c r="LKN264" s="1"/>
      <c r="LKO264" s="1"/>
      <c r="LKP264" s="1"/>
      <c r="LKQ264" s="1"/>
      <c r="LKR264" s="1"/>
      <c r="LKS264" s="1"/>
      <c r="LKT264" s="1"/>
      <c r="LKU264" s="1"/>
      <c r="LKV264" s="1"/>
      <c r="LKW264" s="1"/>
      <c r="LKX264" s="1"/>
      <c r="LKY264" s="1"/>
      <c r="LKZ264" s="1"/>
      <c r="LLA264" s="1"/>
      <c r="LLB264" s="1"/>
      <c r="LLC264" s="1"/>
      <c r="LLD264" s="1"/>
      <c r="LLE264" s="1"/>
      <c r="LLF264" s="1"/>
      <c r="LLG264" s="1"/>
      <c r="LLH264" s="1"/>
      <c r="LLI264" s="1"/>
      <c r="LLJ264" s="1"/>
      <c r="LLK264" s="1"/>
      <c r="LLL264" s="1"/>
      <c r="LLM264" s="1"/>
      <c r="LLN264" s="1"/>
      <c r="LLO264" s="1"/>
      <c r="LLP264" s="1"/>
      <c r="LLQ264" s="1"/>
      <c r="LLR264" s="1"/>
      <c r="LLS264" s="1"/>
      <c r="LLT264" s="1"/>
      <c r="LLU264" s="1"/>
      <c r="LLV264" s="1"/>
      <c r="LLW264" s="1"/>
      <c r="LLX264" s="1"/>
      <c r="LLY264" s="1"/>
      <c r="LLZ264" s="1"/>
      <c r="LMA264" s="1"/>
      <c r="LMB264" s="1"/>
      <c r="LMC264" s="1"/>
      <c r="LMD264" s="1"/>
      <c r="LME264" s="1"/>
      <c r="LMF264" s="1"/>
      <c r="LMG264" s="1"/>
      <c r="LMH264" s="1"/>
      <c r="LMI264" s="1"/>
      <c r="LMJ264" s="1"/>
      <c r="LMK264" s="1"/>
      <c r="LML264" s="1"/>
      <c r="LMM264" s="1"/>
      <c r="LMN264" s="1"/>
      <c r="LMO264" s="1"/>
      <c r="LMP264" s="1"/>
      <c r="LMQ264" s="1"/>
      <c r="LMR264" s="1"/>
      <c r="LMS264" s="1"/>
      <c r="LMT264" s="1"/>
      <c r="LMU264" s="1"/>
      <c r="LMV264" s="1"/>
      <c r="LMW264" s="1"/>
      <c r="LMX264" s="1"/>
      <c r="LMY264" s="1"/>
      <c r="LMZ264" s="1"/>
      <c r="LNA264" s="1"/>
      <c r="LNB264" s="1"/>
      <c r="LNC264" s="1"/>
      <c r="LND264" s="1"/>
      <c r="LNE264" s="1"/>
      <c r="LNF264" s="1"/>
      <c r="LNG264" s="1"/>
      <c r="LNH264" s="1"/>
      <c r="LNI264" s="1"/>
      <c r="LNJ264" s="1"/>
      <c r="LNK264" s="1"/>
      <c r="LNL264" s="1"/>
      <c r="LNM264" s="1"/>
      <c r="LNN264" s="1"/>
      <c r="LNO264" s="1"/>
      <c r="LNP264" s="1"/>
      <c r="LNQ264" s="1"/>
      <c r="LNR264" s="1"/>
      <c r="LNS264" s="1"/>
      <c r="LNT264" s="1"/>
      <c r="LNU264" s="1"/>
      <c r="LNV264" s="1"/>
      <c r="LNW264" s="1"/>
      <c r="LNX264" s="1"/>
      <c r="LNY264" s="1"/>
      <c r="LNZ264" s="1"/>
      <c r="LOA264" s="1"/>
      <c r="LOB264" s="1"/>
      <c r="LOC264" s="1"/>
      <c r="LOD264" s="1"/>
      <c r="LOE264" s="1"/>
      <c r="LOF264" s="1"/>
      <c r="LOG264" s="1"/>
      <c r="LOH264" s="1"/>
      <c r="LOI264" s="1"/>
      <c r="LOJ264" s="1"/>
      <c r="LOK264" s="1"/>
      <c r="LOL264" s="1"/>
      <c r="LOM264" s="1"/>
      <c r="LON264" s="1"/>
      <c r="LOO264" s="1"/>
      <c r="LOP264" s="1"/>
      <c r="LOQ264" s="1"/>
      <c r="LOR264" s="1"/>
      <c r="LOS264" s="1"/>
      <c r="LOT264" s="1"/>
      <c r="LOU264" s="1"/>
      <c r="LOV264" s="1"/>
      <c r="LOW264" s="1"/>
      <c r="LOX264" s="1"/>
      <c r="LOY264" s="1"/>
      <c r="LOZ264" s="1"/>
      <c r="LPA264" s="1"/>
      <c r="LPB264" s="1"/>
      <c r="LPC264" s="1"/>
      <c r="LPD264" s="1"/>
      <c r="LPE264" s="1"/>
      <c r="LPF264" s="1"/>
      <c r="LPG264" s="1"/>
      <c r="LPH264" s="1"/>
      <c r="LPI264" s="1"/>
      <c r="LPJ264" s="1"/>
      <c r="LPK264" s="1"/>
      <c r="LPL264" s="1"/>
      <c r="LPM264" s="1"/>
      <c r="LPN264" s="1"/>
      <c r="LPO264" s="1"/>
      <c r="LPP264" s="1"/>
      <c r="LPQ264" s="1"/>
      <c r="LPR264" s="1"/>
      <c r="LPS264" s="1"/>
      <c r="LPT264" s="1"/>
      <c r="LPU264" s="1"/>
      <c r="LPV264" s="1"/>
      <c r="LPW264" s="1"/>
      <c r="LPX264" s="1"/>
      <c r="LPY264" s="1"/>
      <c r="LPZ264" s="1"/>
      <c r="LQA264" s="1"/>
      <c r="LQB264" s="1"/>
      <c r="LQC264" s="1"/>
      <c r="LQD264" s="1"/>
      <c r="LQE264" s="1"/>
      <c r="LQF264" s="1"/>
      <c r="LQG264" s="1"/>
      <c r="LQH264" s="1"/>
      <c r="LQI264" s="1"/>
      <c r="LQJ264" s="1"/>
      <c r="LQK264" s="1"/>
      <c r="LQL264" s="1"/>
      <c r="LQM264" s="1"/>
      <c r="LQN264" s="1"/>
      <c r="LQO264" s="1"/>
      <c r="LQP264" s="1"/>
      <c r="LQQ264" s="1"/>
      <c r="LQR264" s="1"/>
      <c r="LQS264" s="1"/>
      <c r="LQT264" s="1"/>
      <c r="LQU264" s="1"/>
      <c r="LQV264" s="1"/>
      <c r="LQW264" s="1"/>
      <c r="LQX264" s="1"/>
      <c r="LQY264" s="1"/>
      <c r="LQZ264" s="1"/>
      <c r="LRA264" s="1"/>
      <c r="LRB264" s="1"/>
      <c r="LRC264" s="1"/>
      <c r="LRD264" s="1"/>
      <c r="LRE264" s="1"/>
      <c r="LRF264" s="1"/>
      <c r="LRG264" s="1"/>
      <c r="LRH264" s="1"/>
      <c r="LRI264" s="1"/>
      <c r="LRJ264" s="1"/>
      <c r="LRK264" s="1"/>
      <c r="LRL264" s="1"/>
      <c r="LRM264" s="1"/>
      <c r="LRN264" s="1"/>
      <c r="LRO264" s="1"/>
      <c r="LRP264" s="1"/>
      <c r="LRQ264" s="1"/>
      <c r="LRR264" s="1"/>
      <c r="LRS264" s="1"/>
      <c r="LRT264" s="1"/>
      <c r="LRU264" s="1"/>
      <c r="LRV264" s="1"/>
      <c r="LRW264" s="1"/>
      <c r="LRX264" s="1"/>
      <c r="LRY264" s="1"/>
      <c r="LRZ264" s="1"/>
      <c r="LSA264" s="1"/>
      <c r="LSB264" s="1"/>
      <c r="LSC264" s="1"/>
      <c r="LSD264" s="1"/>
      <c r="LSE264" s="1"/>
      <c r="LSF264" s="1"/>
      <c r="LSG264" s="1"/>
      <c r="LSH264" s="1"/>
      <c r="LSI264" s="1"/>
      <c r="LSJ264" s="1"/>
      <c r="LSK264" s="1"/>
      <c r="LSL264" s="1"/>
      <c r="LSM264" s="1"/>
      <c r="LSN264" s="1"/>
      <c r="LSO264" s="1"/>
      <c r="LSP264" s="1"/>
      <c r="LSQ264" s="1"/>
      <c r="LSR264" s="1"/>
      <c r="LSS264" s="1"/>
      <c r="LST264" s="1"/>
      <c r="LSU264" s="1"/>
      <c r="LSV264" s="1"/>
      <c r="LSW264" s="1"/>
      <c r="LSX264" s="1"/>
      <c r="LSY264" s="1"/>
      <c r="LSZ264" s="1"/>
      <c r="LTA264" s="1"/>
      <c r="LTB264" s="1"/>
      <c r="LTC264" s="1"/>
      <c r="LTD264" s="1"/>
      <c r="LTE264" s="1"/>
      <c r="LTF264" s="1"/>
      <c r="LTG264" s="1"/>
      <c r="LTH264" s="1"/>
      <c r="LTI264" s="1"/>
      <c r="LTJ264" s="1"/>
      <c r="LTK264" s="1"/>
      <c r="LTL264" s="1"/>
      <c r="LTM264" s="1"/>
      <c r="LTN264" s="1"/>
      <c r="LTO264" s="1"/>
      <c r="LTP264" s="1"/>
      <c r="LTQ264" s="1"/>
      <c r="LTR264" s="1"/>
      <c r="LTS264" s="1"/>
      <c r="LTT264" s="1"/>
      <c r="LTU264" s="1"/>
      <c r="LTV264" s="1"/>
      <c r="LTW264" s="1"/>
      <c r="LTX264" s="1"/>
      <c r="LTY264" s="1"/>
      <c r="LTZ264" s="1"/>
      <c r="LUA264" s="1"/>
      <c r="LUB264" s="1"/>
      <c r="LUC264" s="1"/>
      <c r="LUD264" s="1"/>
      <c r="LUE264" s="1"/>
      <c r="LUF264" s="1"/>
      <c r="LUG264" s="1"/>
      <c r="LUH264" s="1"/>
      <c r="LUI264" s="1"/>
      <c r="LUJ264" s="1"/>
      <c r="LUK264" s="1"/>
      <c r="LUL264" s="1"/>
      <c r="LUM264" s="1"/>
      <c r="LUN264" s="1"/>
      <c r="LUO264" s="1"/>
      <c r="LUP264" s="1"/>
      <c r="LUQ264" s="1"/>
      <c r="LUR264" s="1"/>
      <c r="LUS264" s="1"/>
      <c r="LUT264" s="1"/>
      <c r="LUU264" s="1"/>
      <c r="LUV264" s="1"/>
      <c r="LUW264" s="1"/>
      <c r="LUX264" s="1"/>
      <c r="LUY264" s="1"/>
      <c r="LUZ264" s="1"/>
      <c r="LVA264" s="1"/>
      <c r="LVB264" s="1"/>
      <c r="LVC264" s="1"/>
      <c r="LVD264" s="1"/>
      <c r="LVE264" s="1"/>
      <c r="LVF264" s="1"/>
      <c r="LVG264" s="1"/>
      <c r="LVH264" s="1"/>
      <c r="LVI264" s="1"/>
      <c r="LVJ264" s="1"/>
      <c r="LVK264" s="1"/>
      <c r="LVL264" s="1"/>
      <c r="LVM264" s="1"/>
      <c r="LVN264" s="1"/>
      <c r="LVO264" s="1"/>
      <c r="LVP264" s="1"/>
      <c r="LVQ264" s="1"/>
      <c r="LVR264" s="1"/>
      <c r="LVS264" s="1"/>
      <c r="LVT264" s="1"/>
      <c r="LVU264" s="1"/>
      <c r="LVV264" s="1"/>
      <c r="LVW264" s="1"/>
      <c r="LVX264" s="1"/>
      <c r="LVY264" s="1"/>
      <c r="LVZ264" s="1"/>
      <c r="LWA264" s="1"/>
      <c r="LWB264" s="1"/>
      <c r="LWC264" s="1"/>
      <c r="LWD264" s="1"/>
      <c r="LWE264" s="1"/>
      <c r="LWF264" s="1"/>
      <c r="LWG264" s="1"/>
      <c r="LWH264" s="1"/>
      <c r="LWI264" s="1"/>
      <c r="LWJ264" s="1"/>
      <c r="LWK264" s="1"/>
      <c r="LWL264" s="1"/>
      <c r="LWM264" s="1"/>
      <c r="LWN264" s="1"/>
      <c r="LWO264" s="1"/>
      <c r="LWP264" s="1"/>
      <c r="LWQ264" s="1"/>
      <c r="LWR264" s="1"/>
      <c r="LWS264" s="1"/>
      <c r="LWT264" s="1"/>
      <c r="LWU264" s="1"/>
      <c r="LWV264" s="1"/>
      <c r="LWW264" s="1"/>
      <c r="LWX264" s="1"/>
      <c r="LWY264" s="1"/>
      <c r="LWZ264" s="1"/>
      <c r="LXA264" s="1"/>
      <c r="LXB264" s="1"/>
      <c r="LXC264" s="1"/>
      <c r="LXD264" s="1"/>
      <c r="LXE264" s="1"/>
      <c r="LXF264" s="1"/>
      <c r="LXG264" s="1"/>
      <c r="LXH264" s="1"/>
      <c r="LXI264" s="1"/>
      <c r="LXJ264" s="1"/>
      <c r="LXK264" s="1"/>
      <c r="LXL264" s="1"/>
      <c r="LXM264" s="1"/>
      <c r="LXN264" s="1"/>
      <c r="LXO264" s="1"/>
      <c r="LXP264" s="1"/>
      <c r="LXQ264" s="1"/>
      <c r="LXR264" s="1"/>
      <c r="LXS264" s="1"/>
      <c r="LXT264" s="1"/>
      <c r="LXU264" s="1"/>
      <c r="LXV264" s="1"/>
      <c r="LXW264" s="1"/>
      <c r="LXX264" s="1"/>
      <c r="LXY264" s="1"/>
      <c r="LXZ264" s="1"/>
      <c r="LYA264" s="1"/>
      <c r="LYB264" s="1"/>
      <c r="LYC264" s="1"/>
      <c r="LYD264" s="1"/>
      <c r="LYE264" s="1"/>
      <c r="LYF264" s="1"/>
      <c r="LYG264" s="1"/>
      <c r="LYH264" s="1"/>
      <c r="LYI264" s="1"/>
      <c r="LYJ264" s="1"/>
      <c r="LYK264" s="1"/>
      <c r="LYL264" s="1"/>
      <c r="LYM264" s="1"/>
      <c r="LYN264" s="1"/>
      <c r="LYO264" s="1"/>
      <c r="LYP264" s="1"/>
      <c r="LYQ264" s="1"/>
      <c r="LYR264" s="1"/>
      <c r="LYS264" s="1"/>
      <c r="LYT264" s="1"/>
      <c r="LYU264" s="1"/>
      <c r="LYV264" s="1"/>
      <c r="LYW264" s="1"/>
      <c r="LYX264" s="1"/>
      <c r="LYY264" s="1"/>
      <c r="LYZ264" s="1"/>
      <c r="LZA264" s="1"/>
      <c r="LZB264" s="1"/>
      <c r="LZC264" s="1"/>
      <c r="LZD264" s="1"/>
      <c r="LZE264" s="1"/>
      <c r="LZF264" s="1"/>
      <c r="LZG264" s="1"/>
      <c r="LZH264" s="1"/>
      <c r="LZI264" s="1"/>
      <c r="LZJ264" s="1"/>
      <c r="LZK264" s="1"/>
      <c r="LZL264" s="1"/>
      <c r="LZM264" s="1"/>
      <c r="LZN264" s="1"/>
      <c r="LZO264" s="1"/>
      <c r="LZP264" s="1"/>
      <c r="LZQ264" s="1"/>
      <c r="LZR264" s="1"/>
      <c r="LZS264" s="1"/>
      <c r="LZT264" s="1"/>
      <c r="LZU264" s="1"/>
      <c r="LZV264" s="1"/>
      <c r="LZW264" s="1"/>
      <c r="LZX264" s="1"/>
      <c r="LZY264" s="1"/>
      <c r="LZZ264" s="1"/>
      <c r="MAA264" s="1"/>
      <c r="MAB264" s="1"/>
      <c r="MAC264" s="1"/>
      <c r="MAD264" s="1"/>
      <c r="MAE264" s="1"/>
      <c r="MAF264" s="1"/>
      <c r="MAG264" s="1"/>
      <c r="MAH264" s="1"/>
      <c r="MAI264" s="1"/>
      <c r="MAJ264" s="1"/>
      <c r="MAK264" s="1"/>
      <c r="MAL264" s="1"/>
      <c r="MAM264" s="1"/>
      <c r="MAN264" s="1"/>
      <c r="MAO264" s="1"/>
      <c r="MAP264" s="1"/>
      <c r="MAQ264" s="1"/>
      <c r="MAR264" s="1"/>
      <c r="MAS264" s="1"/>
      <c r="MAT264" s="1"/>
      <c r="MAU264" s="1"/>
      <c r="MAV264" s="1"/>
      <c r="MAW264" s="1"/>
      <c r="MAX264" s="1"/>
      <c r="MAY264" s="1"/>
      <c r="MAZ264" s="1"/>
      <c r="MBA264" s="1"/>
      <c r="MBB264" s="1"/>
      <c r="MBC264" s="1"/>
      <c r="MBD264" s="1"/>
      <c r="MBE264" s="1"/>
      <c r="MBF264" s="1"/>
      <c r="MBG264" s="1"/>
      <c r="MBH264" s="1"/>
      <c r="MBI264" s="1"/>
      <c r="MBJ264" s="1"/>
      <c r="MBK264" s="1"/>
      <c r="MBL264" s="1"/>
      <c r="MBM264" s="1"/>
      <c r="MBN264" s="1"/>
      <c r="MBO264" s="1"/>
      <c r="MBP264" s="1"/>
      <c r="MBQ264" s="1"/>
      <c r="MBR264" s="1"/>
      <c r="MBS264" s="1"/>
      <c r="MBT264" s="1"/>
      <c r="MBU264" s="1"/>
      <c r="MBV264" s="1"/>
      <c r="MBW264" s="1"/>
      <c r="MBX264" s="1"/>
      <c r="MBY264" s="1"/>
      <c r="MBZ264" s="1"/>
      <c r="MCA264" s="1"/>
      <c r="MCB264" s="1"/>
      <c r="MCC264" s="1"/>
      <c r="MCD264" s="1"/>
      <c r="MCE264" s="1"/>
      <c r="MCF264" s="1"/>
      <c r="MCG264" s="1"/>
      <c r="MCH264" s="1"/>
      <c r="MCI264" s="1"/>
      <c r="MCJ264" s="1"/>
      <c r="MCK264" s="1"/>
      <c r="MCL264" s="1"/>
      <c r="MCM264" s="1"/>
      <c r="MCN264" s="1"/>
      <c r="MCO264" s="1"/>
      <c r="MCP264" s="1"/>
      <c r="MCQ264" s="1"/>
      <c r="MCR264" s="1"/>
      <c r="MCS264" s="1"/>
      <c r="MCT264" s="1"/>
      <c r="MCU264" s="1"/>
      <c r="MCV264" s="1"/>
      <c r="MCW264" s="1"/>
      <c r="MCX264" s="1"/>
      <c r="MCY264" s="1"/>
      <c r="MCZ264" s="1"/>
      <c r="MDA264" s="1"/>
      <c r="MDB264" s="1"/>
      <c r="MDC264" s="1"/>
      <c r="MDD264" s="1"/>
      <c r="MDE264" s="1"/>
      <c r="MDF264" s="1"/>
      <c r="MDG264" s="1"/>
      <c r="MDH264" s="1"/>
      <c r="MDI264" s="1"/>
      <c r="MDJ264" s="1"/>
      <c r="MDK264" s="1"/>
      <c r="MDL264" s="1"/>
      <c r="MDM264" s="1"/>
      <c r="MDN264" s="1"/>
      <c r="MDO264" s="1"/>
      <c r="MDP264" s="1"/>
      <c r="MDQ264" s="1"/>
      <c r="MDR264" s="1"/>
      <c r="MDS264" s="1"/>
      <c r="MDT264" s="1"/>
      <c r="MDU264" s="1"/>
      <c r="MDV264" s="1"/>
      <c r="MDW264" s="1"/>
      <c r="MDX264" s="1"/>
      <c r="MDY264" s="1"/>
      <c r="MDZ264" s="1"/>
      <c r="MEA264" s="1"/>
      <c r="MEB264" s="1"/>
      <c r="MEC264" s="1"/>
      <c r="MED264" s="1"/>
      <c r="MEE264" s="1"/>
      <c r="MEF264" s="1"/>
      <c r="MEG264" s="1"/>
      <c r="MEH264" s="1"/>
      <c r="MEI264" s="1"/>
      <c r="MEJ264" s="1"/>
      <c r="MEK264" s="1"/>
      <c r="MEL264" s="1"/>
      <c r="MEM264" s="1"/>
      <c r="MEN264" s="1"/>
      <c r="MEO264" s="1"/>
      <c r="MEP264" s="1"/>
      <c r="MEQ264" s="1"/>
      <c r="MER264" s="1"/>
      <c r="MES264" s="1"/>
      <c r="MET264" s="1"/>
      <c r="MEU264" s="1"/>
      <c r="MEV264" s="1"/>
      <c r="MEW264" s="1"/>
      <c r="MEX264" s="1"/>
      <c r="MEY264" s="1"/>
      <c r="MEZ264" s="1"/>
      <c r="MFA264" s="1"/>
      <c r="MFB264" s="1"/>
      <c r="MFC264" s="1"/>
      <c r="MFD264" s="1"/>
      <c r="MFE264" s="1"/>
      <c r="MFF264" s="1"/>
      <c r="MFG264" s="1"/>
      <c r="MFH264" s="1"/>
      <c r="MFI264" s="1"/>
      <c r="MFJ264" s="1"/>
      <c r="MFK264" s="1"/>
      <c r="MFL264" s="1"/>
      <c r="MFM264" s="1"/>
      <c r="MFN264" s="1"/>
      <c r="MFO264" s="1"/>
      <c r="MFP264" s="1"/>
      <c r="MFQ264" s="1"/>
      <c r="MFR264" s="1"/>
      <c r="MFS264" s="1"/>
      <c r="MFT264" s="1"/>
      <c r="MFU264" s="1"/>
      <c r="MFV264" s="1"/>
      <c r="MFW264" s="1"/>
      <c r="MFX264" s="1"/>
      <c r="MFY264" s="1"/>
      <c r="MFZ264" s="1"/>
      <c r="MGA264" s="1"/>
      <c r="MGB264" s="1"/>
      <c r="MGC264" s="1"/>
      <c r="MGD264" s="1"/>
      <c r="MGE264" s="1"/>
      <c r="MGF264" s="1"/>
      <c r="MGG264" s="1"/>
      <c r="MGH264" s="1"/>
      <c r="MGI264" s="1"/>
      <c r="MGJ264" s="1"/>
      <c r="MGK264" s="1"/>
      <c r="MGL264" s="1"/>
      <c r="MGM264" s="1"/>
      <c r="MGN264" s="1"/>
      <c r="MGO264" s="1"/>
      <c r="MGP264" s="1"/>
      <c r="MGQ264" s="1"/>
      <c r="MGR264" s="1"/>
      <c r="MGS264" s="1"/>
      <c r="MGT264" s="1"/>
      <c r="MGU264" s="1"/>
      <c r="MGV264" s="1"/>
      <c r="MGW264" s="1"/>
      <c r="MGX264" s="1"/>
      <c r="MGY264" s="1"/>
      <c r="MGZ264" s="1"/>
      <c r="MHA264" s="1"/>
      <c r="MHB264" s="1"/>
      <c r="MHC264" s="1"/>
      <c r="MHD264" s="1"/>
      <c r="MHE264" s="1"/>
      <c r="MHF264" s="1"/>
      <c r="MHG264" s="1"/>
      <c r="MHH264" s="1"/>
      <c r="MHI264" s="1"/>
      <c r="MHJ264" s="1"/>
      <c r="MHK264" s="1"/>
      <c r="MHL264" s="1"/>
      <c r="MHM264" s="1"/>
      <c r="MHN264" s="1"/>
      <c r="MHO264" s="1"/>
      <c r="MHP264" s="1"/>
      <c r="MHQ264" s="1"/>
      <c r="MHR264" s="1"/>
      <c r="MHS264" s="1"/>
      <c r="MHT264" s="1"/>
      <c r="MHU264" s="1"/>
      <c r="MHV264" s="1"/>
      <c r="MHW264" s="1"/>
      <c r="MHX264" s="1"/>
      <c r="MHY264" s="1"/>
      <c r="MHZ264" s="1"/>
      <c r="MIA264" s="1"/>
      <c r="MIB264" s="1"/>
      <c r="MIC264" s="1"/>
      <c r="MID264" s="1"/>
      <c r="MIE264" s="1"/>
      <c r="MIF264" s="1"/>
      <c r="MIG264" s="1"/>
      <c r="MIH264" s="1"/>
      <c r="MII264" s="1"/>
      <c r="MIJ264" s="1"/>
      <c r="MIK264" s="1"/>
      <c r="MIL264" s="1"/>
      <c r="MIM264" s="1"/>
      <c r="MIN264" s="1"/>
      <c r="MIO264" s="1"/>
      <c r="MIP264" s="1"/>
      <c r="MIQ264" s="1"/>
      <c r="MIR264" s="1"/>
      <c r="MIS264" s="1"/>
      <c r="MIT264" s="1"/>
      <c r="MIU264" s="1"/>
      <c r="MIV264" s="1"/>
      <c r="MIW264" s="1"/>
      <c r="MIX264" s="1"/>
      <c r="MIY264" s="1"/>
      <c r="MIZ264" s="1"/>
      <c r="MJA264" s="1"/>
      <c r="MJB264" s="1"/>
      <c r="MJC264" s="1"/>
      <c r="MJD264" s="1"/>
      <c r="MJE264" s="1"/>
      <c r="MJF264" s="1"/>
      <c r="MJG264" s="1"/>
      <c r="MJH264" s="1"/>
      <c r="MJI264" s="1"/>
      <c r="MJJ264" s="1"/>
      <c r="MJK264" s="1"/>
      <c r="MJL264" s="1"/>
      <c r="MJM264" s="1"/>
      <c r="MJN264" s="1"/>
      <c r="MJO264" s="1"/>
      <c r="MJP264" s="1"/>
      <c r="MJQ264" s="1"/>
      <c r="MJR264" s="1"/>
      <c r="MJS264" s="1"/>
      <c r="MJT264" s="1"/>
      <c r="MJU264" s="1"/>
      <c r="MJV264" s="1"/>
      <c r="MJW264" s="1"/>
      <c r="MJX264" s="1"/>
      <c r="MJY264" s="1"/>
      <c r="MJZ264" s="1"/>
      <c r="MKA264" s="1"/>
      <c r="MKB264" s="1"/>
      <c r="MKC264" s="1"/>
      <c r="MKD264" s="1"/>
      <c r="MKE264" s="1"/>
      <c r="MKF264" s="1"/>
      <c r="MKG264" s="1"/>
      <c r="MKH264" s="1"/>
      <c r="MKI264" s="1"/>
      <c r="MKJ264" s="1"/>
      <c r="MKK264" s="1"/>
      <c r="MKL264" s="1"/>
      <c r="MKM264" s="1"/>
      <c r="MKN264" s="1"/>
      <c r="MKO264" s="1"/>
      <c r="MKP264" s="1"/>
      <c r="MKQ264" s="1"/>
      <c r="MKR264" s="1"/>
      <c r="MKS264" s="1"/>
      <c r="MKT264" s="1"/>
      <c r="MKU264" s="1"/>
      <c r="MKV264" s="1"/>
      <c r="MKW264" s="1"/>
      <c r="MKX264" s="1"/>
      <c r="MKY264" s="1"/>
      <c r="MKZ264" s="1"/>
      <c r="MLA264" s="1"/>
      <c r="MLB264" s="1"/>
      <c r="MLC264" s="1"/>
      <c r="MLD264" s="1"/>
      <c r="MLE264" s="1"/>
      <c r="MLF264" s="1"/>
      <c r="MLG264" s="1"/>
      <c r="MLH264" s="1"/>
      <c r="MLI264" s="1"/>
      <c r="MLJ264" s="1"/>
      <c r="MLK264" s="1"/>
      <c r="MLL264" s="1"/>
      <c r="MLM264" s="1"/>
      <c r="MLN264" s="1"/>
      <c r="MLO264" s="1"/>
      <c r="MLP264" s="1"/>
      <c r="MLQ264" s="1"/>
      <c r="MLR264" s="1"/>
      <c r="MLS264" s="1"/>
      <c r="MLT264" s="1"/>
      <c r="MLU264" s="1"/>
      <c r="MLV264" s="1"/>
      <c r="MLW264" s="1"/>
      <c r="MLX264" s="1"/>
      <c r="MLY264" s="1"/>
      <c r="MLZ264" s="1"/>
      <c r="MMA264" s="1"/>
      <c r="MMB264" s="1"/>
      <c r="MMC264" s="1"/>
      <c r="MMD264" s="1"/>
      <c r="MME264" s="1"/>
      <c r="MMF264" s="1"/>
      <c r="MMG264" s="1"/>
      <c r="MMH264" s="1"/>
      <c r="MMI264" s="1"/>
      <c r="MMJ264" s="1"/>
      <c r="MMK264" s="1"/>
      <c r="MML264" s="1"/>
      <c r="MMM264" s="1"/>
      <c r="MMN264" s="1"/>
      <c r="MMO264" s="1"/>
      <c r="MMP264" s="1"/>
      <c r="MMQ264" s="1"/>
      <c r="MMR264" s="1"/>
      <c r="MMS264" s="1"/>
      <c r="MMT264" s="1"/>
      <c r="MMU264" s="1"/>
      <c r="MMV264" s="1"/>
      <c r="MMW264" s="1"/>
      <c r="MMX264" s="1"/>
      <c r="MMY264" s="1"/>
      <c r="MMZ264" s="1"/>
      <c r="MNA264" s="1"/>
      <c r="MNB264" s="1"/>
      <c r="MNC264" s="1"/>
      <c r="MND264" s="1"/>
      <c r="MNE264" s="1"/>
      <c r="MNF264" s="1"/>
      <c r="MNG264" s="1"/>
      <c r="MNH264" s="1"/>
      <c r="MNI264" s="1"/>
      <c r="MNJ264" s="1"/>
      <c r="MNK264" s="1"/>
      <c r="MNL264" s="1"/>
      <c r="MNM264" s="1"/>
      <c r="MNN264" s="1"/>
      <c r="MNO264" s="1"/>
      <c r="MNP264" s="1"/>
      <c r="MNQ264" s="1"/>
      <c r="MNR264" s="1"/>
      <c r="MNS264" s="1"/>
      <c r="MNT264" s="1"/>
      <c r="MNU264" s="1"/>
      <c r="MNV264" s="1"/>
      <c r="MNW264" s="1"/>
      <c r="MNX264" s="1"/>
      <c r="MNY264" s="1"/>
      <c r="MNZ264" s="1"/>
      <c r="MOA264" s="1"/>
      <c r="MOB264" s="1"/>
      <c r="MOC264" s="1"/>
      <c r="MOD264" s="1"/>
      <c r="MOE264" s="1"/>
      <c r="MOF264" s="1"/>
      <c r="MOG264" s="1"/>
      <c r="MOH264" s="1"/>
      <c r="MOI264" s="1"/>
      <c r="MOJ264" s="1"/>
      <c r="MOK264" s="1"/>
      <c r="MOL264" s="1"/>
      <c r="MOM264" s="1"/>
      <c r="MON264" s="1"/>
      <c r="MOO264" s="1"/>
      <c r="MOP264" s="1"/>
      <c r="MOQ264" s="1"/>
      <c r="MOR264" s="1"/>
      <c r="MOS264" s="1"/>
      <c r="MOT264" s="1"/>
      <c r="MOU264" s="1"/>
      <c r="MOV264" s="1"/>
      <c r="MOW264" s="1"/>
      <c r="MOX264" s="1"/>
      <c r="MOY264" s="1"/>
      <c r="MOZ264" s="1"/>
      <c r="MPA264" s="1"/>
      <c r="MPB264" s="1"/>
      <c r="MPC264" s="1"/>
      <c r="MPD264" s="1"/>
      <c r="MPE264" s="1"/>
      <c r="MPF264" s="1"/>
      <c r="MPG264" s="1"/>
      <c r="MPH264" s="1"/>
      <c r="MPI264" s="1"/>
      <c r="MPJ264" s="1"/>
      <c r="MPK264" s="1"/>
      <c r="MPL264" s="1"/>
      <c r="MPM264" s="1"/>
      <c r="MPN264" s="1"/>
      <c r="MPO264" s="1"/>
      <c r="MPP264" s="1"/>
      <c r="MPQ264" s="1"/>
      <c r="MPR264" s="1"/>
      <c r="MPS264" s="1"/>
      <c r="MPT264" s="1"/>
      <c r="MPU264" s="1"/>
      <c r="MPV264" s="1"/>
      <c r="MPW264" s="1"/>
      <c r="MPX264" s="1"/>
      <c r="MPY264" s="1"/>
      <c r="MPZ264" s="1"/>
      <c r="MQA264" s="1"/>
      <c r="MQB264" s="1"/>
      <c r="MQC264" s="1"/>
      <c r="MQD264" s="1"/>
      <c r="MQE264" s="1"/>
      <c r="MQF264" s="1"/>
      <c r="MQG264" s="1"/>
      <c r="MQH264" s="1"/>
      <c r="MQI264" s="1"/>
      <c r="MQJ264" s="1"/>
      <c r="MQK264" s="1"/>
      <c r="MQL264" s="1"/>
      <c r="MQM264" s="1"/>
      <c r="MQN264" s="1"/>
      <c r="MQO264" s="1"/>
      <c r="MQP264" s="1"/>
      <c r="MQQ264" s="1"/>
      <c r="MQR264" s="1"/>
      <c r="MQS264" s="1"/>
      <c r="MQT264" s="1"/>
      <c r="MQU264" s="1"/>
      <c r="MQV264" s="1"/>
      <c r="MQW264" s="1"/>
      <c r="MQX264" s="1"/>
      <c r="MQY264" s="1"/>
      <c r="MQZ264" s="1"/>
      <c r="MRA264" s="1"/>
      <c r="MRB264" s="1"/>
      <c r="MRC264" s="1"/>
      <c r="MRD264" s="1"/>
      <c r="MRE264" s="1"/>
      <c r="MRF264" s="1"/>
      <c r="MRG264" s="1"/>
      <c r="MRH264" s="1"/>
      <c r="MRI264" s="1"/>
      <c r="MRJ264" s="1"/>
      <c r="MRK264" s="1"/>
      <c r="MRL264" s="1"/>
      <c r="MRM264" s="1"/>
      <c r="MRN264" s="1"/>
      <c r="MRO264" s="1"/>
      <c r="MRP264" s="1"/>
      <c r="MRQ264" s="1"/>
      <c r="MRR264" s="1"/>
      <c r="MRS264" s="1"/>
      <c r="MRT264" s="1"/>
      <c r="MRU264" s="1"/>
      <c r="MRV264" s="1"/>
      <c r="MRW264" s="1"/>
      <c r="MRX264" s="1"/>
      <c r="MRY264" s="1"/>
      <c r="MRZ264" s="1"/>
      <c r="MSA264" s="1"/>
      <c r="MSB264" s="1"/>
      <c r="MSC264" s="1"/>
      <c r="MSD264" s="1"/>
      <c r="MSE264" s="1"/>
      <c r="MSF264" s="1"/>
      <c r="MSG264" s="1"/>
      <c r="MSH264" s="1"/>
      <c r="MSI264" s="1"/>
      <c r="MSJ264" s="1"/>
      <c r="MSK264" s="1"/>
      <c r="MSL264" s="1"/>
      <c r="MSM264" s="1"/>
      <c r="MSN264" s="1"/>
      <c r="MSO264" s="1"/>
      <c r="MSP264" s="1"/>
      <c r="MSQ264" s="1"/>
      <c r="MSR264" s="1"/>
      <c r="MSS264" s="1"/>
      <c r="MST264" s="1"/>
      <c r="MSU264" s="1"/>
      <c r="MSV264" s="1"/>
      <c r="MSW264" s="1"/>
      <c r="MSX264" s="1"/>
      <c r="MSY264" s="1"/>
      <c r="MSZ264" s="1"/>
      <c r="MTA264" s="1"/>
      <c r="MTB264" s="1"/>
      <c r="MTC264" s="1"/>
      <c r="MTD264" s="1"/>
      <c r="MTE264" s="1"/>
      <c r="MTF264" s="1"/>
      <c r="MTG264" s="1"/>
      <c r="MTH264" s="1"/>
      <c r="MTI264" s="1"/>
      <c r="MTJ264" s="1"/>
      <c r="MTK264" s="1"/>
      <c r="MTL264" s="1"/>
      <c r="MTM264" s="1"/>
      <c r="MTN264" s="1"/>
      <c r="MTO264" s="1"/>
      <c r="MTP264" s="1"/>
      <c r="MTQ264" s="1"/>
      <c r="MTR264" s="1"/>
      <c r="MTS264" s="1"/>
      <c r="MTT264" s="1"/>
      <c r="MTU264" s="1"/>
      <c r="MTV264" s="1"/>
      <c r="MTW264" s="1"/>
      <c r="MTX264" s="1"/>
      <c r="MTY264" s="1"/>
      <c r="MTZ264" s="1"/>
      <c r="MUA264" s="1"/>
      <c r="MUB264" s="1"/>
      <c r="MUC264" s="1"/>
      <c r="MUD264" s="1"/>
      <c r="MUE264" s="1"/>
      <c r="MUF264" s="1"/>
      <c r="MUG264" s="1"/>
      <c r="MUH264" s="1"/>
      <c r="MUI264" s="1"/>
      <c r="MUJ264" s="1"/>
      <c r="MUK264" s="1"/>
      <c r="MUL264" s="1"/>
      <c r="MUM264" s="1"/>
      <c r="MUN264" s="1"/>
      <c r="MUO264" s="1"/>
      <c r="MUP264" s="1"/>
      <c r="MUQ264" s="1"/>
      <c r="MUR264" s="1"/>
      <c r="MUS264" s="1"/>
      <c r="MUT264" s="1"/>
      <c r="MUU264" s="1"/>
      <c r="MUV264" s="1"/>
      <c r="MUW264" s="1"/>
      <c r="MUX264" s="1"/>
      <c r="MUY264" s="1"/>
      <c r="MUZ264" s="1"/>
      <c r="MVA264" s="1"/>
      <c r="MVB264" s="1"/>
      <c r="MVC264" s="1"/>
      <c r="MVD264" s="1"/>
      <c r="MVE264" s="1"/>
      <c r="MVF264" s="1"/>
      <c r="MVG264" s="1"/>
      <c r="MVH264" s="1"/>
      <c r="MVI264" s="1"/>
      <c r="MVJ264" s="1"/>
      <c r="MVK264" s="1"/>
      <c r="MVL264" s="1"/>
      <c r="MVM264" s="1"/>
      <c r="MVN264" s="1"/>
      <c r="MVO264" s="1"/>
      <c r="MVP264" s="1"/>
      <c r="MVQ264" s="1"/>
      <c r="MVR264" s="1"/>
      <c r="MVS264" s="1"/>
      <c r="MVT264" s="1"/>
      <c r="MVU264" s="1"/>
      <c r="MVV264" s="1"/>
      <c r="MVW264" s="1"/>
      <c r="MVX264" s="1"/>
      <c r="MVY264" s="1"/>
      <c r="MVZ264" s="1"/>
      <c r="MWA264" s="1"/>
      <c r="MWB264" s="1"/>
      <c r="MWC264" s="1"/>
      <c r="MWD264" s="1"/>
      <c r="MWE264" s="1"/>
      <c r="MWF264" s="1"/>
      <c r="MWG264" s="1"/>
      <c r="MWH264" s="1"/>
      <c r="MWI264" s="1"/>
      <c r="MWJ264" s="1"/>
      <c r="MWK264" s="1"/>
      <c r="MWL264" s="1"/>
      <c r="MWM264" s="1"/>
      <c r="MWN264" s="1"/>
      <c r="MWO264" s="1"/>
      <c r="MWP264" s="1"/>
      <c r="MWQ264" s="1"/>
      <c r="MWR264" s="1"/>
      <c r="MWS264" s="1"/>
      <c r="MWT264" s="1"/>
      <c r="MWU264" s="1"/>
      <c r="MWV264" s="1"/>
      <c r="MWW264" s="1"/>
      <c r="MWX264" s="1"/>
      <c r="MWY264" s="1"/>
      <c r="MWZ264" s="1"/>
      <c r="MXA264" s="1"/>
      <c r="MXB264" s="1"/>
      <c r="MXC264" s="1"/>
      <c r="MXD264" s="1"/>
      <c r="MXE264" s="1"/>
      <c r="MXF264" s="1"/>
      <c r="MXG264" s="1"/>
      <c r="MXH264" s="1"/>
      <c r="MXI264" s="1"/>
      <c r="MXJ264" s="1"/>
      <c r="MXK264" s="1"/>
      <c r="MXL264" s="1"/>
      <c r="MXM264" s="1"/>
      <c r="MXN264" s="1"/>
      <c r="MXO264" s="1"/>
      <c r="MXP264" s="1"/>
      <c r="MXQ264" s="1"/>
      <c r="MXR264" s="1"/>
      <c r="MXS264" s="1"/>
      <c r="MXT264" s="1"/>
      <c r="MXU264" s="1"/>
      <c r="MXV264" s="1"/>
      <c r="MXW264" s="1"/>
      <c r="MXX264" s="1"/>
      <c r="MXY264" s="1"/>
      <c r="MXZ264" s="1"/>
      <c r="MYA264" s="1"/>
      <c r="MYB264" s="1"/>
      <c r="MYC264" s="1"/>
      <c r="MYD264" s="1"/>
      <c r="MYE264" s="1"/>
      <c r="MYF264" s="1"/>
      <c r="MYG264" s="1"/>
      <c r="MYH264" s="1"/>
      <c r="MYI264" s="1"/>
      <c r="MYJ264" s="1"/>
      <c r="MYK264" s="1"/>
      <c r="MYL264" s="1"/>
      <c r="MYM264" s="1"/>
      <c r="MYN264" s="1"/>
      <c r="MYO264" s="1"/>
      <c r="MYP264" s="1"/>
      <c r="MYQ264" s="1"/>
      <c r="MYR264" s="1"/>
      <c r="MYS264" s="1"/>
      <c r="MYT264" s="1"/>
      <c r="MYU264" s="1"/>
      <c r="MYV264" s="1"/>
      <c r="MYW264" s="1"/>
      <c r="MYX264" s="1"/>
      <c r="MYY264" s="1"/>
      <c r="MYZ264" s="1"/>
      <c r="MZA264" s="1"/>
      <c r="MZB264" s="1"/>
      <c r="MZC264" s="1"/>
      <c r="MZD264" s="1"/>
      <c r="MZE264" s="1"/>
      <c r="MZF264" s="1"/>
      <c r="MZG264" s="1"/>
      <c r="MZH264" s="1"/>
      <c r="MZI264" s="1"/>
      <c r="MZJ264" s="1"/>
      <c r="MZK264" s="1"/>
      <c r="MZL264" s="1"/>
      <c r="MZM264" s="1"/>
      <c r="MZN264" s="1"/>
      <c r="MZO264" s="1"/>
      <c r="MZP264" s="1"/>
      <c r="MZQ264" s="1"/>
      <c r="MZR264" s="1"/>
      <c r="MZS264" s="1"/>
      <c r="MZT264" s="1"/>
      <c r="MZU264" s="1"/>
      <c r="MZV264" s="1"/>
      <c r="MZW264" s="1"/>
      <c r="MZX264" s="1"/>
      <c r="MZY264" s="1"/>
      <c r="MZZ264" s="1"/>
      <c r="NAA264" s="1"/>
      <c r="NAB264" s="1"/>
      <c r="NAC264" s="1"/>
      <c r="NAD264" s="1"/>
      <c r="NAE264" s="1"/>
      <c r="NAF264" s="1"/>
      <c r="NAG264" s="1"/>
      <c r="NAH264" s="1"/>
      <c r="NAI264" s="1"/>
      <c r="NAJ264" s="1"/>
      <c r="NAK264" s="1"/>
      <c r="NAL264" s="1"/>
      <c r="NAM264" s="1"/>
      <c r="NAN264" s="1"/>
      <c r="NAO264" s="1"/>
      <c r="NAP264" s="1"/>
      <c r="NAQ264" s="1"/>
      <c r="NAR264" s="1"/>
      <c r="NAS264" s="1"/>
      <c r="NAT264" s="1"/>
      <c r="NAU264" s="1"/>
      <c r="NAV264" s="1"/>
      <c r="NAW264" s="1"/>
      <c r="NAX264" s="1"/>
      <c r="NAY264" s="1"/>
      <c r="NAZ264" s="1"/>
      <c r="NBA264" s="1"/>
      <c r="NBB264" s="1"/>
      <c r="NBC264" s="1"/>
      <c r="NBD264" s="1"/>
      <c r="NBE264" s="1"/>
      <c r="NBF264" s="1"/>
      <c r="NBG264" s="1"/>
      <c r="NBH264" s="1"/>
      <c r="NBI264" s="1"/>
      <c r="NBJ264" s="1"/>
      <c r="NBK264" s="1"/>
      <c r="NBL264" s="1"/>
      <c r="NBM264" s="1"/>
      <c r="NBN264" s="1"/>
      <c r="NBO264" s="1"/>
      <c r="NBP264" s="1"/>
      <c r="NBQ264" s="1"/>
      <c r="NBR264" s="1"/>
      <c r="NBS264" s="1"/>
      <c r="NBT264" s="1"/>
      <c r="NBU264" s="1"/>
      <c r="NBV264" s="1"/>
      <c r="NBW264" s="1"/>
      <c r="NBX264" s="1"/>
      <c r="NBY264" s="1"/>
      <c r="NBZ264" s="1"/>
      <c r="NCA264" s="1"/>
      <c r="NCB264" s="1"/>
      <c r="NCC264" s="1"/>
      <c r="NCD264" s="1"/>
      <c r="NCE264" s="1"/>
      <c r="NCF264" s="1"/>
      <c r="NCG264" s="1"/>
      <c r="NCH264" s="1"/>
      <c r="NCI264" s="1"/>
      <c r="NCJ264" s="1"/>
      <c r="NCK264" s="1"/>
      <c r="NCL264" s="1"/>
      <c r="NCM264" s="1"/>
      <c r="NCN264" s="1"/>
      <c r="NCO264" s="1"/>
      <c r="NCP264" s="1"/>
      <c r="NCQ264" s="1"/>
      <c r="NCR264" s="1"/>
      <c r="NCS264" s="1"/>
      <c r="NCT264" s="1"/>
      <c r="NCU264" s="1"/>
      <c r="NCV264" s="1"/>
      <c r="NCW264" s="1"/>
      <c r="NCX264" s="1"/>
      <c r="NCY264" s="1"/>
      <c r="NCZ264" s="1"/>
      <c r="NDA264" s="1"/>
      <c r="NDB264" s="1"/>
      <c r="NDC264" s="1"/>
      <c r="NDD264" s="1"/>
      <c r="NDE264" s="1"/>
      <c r="NDF264" s="1"/>
      <c r="NDG264" s="1"/>
      <c r="NDH264" s="1"/>
      <c r="NDI264" s="1"/>
      <c r="NDJ264" s="1"/>
      <c r="NDK264" s="1"/>
      <c r="NDL264" s="1"/>
      <c r="NDM264" s="1"/>
      <c r="NDN264" s="1"/>
      <c r="NDO264" s="1"/>
      <c r="NDP264" s="1"/>
      <c r="NDQ264" s="1"/>
      <c r="NDR264" s="1"/>
      <c r="NDS264" s="1"/>
      <c r="NDT264" s="1"/>
      <c r="NDU264" s="1"/>
      <c r="NDV264" s="1"/>
      <c r="NDW264" s="1"/>
      <c r="NDX264" s="1"/>
      <c r="NDY264" s="1"/>
      <c r="NDZ264" s="1"/>
      <c r="NEA264" s="1"/>
      <c r="NEB264" s="1"/>
      <c r="NEC264" s="1"/>
      <c r="NED264" s="1"/>
      <c r="NEE264" s="1"/>
      <c r="NEF264" s="1"/>
      <c r="NEG264" s="1"/>
      <c r="NEH264" s="1"/>
      <c r="NEI264" s="1"/>
      <c r="NEJ264" s="1"/>
      <c r="NEK264" s="1"/>
      <c r="NEL264" s="1"/>
      <c r="NEM264" s="1"/>
      <c r="NEN264" s="1"/>
      <c r="NEO264" s="1"/>
      <c r="NEP264" s="1"/>
      <c r="NEQ264" s="1"/>
      <c r="NER264" s="1"/>
      <c r="NES264" s="1"/>
      <c r="NET264" s="1"/>
      <c r="NEU264" s="1"/>
      <c r="NEV264" s="1"/>
      <c r="NEW264" s="1"/>
      <c r="NEX264" s="1"/>
      <c r="NEY264" s="1"/>
      <c r="NEZ264" s="1"/>
      <c r="NFA264" s="1"/>
      <c r="NFB264" s="1"/>
      <c r="NFC264" s="1"/>
      <c r="NFD264" s="1"/>
      <c r="NFE264" s="1"/>
      <c r="NFF264" s="1"/>
      <c r="NFG264" s="1"/>
      <c r="NFH264" s="1"/>
      <c r="NFI264" s="1"/>
      <c r="NFJ264" s="1"/>
      <c r="NFK264" s="1"/>
      <c r="NFL264" s="1"/>
      <c r="NFM264" s="1"/>
      <c r="NFN264" s="1"/>
      <c r="NFO264" s="1"/>
      <c r="NFP264" s="1"/>
      <c r="NFQ264" s="1"/>
      <c r="NFR264" s="1"/>
      <c r="NFS264" s="1"/>
      <c r="NFT264" s="1"/>
      <c r="NFU264" s="1"/>
      <c r="NFV264" s="1"/>
      <c r="NFW264" s="1"/>
      <c r="NFX264" s="1"/>
      <c r="NFY264" s="1"/>
      <c r="NFZ264" s="1"/>
      <c r="NGA264" s="1"/>
      <c r="NGB264" s="1"/>
      <c r="NGC264" s="1"/>
      <c r="NGD264" s="1"/>
      <c r="NGE264" s="1"/>
      <c r="NGF264" s="1"/>
      <c r="NGG264" s="1"/>
      <c r="NGH264" s="1"/>
      <c r="NGI264" s="1"/>
      <c r="NGJ264" s="1"/>
      <c r="NGK264" s="1"/>
      <c r="NGL264" s="1"/>
      <c r="NGM264" s="1"/>
      <c r="NGN264" s="1"/>
      <c r="NGO264" s="1"/>
      <c r="NGP264" s="1"/>
      <c r="NGQ264" s="1"/>
      <c r="NGR264" s="1"/>
      <c r="NGS264" s="1"/>
      <c r="NGT264" s="1"/>
      <c r="NGU264" s="1"/>
      <c r="NGV264" s="1"/>
      <c r="NGW264" s="1"/>
      <c r="NGX264" s="1"/>
      <c r="NGY264" s="1"/>
      <c r="NGZ264" s="1"/>
      <c r="NHA264" s="1"/>
      <c r="NHB264" s="1"/>
      <c r="NHC264" s="1"/>
      <c r="NHD264" s="1"/>
      <c r="NHE264" s="1"/>
      <c r="NHF264" s="1"/>
      <c r="NHG264" s="1"/>
      <c r="NHH264" s="1"/>
      <c r="NHI264" s="1"/>
      <c r="NHJ264" s="1"/>
      <c r="NHK264" s="1"/>
      <c r="NHL264" s="1"/>
      <c r="NHM264" s="1"/>
      <c r="NHN264" s="1"/>
      <c r="NHO264" s="1"/>
      <c r="NHP264" s="1"/>
      <c r="NHQ264" s="1"/>
      <c r="NHR264" s="1"/>
      <c r="NHS264" s="1"/>
      <c r="NHT264" s="1"/>
      <c r="NHU264" s="1"/>
      <c r="NHV264" s="1"/>
      <c r="NHW264" s="1"/>
      <c r="NHX264" s="1"/>
      <c r="NHY264" s="1"/>
      <c r="NHZ264" s="1"/>
      <c r="NIA264" s="1"/>
      <c r="NIB264" s="1"/>
      <c r="NIC264" s="1"/>
      <c r="NID264" s="1"/>
      <c r="NIE264" s="1"/>
      <c r="NIF264" s="1"/>
      <c r="NIG264" s="1"/>
      <c r="NIH264" s="1"/>
      <c r="NII264" s="1"/>
      <c r="NIJ264" s="1"/>
      <c r="NIK264" s="1"/>
      <c r="NIL264" s="1"/>
      <c r="NIM264" s="1"/>
      <c r="NIN264" s="1"/>
      <c r="NIO264" s="1"/>
      <c r="NIP264" s="1"/>
      <c r="NIQ264" s="1"/>
      <c r="NIR264" s="1"/>
      <c r="NIS264" s="1"/>
      <c r="NIT264" s="1"/>
      <c r="NIU264" s="1"/>
      <c r="NIV264" s="1"/>
      <c r="NIW264" s="1"/>
      <c r="NIX264" s="1"/>
      <c r="NIY264" s="1"/>
      <c r="NIZ264" s="1"/>
      <c r="NJA264" s="1"/>
      <c r="NJB264" s="1"/>
      <c r="NJC264" s="1"/>
      <c r="NJD264" s="1"/>
      <c r="NJE264" s="1"/>
      <c r="NJF264" s="1"/>
      <c r="NJG264" s="1"/>
      <c r="NJH264" s="1"/>
      <c r="NJI264" s="1"/>
      <c r="NJJ264" s="1"/>
      <c r="NJK264" s="1"/>
      <c r="NJL264" s="1"/>
      <c r="NJM264" s="1"/>
      <c r="NJN264" s="1"/>
      <c r="NJO264" s="1"/>
      <c r="NJP264" s="1"/>
      <c r="NJQ264" s="1"/>
      <c r="NJR264" s="1"/>
      <c r="NJS264" s="1"/>
      <c r="NJT264" s="1"/>
      <c r="NJU264" s="1"/>
      <c r="NJV264" s="1"/>
      <c r="NJW264" s="1"/>
      <c r="NJX264" s="1"/>
      <c r="NJY264" s="1"/>
      <c r="NJZ264" s="1"/>
      <c r="NKA264" s="1"/>
      <c r="NKB264" s="1"/>
      <c r="NKC264" s="1"/>
      <c r="NKD264" s="1"/>
      <c r="NKE264" s="1"/>
      <c r="NKF264" s="1"/>
      <c r="NKG264" s="1"/>
      <c r="NKH264" s="1"/>
      <c r="NKI264" s="1"/>
      <c r="NKJ264" s="1"/>
      <c r="NKK264" s="1"/>
      <c r="NKL264" s="1"/>
      <c r="NKM264" s="1"/>
      <c r="NKN264" s="1"/>
      <c r="NKO264" s="1"/>
      <c r="NKP264" s="1"/>
      <c r="NKQ264" s="1"/>
      <c r="NKR264" s="1"/>
      <c r="NKS264" s="1"/>
      <c r="NKT264" s="1"/>
      <c r="NKU264" s="1"/>
      <c r="NKV264" s="1"/>
      <c r="NKW264" s="1"/>
      <c r="NKX264" s="1"/>
      <c r="NKY264" s="1"/>
      <c r="NKZ264" s="1"/>
      <c r="NLA264" s="1"/>
      <c r="NLB264" s="1"/>
      <c r="NLC264" s="1"/>
      <c r="NLD264" s="1"/>
      <c r="NLE264" s="1"/>
      <c r="NLF264" s="1"/>
      <c r="NLG264" s="1"/>
      <c r="NLH264" s="1"/>
      <c r="NLI264" s="1"/>
      <c r="NLJ264" s="1"/>
      <c r="NLK264" s="1"/>
      <c r="NLL264" s="1"/>
      <c r="NLM264" s="1"/>
      <c r="NLN264" s="1"/>
      <c r="NLO264" s="1"/>
      <c r="NLP264" s="1"/>
      <c r="NLQ264" s="1"/>
      <c r="NLR264" s="1"/>
      <c r="NLS264" s="1"/>
      <c r="NLT264" s="1"/>
      <c r="NLU264" s="1"/>
      <c r="NLV264" s="1"/>
      <c r="NLW264" s="1"/>
      <c r="NLX264" s="1"/>
      <c r="NLY264" s="1"/>
      <c r="NLZ264" s="1"/>
      <c r="NMA264" s="1"/>
      <c r="NMB264" s="1"/>
      <c r="NMC264" s="1"/>
      <c r="NMD264" s="1"/>
      <c r="NME264" s="1"/>
      <c r="NMF264" s="1"/>
      <c r="NMG264" s="1"/>
      <c r="NMH264" s="1"/>
      <c r="NMI264" s="1"/>
      <c r="NMJ264" s="1"/>
      <c r="NMK264" s="1"/>
      <c r="NML264" s="1"/>
      <c r="NMM264" s="1"/>
      <c r="NMN264" s="1"/>
      <c r="NMO264" s="1"/>
      <c r="NMP264" s="1"/>
      <c r="NMQ264" s="1"/>
      <c r="NMR264" s="1"/>
      <c r="NMS264" s="1"/>
      <c r="NMT264" s="1"/>
      <c r="NMU264" s="1"/>
      <c r="NMV264" s="1"/>
      <c r="NMW264" s="1"/>
      <c r="NMX264" s="1"/>
      <c r="NMY264" s="1"/>
      <c r="NMZ264" s="1"/>
      <c r="NNA264" s="1"/>
      <c r="NNB264" s="1"/>
      <c r="NNC264" s="1"/>
      <c r="NND264" s="1"/>
      <c r="NNE264" s="1"/>
      <c r="NNF264" s="1"/>
      <c r="NNG264" s="1"/>
      <c r="NNH264" s="1"/>
      <c r="NNI264" s="1"/>
      <c r="NNJ264" s="1"/>
      <c r="NNK264" s="1"/>
      <c r="NNL264" s="1"/>
      <c r="NNM264" s="1"/>
      <c r="NNN264" s="1"/>
      <c r="NNO264" s="1"/>
      <c r="NNP264" s="1"/>
      <c r="NNQ264" s="1"/>
      <c r="NNR264" s="1"/>
      <c r="NNS264" s="1"/>
      <c r="NNT264" s="1"/>
      <c r="NNU264" s="1"/>
      <c r="NNV264" s="1"/>
      <c r="NNW264" s="1"/>
      <c r="NNX264" s="1"/>
      <c r="NNY264" s="1"/>
      <c r="NNZ264" s="1"/>
      <c r="NOA264" s="1"/>
      <c r="NOB264" s="1"/>
      <c r="NOC264" s="1"/>
      <c r="NOD264" s="1"/>
      <c r="NOE264" s="1"/>
      <c r="NOF264" s="1"/>
      <c r="NOG264" s="1"/>
      <c r="NOH264" s="1"/>
      <c r="NOI264" s="1"/>
      <c r="NOJ264" s="1"/>
      <c r="NOK264" s="1"/>
      <c r="NOL264" s="1"/>
      <c r="NOM264" s="1"/>
      <c r="NON264" s="1"/>
      <c r="NOO264" s="1"/>
      <c r="NOP264" s="1"/>
      <c r="NOQ264" s="1"/>
      <c r="NOR264" s="1"/>
      <c r="NOS264" s="1"/>
      <c r="NOT264" s="1"/>
      <c r="NOU264" s="1"/>
      <c r="NOV264" s="1"/>
      <c r="NOW264" s="1"/>
      <c r="NOX264" s="1"/>
      <c r="NOY264" s="1"/>
      <c r="NOZ264" s="1"/>
      <c r="NPA264" s="1"/>
      <c r="NPB264" s="1"/>
      <c r="NPC264" s="1"/>
      <c r="NPD264" s="1"/>
      <c r="NPE264" s="1"/>
      <c r="NPF264" s="1"/>
      <c r="NPG264" s="1"/>
      <c r="NPH264" s="1"/>
      <c r="NPI264" s="1"/>
      <c r="NPJ264" s="1"/>
      <c r="NPK264" s="1"/>
      <c r="NPL264" s="1"/>
      <c r="NPM264" s="1"/>
      <c r="NPN264" s="1"/>
      <c r="NPO264" s="1"/>
      <c r="NPP264" s="1"/>
      <c r="NPQ264" s="1"/>
      <c r="NPR264" s="1"/>
      <c r="NPS264" s="1"/>
      <c r="NPT264" s="1"/>
      <c r="NPU264" s="1"/>
      <c r="NPV264" s="1"/>
      <c r="NPW264" s="1"/>
      <c r="NPX264" s="1"/>
      <c r="NPY264" s="1"/>
      <c r="NPZ264" s="1"/>
      <c r="NQA264" s="1"/>
      <c r="NQB264" s="1"/>
      <c r="NQC264" s="1"/>
      <c r="NQD264" s="1"/>
      <c r="NQE264" s="1"/>
      <c r="NQF264" s="1"/>
      <c r="NQG264" s="1"/>
      <c r="NQH264" s="1"/>
      <c r="NQI264" s="1"/>
      <c r="NQJ264" s="1"/>
      <c r="NQK264" s="1"/>
      <c r="NQL264" s="1"/>
      <c r="NQM264" s="1"/>
      <c r="NQN264" s="1"/>
      <c r="NQO264" s="1"/>
      <c r="NQP264" s="1"/>
      <c r="NQQ264" s="1"/>
      <c r="NQR264" s="1"/>
      <c r="NQS264" s="1"/>
      <c r="NQT264" s="1"/>
      <c r="NQU264" s="1"/>
      <c r="NQV264" s="1"/>
      <c r="NQW264" s="1"/>
      <c r="NQX264" s="1"/>
      <c r="NQY264" s="1"/>
      <c r="NQZ264" s="1"/>
      <c r="NRA264" s="1"/>
      <c r="NRB264" s="1"/>
      <c r="NRC264" s="1"/>
      <c r="NRD264" s="1"/>
      <c r="NRE264" s="1"/>
      <c r="NRF264" s="1"/>
      <c r="NRG264" s="1"/>
      <c r="NRH264" s="1"/>
      <c r="NRI264" s="1"/>
      <c r="NRJ264" s="1"/>
      <c r="NRK264" s="1"/>
      <c r="NRL264" s="1"/>
      <c r="NRM264" s="1"/>
      <c r="NRN264" s="1"/>
      <c r="NRO264" s="1"/>
      <c r="NRP264" s="1"/>
      <c r="NRQ264" s="1"/>
      <c r="NRR264" s="1"/>
      <c r="NRS264" s="1"/>
      <c r="NRT264" s="1"/>
      <c r="NRU264" s="1"/>
      <c r="NRV264" s="1"/>
      <c r="NRW264" s="1"/>
      <c r="NRX264" s="1"/>
      <c r="NRY264" s="1"/>
      <c r="NRZ264" s="1"/>
      <c r="NSA264" s="1"/>
      <c r="NSB264" s="1"/>
      <c r="NSC264" s="1"/>
      <c r="NSD264" s="1"/>
      <c r="NSE264" s="1"/>
      <c r="NSF264" s="1"/>
      <c r="NSG264" s="1"/>
      <c r="NSH264" s="1"/>
      <c r="NSI264" s="1"/>
      <c r="NSJ264" s="1"/>
      <c r="NSK264" s="1"/>
      <c r="NSL264" s="1"/>
      <c r="NSM264" s="1"/>
      <c r="NSN264" s="1"/>
      <c r="NSO264" s="1"/>
      <c r="NSP264" s="1"/>
      <c r="NSQ264" s="1"/>
      <c r="NSR264" s="1"/>
      <c r="NSS264" s="1"/>
      <c r="NST264" s="1"/>
      <c r="NSU264" s="1"/>
      <c r="NSV264" s="1"/>
      <c r="NSW264" s="1"/>
      <c r="NSX264" s="1"/>
      <c r="NSY264" s="1"/>
      <c r="NSZ264" s="1"/>
      <c r="NTA264" s="1"/>
      <c r="NTB264" s="1"/>
      <c r="NTC264" s="1"/>
      <c r="NTD264" s="1"/>
      <c r="NTE264" s="1"/>
      <c r="NTF264" s="1"/>
      <c r="NTG264" s="1"/>
      <c r="NTH264" s="1"/>
      <c r="NTI264" s="1"/>
      <c r="NTJ264" s="1"/>
      <c r="NTK264" s="1"/>
      <c r="NTL264" s="1"/>
      <c r="NTM264" s="1"/>
      <c r="NTN264" s="1"/>
      <c r="NTO264" s="1"/>
      <c r="NTP264" s="1"/>
      <c r="NTQ264" s="1"/>
      <c r="NTR264" s="1"/>
      <c r="NTS264" s="1"/>
      <c r="NTT264" s="1"/>
      <c r="NTU264" s="1"/>
      <c r="NTV264" s="1"/>
      <c r="NTW264" s="1"/>
      <c r="NTX264" s="1"/>
      <c r="NTY264" s="1"/>
      <c r="NTZ264" s="1"/>
      <c r="NUA264" s="1"/>
      <c r="NUB264" s="1"/>
      <c r="NUC264" s="1"/>
      <c r="NUD264" s="1"/>
      <c r="NUE264" s="1"/>
      <c r="NUF264" s="1"/>
      <c r="NUG264" s="1"/>
      <c r="NUH264" s="1"/>
      <c r="NUI264" s="1"/>
      <c r="NUJ264" s="1"/>
      <c r="NUK264" s="1"/>
      <c r="NUL264" s="1"/>
      <c r="NUM264" s="1"/>
      <c r="NUN264" s="1"/>
      <c r="NUO264" s="1"/>
      <c r="NUP264" s="1"/>
      <c r="NUQ264" s="1"/>
      <c r="NUR264" s="1"/>
      <c r="NUS264" s="1"/>
      <c r="NUT264" s="1"/>
      <c r="NUU264" s="1"/>
      <c r="NUV264" s="1"/>
      <c r="NUW264" s="1"/>
      <c r="NUX264" s="1"/>
      <c r="NUY264" s="1"/>
      <c r="NUZ264" s="1"/>
      <c r="NVA264" s="1"/>
      <c r="NVB264" s="1"/>
      <c r="NVC264" s="1"/>
      <c r="NVD264" s="1"/>
      <c r="NVE264" s="1"/>
      <c r="NVF264" s="1"/>
      <c r="NVG264" s="1"/>
      <c r="NVH264" s="1"/>
      <c r="NVI264" s="1"/>
      <c r="NVJ264" s="1"/>
      <c r="NVK264" s="1"/>
      <c r="NVL264" s="1"/>
      <c r="NVM264" s="1"/>
      <c r="NVN264" s="1"/>
      <c r="NVO264" s="1"/>
      <c r="NVP264" s="1"/>
      <c r="NVQ264" s="1"/>
      <c r="NVR264" s="1"/>
      <c r="NVS264" s="1"/>
      <c r="NVT264" s="1"/>
      <c r="NVU264" s="1"/>
      <c r="NVV264" s="1"/>
      <c r="NVW264" s="1"/>
      <c r="NVX264" s="1"/>
      <c r="NVY264" s="1"/>
      <c r="NVZ264" s="1"/>
      <c r="NWA264" s="1"/>
      <c r="NWB264" s="1"/>
      <c r="NWC264" s="1"/>
      <c r="NWD264" s="1"/>
      <c r="NWE264" s="1"/>
      <c r="NWF264" s="1"/>
      <c r="NWG264" s="1"/>
      <c r="NWH264" s="1"/>
      <c r="NWI264" s="1"/>
      <c r="NWJ264" s="1"/>
      <c r="NWK264" s="1"/>
      <c r="NWL264" s="1"/>
      <c r="NWM264" s="1"/>
      <c r="NWN264" s="1"/>
      <c r="NWO264" s="1"/>
      <c r="NWP264" s="1"/>
      <c r="NWQ264" s="1"/>
      <c r="NWR264" s="1"/>
      <c r="NWS264" s="1"/>
      <c r="NWT264" s="1"/>
      <c r="NWU264" s="1"/>
      <c r="NWV264" s="1"/>
      <c r="NWW264" s="1"/>
      <c r="NWX264" s="1"/>
      <c r="NWY264" s="1"/>
      <c r="NWZ264" s="1"/>
      <c r="NXA264" s="1"/>
      <c r="NXB264" s="1"/>
      <c r="NXC264" s="1"/>
      <c r="NXD264" s="1"/>
      <c r="NXE264" s="1"/>
      <c r="NXF264" s="1"/>
      <c r="NXG264" s="1"/>
      <c r="NXH264" s="1"/>
      <c r="NXI264" s="1"/>
      <c r="NXJ264" s="1"/>
      <c r="NXK264" s="1"/>
      <c r="NXL264" s="1"/>
      <c r="NXM264" s="1"/>
      <c r="NXN264" s="1"/>
      <c r="NXO264" s="1"/>
      <c r="NXP264" s="1"/>
      <c r="NXQ264" s="1"/>
      <c r="NXR264" s="1"/>
      <c r="NXS264" s="1"/>
      <c r="NXT264" s="1"/>
      <c r="NXU264" s="1"/>
      <c r="NXV264" s="1"/>
      <c r="NXW264" s="1"/>
      <c r="NXX264" s="1"/>
      <c r="NXY264" s="1"/>
      <c r="NXZ264" s="1"/>
      <c r="NYA264" s="1"/>
      <c r="NYB264" s="1"/>
      <c r="NYC264" s="1"/>
      <c r="NYD264" s="1"/>
      <c r="NYE264" s="1"/>
      <c r="NYF264" s="1"/>
      <c r="NYG264" s="1"/>
      <c r="NYH264" s="1"/>
      <c r="NYI264" s="1"/>
      <c r="NYJ264" s="1"/>
      <c r="NYK264" s="1"/>
      <c r="NYL264" s="1"/>
      <c r="NYM264" s="1"/>
      <c r="NYN264" s="1"/>
      <c r="NYO264" s="1"/>
      <c r="NYP264" s="1"/>
      <c r="NYQ264" s="1"/>
      <c r="NYR264" s="1"/>
      <c r="NYS264" s="1"/>
      <c r="NYT264" s="1"/>
      <c r="NYU264" s="1"/>
      <c r="NYV264" s="1"/>
      <c r="NYW264" s="1"/>
      <c r="NYX264" s="1"/>
      <c r="NYY264" s="1"/>
      <c r="NYZ264" s="1"/>
      <c r="NZA264" s="1"/>
      <c r="NZB264" s="1"/>
      <c r="NZC264" s="1"/>
      <c r="NZD264" s="1"/>
      <c r="NZE264" s="1"/>
      <c r="NZF264" s="1"/>
      <c r="NZG264" s="1"/>
      <c r="NZH264" s="1"/>
      <c r="NZI264" s="1"/>
      <c r="NZJ264" s="1"/>
      <c r="NZK264" s="1"/>
      <c r="NZL264" s="1"/>
      <c r="NZM264" s="1"/>
      <c r="NZN264" s="1"/>
      <c r="NZO264" s="1"/>
      <c r="NZP264" s="1"/>
      <c r="NZQ264" s="1"/>
      <c r="NZR264" s="1"/>
      <c r="NZS264" s="1"/>
      <c r="NZT264" s="1"/>
      <c r="NZU264" s="1"/>
      <c r="NZV264" s="1"/>
      <c r="NZW264" s="1"/>
      <c r="NZX264" s="1"/>
      <c r="NZY264" s="1"/>
      <c r="NZZ264" s="1"/>
      <c r="OAA264" s="1"/>
      <c r="OAB264" s="1"/>
      <c r="OAC264" s="1"/>
      <c r="OAD264" s="1"/>
      <c r="OAE264" s="1"/>
      <c r="OAF264" s="1"/>
      <c r="OAG264" s="1"/>
      <c r="OAH264" s="1"/>
      <c r="OAI264" s="1"/>
      <c r="OAJ264" s="1"/>
      <c r="OAK264" s="1"/>
      <c r="OAL264" s="1"/>
      <c r="OAM264" s="1"/>
      <c r="OAN264" s="1"/>
      <c r="OAO264" s="1"/>
      <c r="OAP264" s="1"/>
      <c r="OAQ264" s="1"/>
      <c r="OAR264" s="1"/>
      <c r="OAS264" s="1"/>
      <c r="OAT264" s="1"/>
      <c r="OAU264" s="1"/>
      <c r="OAV264" s="1"/>
      <c r="OAW264" s="1"/>
      <c r="OAX264" s="1"/>
      <c r="OAY264" s="1"/>
      <c r="OAZ264" s="1"/>
      <c r="OBA264" s="1"/>
      <c r="OBB264" s="1"/>
      <c r="OBC264" s="1"/>
      <c r="OBD264" s="1"/>
      <c r="OBE264" s="1"/>
      <c r="OBF264" s="1"/>
      <c r="OBG264" s="1"/>
      <c r="OBH264" s="1"/>
      <c r="OBI264" s="1"/>
      <c r="OBJ264" s="1"/>
      <c r="OBK264" s="1"/>
      <c r="OBL264" s="1"/>
      <c r="OBM264" s="1"/>
      <c r="OBN264" s="1"/>
      <c r="OBO264" s="1"/>
      <c r="OBP264" s="1"/>
      <c r="OBQ264" s="1"/>
      <c r="OBR264" s="1"/>
      <c r="OBS264" s="1"/>
      <c r="OBT264" s="1"/>
      <c r="OBU264" s="1"/>
      <c r="OBV264" s="1"/>
      <c r="OBW264" s="1"/>
      <c r="OBX264" s="1"/>
      <c r="OBY264" s="1"/>
      <c r="OBZ264" s="1"/>
      <c r="OCA264" s="1"/>
      <c r="OCB264" s="1"/>
      <c r="OCC264" s="1"/>
      <c r="OCD264" s="1"/>
      <c r="OCE264" s="1"/>
      <c r="OCF264" s="1"/>
      <c r="OCG264" s="1"/>
      <c r="OCH264" s="1"/>
      <c r="OCI264" s="1"/>
      <c r="OCJ264" s="1"/>
      <c r="OCK264" s="1"/>
      <c r="OCL264" s="1"/>
      <c r="OCM264" s="1"/>
      <c r="OCN264" s="1"/>
      <c r="OCO264" s="1"/>
      <c r="OCP264" s="1"/>
      <c r="OCQ264" s="1"/>
      <c r="OCR264" s="1"/>
      <c r="OCS264" s="1"/>
      <c r="OCT264" s="1"/>
      <c r="OCU264" s="1"/>
      <c r="OCV264" s="1"/>
      <c r="OCW264" s="1"/>
      <c r="OCX264" s="1"/>
      <c r="OCY264" s="1"/>
      <c r="OCZ264" s="1"/>
      <c r="ODA264" s="1"/>
      <c r="ODB264" s="1"/>
      <c r="ODC264" s="1"/>
      <c r="ODD264" s="1"/>
      <c r="ODE264" s="1"/>
      <c r="ODF264" s="1"/>
      <c r="ODG264" s="1"/>
      <c r="ODH264" s="1"/>
      <c r="ODI264" s="1"/>
      <c r="ODJ264" s="1"/>
      <c r="ODK264" s="1"/>
      <c r="ODL264" s="1"/>
      <c r="ODM264" s="1"/>
      <c r="ODN264" s="1"/>
      <c r="ODO264" s="1"/>
      <c r="ODP264" s="1"/>
      <c r="ODQ264" s="1"/>
      <c r="ODR264" s="1"/>
      <c r="ODS264" s="1"/>
      <c r="ODT264" s="1"/>
      <c r="ODU264" s="1"/>
      <c r="ODV264" s="1"/>
      <c r="ODW264" s="1"/>
      <c r="ODX264" s="1"/>
      <c r="ODY264" s="1"/>
      <c r="ODZ264" s="1"/>
      <c r="OEA264" s="1"/>
      <c r="OEB264" s="1"/>
      <c r="OEC264" s="1"/>
      <c r="OED264" s="1"/>
      <c r="OEE264" s="1"/>
      <c r="OEF264" s="1"/>
      <c r="OEG264" s="1"/>
      <c r="OEH264" s="1"/>
      <c r="OEI264" s="1"/>
      <c r="OEJ264" s="1"/>
      <c r="OEK264" s="1"/>
      <c r="OEL264" s="1"/>
      <c r="OEM264" s="1"/>
      <c r="OEN264" s="1"/>
      <c r="OEO264" s="1"/>
      <c r="OEP264" s="1"/>
      <c r="OEQ264" s="1"/>
      <c r="OER264" s="1"/>
      <c r="OES264" s="1"/>
      <c r="OET264" s="1"/>
      <c r="OEU264" s="1"/>
      <c r="OEV264" s="1"/>
      <c r="OEW264" s="1"/>
      <c r="OEX264" s="1"/>
      <c r="OEY264" s="1"/>
      <c r="OEZ264" s="1"/>
      <c r="OFA264" s="1"/>
      <c r="OFB264" s="1"/>
      <c r="OFC264" s="1"/>
      <c r="OFD264" s="1"/>
      <c r="OFE264" s="1"/>
      <c r="OFF264" s="1"/>
      <c r="OFG264" s="1"/>
      <c r="OFH264" s="1"/>
      <c r="OFI264" s="1"/>
      <c r="OFJ264" s="1"/>
      <c r="OFK264" s="1"/>
      <c r="OFL264" s="1"/>
      <c r="OFM264" s="1"/>
      <c r="OFN264" s="1"/>
      <c r="OFO264" s="1"/>
      <c r="OFP264" s="1"/>
      <c r="OFQ264" s="1"/>
      <c r="OFR264" s="1"/>
      <c r="OFS264" s="1"/>
      <c r="OFT264" s="1"/>
      <c r="OFU264" s="1"/>
      <c r="OFV264" s="1"/>
      <c r="OFW264" s="1"/>
      <c r="OFX264" s="1"/>
      <c r="OFY264" s="1"/>
      <c r="OFZ264" s="1"/>
      <c r="OGA264" s="1"/>
      <c r="OGB264" s="1"/>
      <c r="OGC264" s="1"/>
      <c r="OGD264" s="1"/>
      <c r="OGE264" s="1"/>
      <c r="OGF264" s="1"/>
      <c r="OGG264" s="1"/>
      <c r="OGH264" s="1"/>
      <c r="OGI264" s="1"/>
      <c r="OGJ264" s="1"/>
      <c r="OGK264" s="1"/>
      <c r="OGL264" s="1"/>
      <c r="OGM264" s="1"/>
      <c r="OGN264" s="1"/>
      <c r="OGO264" s="1"/>
      <c r="OGP264" s="1"/>
      <c r="OGQ264" s="1"/>
      <c r="OGR264" s="1"/>
      <c r="OGS264" s="1"/>
      <c r="OGT264" s="1"/>
      <c r="OGU264" s="1"/>
      <c r="OGV264" s="1"/>
      <c r="OGW264" s="1"/>
      <c r="OGX264" s="1"/>
      <c r="OGY264" s="1"/>
      <c r="OGZ264" s="1"/>
      <c r="OHA264" s="1"/>
      <c r="OHB264" s="1"/>
      <c r="OHC264" s="1"/>
      <c r="OHD264" s="1"/>
      <c r="OHE264" s="1"/>
      <c r="OHF264" s="1"/>
      <c r="OHG264" s="1"/>
      <c r="OHH264" s="1"/>
      <c r="OHI264" s="1"/>
      <c r="OHJ264" s="1"/>
      <c r="OHK264" s="1"/>
      <c r="OHL264" s="1"/>
      <c r="OHM264" s="1"/>
      <c r="OHN264" s="1"/>
      <c r="OHO264" s="1"/>
      <c r="OHP264" s="1"/>
      <c r="OHQ264" s="1"/>
      <c r="OHR264" s="1"/>
      <c r="OHS264" s="1"/>
      <c r="OHT264" s="1"/>
      <c r="OHU264" s="1"/>
      <c r="OHV264" s="1"/>
      <c r="OHW264" s="1"/>
      <c r="OHX264" s="1"/>
      <c r="OHY264" s="1"/>
      <c r="OHZ264" s="1"/>
      <c r="OIA264" s="1"/>
      <c r="OIB264" s="1"/>
      <c r="OIC264" s="1"/>
      <c r="OID264" s="1"/>
      <c r="OIE264" s="1"/>
      <c r="OIF264" s="1"/>
      <c r="OIG264" s="1"/>
      <c r="OIH264" s="1"/>
      <c r="OII264" s="1"/>
      <c r="OIJ264" s="1"/>
      <c r="OIK264" s="1"/>
      <c r="OIL264" s="1"/>
      <c r="OIM264" s="1"/>
      <c r="OIN264" s="1"/>
      <c r="OIO264" s="1"/>
      <c r="OIP264" s="1"/>
      <c r="OIQ264" s="1"/>
      <c r="OIR264" s="1"/>
      <c r="OIS264" s="1"/>
      <c r="OIT264" s="1"/>
      <c r="OIU264" s="1"/>
      <c r="OIV264" s="1"/>
      <c r="OIW264" s="1"/>
      <c r="OIX264" s="1"/>
      <c r="OIY264" s="1"/>
      <c r="OIZ264" s="1"/>
      <c r="OJA264" s="1"/>
      <c r="OJB264" s="1"/>
      <c r="OJC264" s="1"/>
      <c r="OJD264" s="1"/>
      <c r="OJE264" s="1"/>
      <c r="OJF264" s="1"/>
      <c r="OJG264" s="1"/>
      <c r="OJH264" s="1"/>
      <c r="OJI264" s="1"/>
      <c r="OJJ264" s="1"/>
      <c r="OJK264" s="1"/>
      <c r="OJL264" s="1"/>
      <c r="OJM264" s="1"/>
      <c r="OJN264" s="1"/>
      <c r="OJO264" s="1"/>
      <c r="OJP264" s="1"/>
      <c r="OJQ264" s="1"/>
      <c r="OJR264" s="1"/>
      <c r="OJS264" s="1"/>
      <c r="OJT264" s="1"/>
      <c r="OJU264" s="1"/>
      <c r="OJV264" s="1"/>
      <c r="OJW264" s="1"/>
      <c r="OJX264" s="1"/>
      <c r="OJY264" s="1"/>
      <c r="OJZ264" s="1"/>
      <c r="OKA264" s="1"/>
      <c r="OKB264" s="1"/>
      <c r="OKC264" s="1"/>
      <c r="OKD264" s="1"/>
      <c r="OKE264" s="1"/>
      <c r="OKF264" s="1"/>
      <c r="OKG264" s="1"/>
      <c r="OKH264" s="1"/>
      <c r="OKI264" s="1"/>
      <c r="OKJ264" s="1"/>
      <c r="OKK264" s="1"/>
      <c r="OKL264" s="1"/>
      <c r="OKM264" s="1"/>
      <c r="OKN264" s="1"/>
      <c r="OKO264" s="1"/>
      <c r="OKP264" s="1"/>
      <c r="OKQ264" s="1"/>
      <c r="OKR264" s="1"/>
      <c r="OKS264" s="1"/>
      <c r="OKT264" s="1"/>
      <c r="OKU264" s="1"/>
      <c r="OKV264" s="1"/>
      <c r="OKW264" s="1"/>
      <c r="OKX264" s="1"/>
      <c r="OKY264" s="1"/>
      <c r="OKZ264" s="1"/>
      <c r="OLA264" s="1"/>
      <c r="OLB264" s="1"/>
      <c r="OLC264" s="1"/>
      <c r="OLD264" s="1"/>
      <c r="OLE264" s="1"/>
      <c r="OLF264" s="1"/>
      <c r="OLG264" s="1"/>
      <c r="OLH264" s="1"/>
      <c r="OLI264" s="1"/>
      <c r="OLJ264" s="1"/>
      <c r="OLK264" s="1"/>
      <c r="OLL264" s="1"/>
      <c r="OLM264" s="1"/>
      <c r="OLN264" s="1"/>
      <c r="OLO264" s="1"/>
      <c r="OLP264" s="1"/>
      <c r="OLQ264" s="1"/>
      <c r="OLR264" s="1"/>
      <c r="OLS264" s="1"/>
      <c r="OLT264" s="1"/>
      <c r="OLU264" s="1"/>
      <c r="OLV264" s="1"/>
      <c r="OLW264" s="1"/>
      <c r="OLX264" s="1"/>
      <c r="OLY264" s="1"/>
      <c r="OLZ264" s="1"/>
      <c r="OMA264" s="1"/>
      <c r="OMB264" s="1"/>
      <c r="OMC264" s="1"/>
      <c r="OMD264" s="1"/>
      <c r="OME264" s="1"/>
      <c r="OMF264" s="1"/>
      <c r="OMG264" s="1"/>
      <c r="OMH264" s="1"/>
      <c r="OMI264" s="1"/>
      <c r="OMJ264" s="1"/>
      <c r="OMK264" s="1"/>
      <c r="OML264" s="1"/>
      <c r="OMM264" s="1"/>
      <c r="OMN264" s="1"/>
      <c r="OMO264" s="1"/>
      <c r="OMP264" s="1"/>
      <c r="OMQ264" s="1"/>
      <c r="OMR264" s="1"/>
      <c r="OMS264" s="1"/>
      <c r="OMT264" s="1"/>
      <c r="OMU264" s="1"/>
      <c r="OMV264" s="1"/>
      <c r="OMW264" s="1"/>
      <c r="OMX264" s="1"/>
      <c r="OMY264" s="1"/>
      <c r="OMZ264" s="1"/>
      <c r="ONA264" s="1"/>
      <c r="ONB264" s="1"/>
      <c r="ONC264" s="1"/>
      <c r="OND264" s="1"/>
      <c r="ONE264" s="1"/>
      <c r="ONF264" s="1"/>
      <c r="ONG264" s="1"/>
      <c r="ONH264" s="1"/>
      <c r="ONI264" s="1"/>
      <c r="ONJ264" s="1"/>
      <c r="ONK264" s="1"/>
      <c r="ONL264" s="1"/>
      <c r="ONM264" s="1"/>
      <c r="ONN264" s="1"/>
      <c r="ONO264" s="1"/>
      <c r="ONP264" s="1"/>
      <c r="ONQ264" s="1"/>
      <c r="ONR264" s="1"/>
      <c r="ONS264" s="1"/>
      <c r="ONT264" s="1"/>
      <c r="ONU264" s="1"/>
      <c r="ONV264" s="1"/>
      <c r="ONW264" s="1"/>
      <c r="ONX264" s="1"/>
      <c r="ONY264" s="1"/>
      <c r="ONZ264" s="1"/>
      <c r="OOA264" s="1"/>
      <c r="OOB264" s="1"/>
      <c r="OOC264" s="1"/>
      <c r="OOD264" s="1"/>
      <c r="OOE264" s="1"/>
      <c r="OOF264" s="1"/>
      <c r="OOG264" s="1"/>
      <c r="OOH264" s="1"/>
      <c r="OOI264" s="1"/>
      <c r="OOJ264" s="1"/>
      <c r="OOK264" s="1"/>
      <c r="OOL264" s="1"/>
      <c r="OOM264" s="1"/>
      <c r="OON264" s="1"/>
      <c r="OOO264" s="1"/>
      <c r="OOP264" s="1"/>
      <c r="OOQ264" s="1"/>
      <c r="OOR264" s="1"/>
      <c r="OOS264" s="1"/>
      <c r="OOT264" s="1"/>
      <c r="OOU264" s="1"/>
      <c r="OOV264" s="1"/>
      <c r="OOW264" s="1"/>
      <c r="OOX264" s="1"/>
      <c r="OOY264" s="1"/>
      <c r="OOZ264" s="1"/>
      <c r="OPA264" s="1"/>
      <c r="OPB264" s="1"/>
      <c r="OPC264" s="1"/>
      <c r="OPD264" s="1"/>
      <c r="OPE264" s="1"/>
      <c r="OPF264" s="1"/>
      <c r="OPG264" s="1"/>
      <c r="OPH264" s="1"/>
      <c r="OPI264" s="1"/>
      <c r="OPJ264" s="1"/>
      <c r="OPK264" s="1"/>
      <c r="OPL264" s="1"/>
      <c r="OPM264" s="1"/>
      <c r="OPN264" s="1"/>
      <c r="OPO264" s="1"/>
      <c r="OPP264" s="1"/>
      <c r="OPQ264" s="1"/>
      <c r="OPR264" s="1"/>
      <c r="OPS264" s="1"/>
      <c r="OPT264" s="1"/>
      <c r="OPU264" s="1"/>
      <c r="OPV264" s="1"/>
      <c r="OPW264" s="1"/>
      <c r="OPX264" s="1"/>
      <c r="OPY264" s="1"/>
      <c r="OPZ264" s="1"/>
      <c r="OQA264" s="1"/>
      <c r="OQB264" s="1"/>
      <c r="OQC264" s="1"/>
      <c r="OQD264" s="1"/>
      <c r="OQE264" s="1"/>
      <c r="OQF264" s="1"/>
      <c r="OQG264" s="1"/>
      <c r="OQH264" s="1"/>
      <c r="OQI264" s="1"/>
      <c r="OQJ264" s="1"/>
      <c r="OQK264" s="1"/>
      <c r="OQL264" s="1"/>
      <c r="OQM264" s="1"/>
      <c r="OQN264" s="1"/>
      <c r="OQO264" s="1"/>
      <c r="OQP264" s="1"/>
      <c r="OQQ264" s="1"/>
      <c r="OQR264" s="1"/>
      <c r="OQS264" s="1"/>
      <c r="OQT264" s="1"/>
      <c r="OQU264" s="1"/>
      <c r="OQV264" s="1"/>
      <c r="OQW264" s="1"/>
      <c r="OQX264" s="1"/>
      <c r="OQY264" s="1"/>
      <c r="OQZ264" s="1"/>
      <c r="ORA264" s="1"/>
      <c r="ORB264" s="1"/>
      <c r="ORC264" s="1"/>
      <c r="ORD264" s="1"/>
      <c r="ORE264" s="1"/>
      <c r="ORF264" s="1"/>
      <c r="ORG264" s="1"/>
      <c r="ORH264" s="1"/>
      <c r="ORI264" s="1"/>
      <c r="ORJ264" s="1"/>
      <c r="ORK264" s="1"/>
      <c r="ORL264" s="1"/>
      <c r="ORM264" s="1"/>
      <c r="ORN264" s="1"/>
      <c r="ORO264" s="1"/>
      <c r="ORP264" s="1"/>
      <c r="ORQ264" s="1"/>
      <c r="ORR264" s="1"/>
      <c r="ORS264" s="1"/>
      <c r="ORT264" s="1"/>
      <c r="ORU264" s="1"/>
      <c r="ORV264" s="1"/>
      <c r="ORW264" s="1"/>
      <c r="ORX264" s="1"/>
      <c r="ORY264" s="1"/>
      <c r="ORZ264" s="1"/>
      <c r="OSA264" s="1"/>
      <c r="OSB264" s="1"/>
      <c r="OSC264" s="1"/>
      <c r="OSD264" s="1"/>
      <c r="OSE264" s="1"/>
      <c r="OSF264" s="1"/>
      <c r="OSG264" s="1"/>
      <c r="OSH264" s="1"/>
      <c r="OSI264" s="1"/>
      <c r="OSJ264" s="1"/>
      <c r="OSK264" s="1"/>
      <c r="OSL264" s="1"/>
      <c r="OSM264" s="1"/>
      <c r="OSN264" s="1"/>
      <c r="OSO264" s="1"/>
      <c r="OSP264" s="1"/>
      <c r="OSQ264" s="1"/>
      <c r="OSR264" s="1"/>
      <c r="OSS264" s="1"/>
      <c r="OST264" s="1"/>
      <c r="OSU264" s="1"/>
      <c r="OSV264" s="1"/>
      <c r="OSW264" s="1"/>
      <c r="OSX264" s="1"/>
      <c r="OSY264" s="1"/>
      <c r="OSZ264" s="1"/>
      <c r="OTA264" s="1"/>
      <c r="OTB264" s="1"/>
      <c r="OTC264" s="1"/>
      <c r="OTD264" s="1"/>
      <c r="OTE264" s="1"/>
      <c r="OTF264" s="1"/>
      <c r="OTG264" s="1"/>
      <c r="OTH264" s="1"/>
      <c r="OTI264" s="1"/>
      <c r="OTJ264" s="1"/>
      <c r="OTK264" s="1"/>
      <c r="OTL264" s="1"/>
      <c r="OTM264" s="1"/>
      <c r="OTN264" s="1"/>
      <c r="OTO264" s="1"/>
      <c r="OTP264" s="1"/>
      <c r="OTQ264" s="1"/>
      <c r="OTR264" s="1"/>
      <c r="OTS264" s="1"/>
      <c r="OTT264" s="1"/>
      <c r="OTU264" s="1"/>
      <c r="OTV264" s="1"/>
      <c r="OTW264" s="1"/>
      <c r="OTX264" s="1"/>
      <c r="OTY264" s="1"/>
      <c r="OTZ264" s="1"/>
      <c r="OUA264" s="1"/>
      <c r="OUB264" s="1"/>
      <c r="OUC264" s="1"/>
      <c r="OUD264" s="1"/>
      <c r="OUE264" s="1"/>
      <c r="OUF264" s="1"/>
      <c r="OUG264" s="1"/>
      <c r="OUH264" s="1"/>
      <c r="OUI264" s="1"/>
      <c r="OUJ264" s="1"/>
      <c r="OUK264" s="1"/>
      <c r="OUL264" s="1"/>
      <c r="OUM264" s="1"/>
      <c r="OUN264" s="1"/>
      <c r="OUO264" s="1"/>
      <c r="OUP264" s="1"/>
      <c r="OUQ264" s="1"/>
      <c r="OUR264" s="1"/>
      <c r="OUS264" s="1"/>
      <c r="OUT264" s="1"/>
      <c r="OUU264" s="1"/>
      <c r="OUV264" s="1"/>
      <c r="OUW264" s="1"/>
      <c r="OUX264" s="1"/>
      <c r="OUY264" s="1"/>
      <c r="OUZ264" s="1"/>
      <c r="OVA264" s="1"/>
      <c r="OVB264" s="1"/>
      <c r="OVC264" s="1"/>
      <c r="OVD264" s="1"/>
      <c r="OVE264" s="1"/>
      <c r="OVF264" s="1"/>
      <c r="OVG264" s="1"/>
      <c r="OVH264" s="1"/>
      <c r="OVI264" s="1"/>
      <c r="OVJ264" s="1"/>
      <c r="OVK264" s="1"/>
      <c r="OVL264" s="1"/>
      <c r="OVM264" s="1"/>
      <c r="OVN264" s="1"/>
      <c r="OVO264" s="1"/>
      <c r="OVP264" s="1"/>
      <c r="OVQ264" s="1"/>
      <c r="OVR264" s="1"/>
      <c r="OVS264" s="1"/>
      <c r="OVT264" s="1"/>
      <c r="OVU264" s="1"/>
      <c r="OVV264" s="1"/>
      <c r="OVW264" s="1"/>
      <c r="OVX264" s="1"/>
      <c r="OVY264" s="1"/>
      <c r="OVZ264" s="1"/>
      <c r="OWA264" s="1"/>
      <c r="OWB264" s="1"/>
      <c r="OWC264" s="1"/>
      <c r="OWD264" s="1"/>
      <c r="OWE264" s="1"/>
      <c r="OWF264" s="1"/>
      <c r="OWG264" s="1"/>
      <c r="OWH264" s="1"/>
      <c r="OWI264" s="1"/>
      <c r="OWJ264" s="1"/>
      <c r="OWK264" s="1"/>
      <c r="OWL264" s="1"/>
      <c r="OWM264" s="1"/>
      <c r="OWN264" s="1"/>
      <c r="OWO264" s="1"/>
      <c r="OWP264" s="1"/>
      <c r="OWQ264" s="1"/>
      <c r="OWR264" s="1"/>
      <c r="OWS264" s="1"/>
      <c r="OWT264" s="1"/>
      <c r="OWU264" s="1"/>
      <c r="OWV264" s="1"/>
      <c r="OWW264" s="1"/>
      <c r="OWX264" s="1"/>
      <c r="OWY264" s="1"/>
      <c r="OWZ264" s="1"/>
      <c r="OXA264" s="1"/>
      <c r="OXB264" s="1"/>
      <c r="OXC264" s="1"/>
      <c r="OXD264" s="1"/>
      <c r="OXE264" s="1"/>
      <c r="OXF264" s="1"/>
      <c r="OXG264" s="1"/>
      <c r="OXH264" s="1"/>
      <c r="OXI264" s="1"/>
      <c r="OXJ264" s="1"/>
      <c r="OXK264" s="1"/>
      <c r="OXL264" s="1"/>
      <c r="OXM264" s="1"/>
      <c r="OXN264" s="1"/>
      <c r="OXO264" s="1"/>
      <c r="OXP264" s="1"/>
      <c r="OXQ264" s="1"/>
      <c r="OXR264" s="1"/>
      <c r="OXS264" s="1"/>
      <c r="OXT264" s="1"/>
      <c r="OXU264" s="1"/>
      <c r="OXV264" s="1"/>
      <c r="OXW264" s="1"/>
      <c r="OXX264" s="1"/>
      <c r="OXY264" s="1"/>
      <c r="OXZ264" s="1"/>
      <c r="OYA264" s="1"/>
      <c r="OYB264" s="1"/>
      <c r="OYC264" s="1"/>
      <c r="OYD264" s="1"/>
      <c r="OYE264" s="1"/>
      <c r="OYF264" s="1"/>
      <c r="OYG264" s="1"/>
      <c r="OYH264" s="1"/>
      <c r="OYI264" s="1"/>
      <c r="OYJ264" s="1"/>
      <c r="OYK264" s="1"/>
      <c r="OYL264" s="1"/>
      <c r="OYM264" s="1"/>
      <c r="OYN264" s="1"/>
      <c r="OYO264" s="1"/>
      <c r="OYP264" s="1"/>
      <c r="OYQ264" s="1"/>
      <c r="OYR264" s="1"/>
      <c r="OYS264" s="1"/>
      <c r="OYT264" s="1"/>
      <c r="OYU264" s="1"/>
      <c r="OYV264" s="1"/>
      <c r="OYW264" s="1"/>
      <c r="OYX264" s="1"/>
      <c r="OYY264" s="1"/>
      <c r="OYZ264" s="1"/>
      <c r="OZA264" s="1"/>
      <c r="OZB264" s="1"/>
      <c r="OZC264" s="1"/>
      <c r="OZD264" s="1"/>
      <c r="OZE264" s="1"/>
      <c r="OZF264" s="1"/>
      <c r="OZG264" s="1"/>
      <c r="OZH264" s="1"/>
      <c r="OZI264" s="1"/>
      <c r="OZJ264" s="1"/>
      <c r="OZK264" s="1"/>
      <c r="OZL264" s="1"/>
      <c r="OZM264" s="1"/>
      <c r="OZN264" s="1"/>
      <c r="OZO264" s="1"/>
      <c r="OZP264" s="1"/>
      <c r="OZQ264" s="1"/>
      <c r="OZR264" s="1"/>
      <c r="OZS264" s="1"/>
      <c r="OZT264" s="1"/>
      <c r="OZU264" s="1"/>
      <c r="OZV264" s="1"/>
      <c r="OZW264" s="1"/>
      <c r="OZX264" s="1"/>
      <c r="OZY264" s="1"/>
      <c r="OZZ264" s="1"/>
      <c r="PAA264" s="1"/>
      <c r="PAB264" s="1"/>
      <c r="PAC264" s="1"/>
      <c r="PAD264" s="1"/>
      <c r="PAE264" s="1"/>
      <c r="PAF264" s="1"/>
      <c r="PAG264" s="1"/>
      <c r="PAH264" s="1"/>
      <c r="PAI264" s="1"/>
      <c r="PAJ264" s="1"/>
      <c r="PAK264" s="1"/>
      <c r="PAL264" s="1"/>
      <c r="PAM264" s="1"/>
      <c r="PAN264" s="1"/>
      <c r="PAO264" s="1"/>
      <c r="PAP264" s="1"/>
      <c r="PAQ264" s="1"/>
      <c r="PAR264" s="1"/>
      <c r="PAS264" s="1"/>
      <c r="PAT264" s="1"/>
      <c r="PAU264" s="1"/>
      <c r="PAV264" s="1"/>
      <c r="PAW264" s="1"/>
      <c r="PAX264" s="1"/>
      <c r="PAY264" s="1"/>
      <c r="PAZ264" s="1"/>
      <c r="PBA264" s="1"/>
      <c r="PBB264" s="1"/>
      <c r="PBC264" s="1"/>
      <c r="PBD264" s="1"/>
      <c r="PBE264" s="1"/>
      <c r="PBF264" s="1"/>
      <c r="PBG264" s="1"/>
      <c r="PBH264" s="1"/>
      <c r="PBI264" s="1"/>
      <c r="PBJ264" s="1"/>
      <c r="PBK264" s="1"/>
      <c r="PBL264" s="1"/>
      <c r="PBM264" s="1"/>
      <c r="PBN264" s="1"/>
      <c r="PBO264" s="1"/>
      <c r="PBP264" s="1"/>
      <c r="PBQ264" s="1"/>
      <c r="PBR264" s="1"/>
      <c r="PBS264" s="1"/>
      <c r="PBT264" s="1"/>
      <c r="PBU264" s="1"/>
      <c r="PBV264" s="1"/>
      <c r="PBW264" s="1"/>
      <c r="PBX264" s="1"/>
      <c r="PBY264" s="1"/>
      <c r="PBZ264" s="1"/>
      <c r="PCA264" s="1"/>
      <c r="PCB264" s="1"/>
      <c r="PCC264" s="1"/>
      <c r="PCD264" s="1"/>
      <c r="PCE264" s="1"/>
      <c r="PCF264" s="1"/>
      <c r="PCG264" s="1"/>
      <c r="PCH264" s="1"/>
      <c r="PCI264" s="1"/>
      <c r="PCJ264" s="1"/>
      <c r="PCK264" s="1"/>
      <c r="PCL264" s="1"/>
      <c r="PCM264" s="1"/>
      <c r="PCN264" s="1"/>
      <c r="PCO264" s="1"/>
      <c r="PCP264" s="1"/>
      <c r="PCQ264" s="1"/>
      <c r="PCR264" s="1"/>
      <c r="PCS264" s="1"/>
      <c r="PCT264" s="1"/>
      <c r="PCU264" s="1"/>
      <c r="PCV264" s="1"/>
      <c r="PCW264" s="1"/>
      <c r="PCX264" s="1"/>
      <c r="PCY264" s="1"/>
      <c r="PCZ264" s="1"/>
      <c r="PDA264" s="1"/>
      <c r="PDB264" s="1"/>
      <c r="PDC264" s="1"/>
      <c r="PDD264" s="1"/>
      <c r="PDE264" s="1"/>
      <c r="PDF264" s="1"/>
      <c r="PDG264" s="1"/>
      <c r="PDH264" s="1"/>
      <c r="PDI264" s="1"/>
      <c r="PDJ264" s="1"/>
      <c r="PDK264" s="1"/>
      <c r="PDL264" s="1"/>
      <c r="PDM264" s="1"/>
      <c r="PDN264" s="1"/>
      <c r="PDO264" s="1"/>
      <c r="PDP264" s="1"/>
      <c r="PDQ264" s="1"/>
      <c r="PDR264" s="1"/>
      <c r="PDS264" s="1"/>
      <c r="PDT264" s="1"/>
      <c r="PDU264" s="1"/>
      <c r="PDV264" s="1"/>
      <c r="PDW264" s="1"/>
      <c r="PDX264" s="1"/>
      <c r="PDY264" s="1"/>
      <c r="PDZ264" s="1"/>
      <c r="PEA264" s="1"/>
      <c r="PEB264" s="1"/>
      <c r="PEC264" s="1"/>
      <c r="PED264" s="1"/>
      <c r="PEE264" s="1"/>
      <c r="PEF264" s="1"/>
      <c r="PEG264" s="1"/>
      <c r="PEH264" s="1"/>
      <c r="PEI264" s="1"/>
      <c r="PEJ264" s="1"/>
      <c r="PEK264" s="1"/>
      <c r="PEL264" s="1"/>
      <c r="PEM264" s="1"/>
      <c r="PEN264" s="1"/>
      <c r="PEO264" s="1"/>
      <c r="PEP264" s="1"/>
      <c r="PEQ264" s="1"/>
      <c r="PER264" s="1"/>
      <c r="PES264" s="1"/>
      <c r="PET264" s="1"/>
      <c r="PEU264" s="1"/>
      <c r="PEV264" s="1"/>
      <c r="PEW264" s="1"/>
      <c r="PEX264" s="1"/>
      <c r="PEY264" s="1"/>
      <c r="PEZ264" s="1"/>
      <c r="PFA264" s="1"/>
      <c r="PFB264" s="1"/>
      <c r="PFC264" s="1"/>
      <c r="PFD264" s="1"/>
      <c r="PFE264" s="1"/>
      <c r="PFF264" s="1"/>
      <c r="PFG264" s="1"/>
      <c r="PFH264" s="1"/>
      <c r="PFI264" s="1"/>
      <c r="PFJ264" s="1"/>
      <c r="PFK264" s="1"/>
      <c r="PFL264" s="1"/>
      <c r="PFM264" s="1"/>
      <c r="PFN264" s="1"/>
      <c r="PFO264" s="1"/>
      <c r="PFP264" s="1"/>
      <c r="PFQ264" s="1"/>
      <c r="PFR264" s="1"/>
      <c r="PFS264" s="1"/>
      <c r="PFT264" s="1"/>
      <c r="PFU264" s="1"/>
      <c r="PFV264" s="1"/>
      <c r="PFW264" s="1"/>
      <c r="PFX264" s="1"/>
      <c r="PFY264" s="1"/>
      <c r="PFZ264" s="1"/>
      <c r="PGA264" s="1"/>
      <c r="PGB264" s="1"/>
      <c r="PGC264" s="1"/>
      <c r="PGD264" s="1"/>
      <c r="PGE264" s="1"/>
      <c r="PGF264" s="1"/>
      <c r="PGG264" s="1"/>
      <c r="PGH264" s="1"/>
      <c r="PGI264" s="1"/>
      <c r="PGJ264" s="1"/>
      <c r="PGK264" s="1"/>
      <c r="PGL264" s="1"/>
      <c r="PGM264" s="1"/>
      <c r="PGN264" s="1"/>
      <c r="PGO264" s="1"/>
      <c r="PGP264" s="1"/>
      <c r="PGQ264" s="1"/>
      <c r="PGR264" s="1"/>
      <c r="PGS264" s="1"/>
      <c r="PGT264" s="1"/>
      <c r="PGU264" s="1"/>
      <c r="PGV264" s="1"/>
      <c r="PGW264" s="1"/>
      <c r="PGX264" s="1"/>
      <c r="PGY264" s="1"/>
      <c r="PGZ264" s="1"/>
      <c r="PHA264" s="1"/>
      <c r="PHB264" s="1"/>
      <c r="PHC264" s="1"/>
      <c r="PHD264" s="1"/>
      <c r="PHE264" s="1"/>
      <c r="PHF264" s="1"/>
      <c r="PHG264" s="1"/>
      <c r="PHH264" s="1"/>
      <c r="PHI264" s="1"/>
      <c r="PHJ264" s="1"/>
      <c r="PHK264" s="1"/>
      <c r="PHL264" s="1"/>
      <c r="PHM264" s="1"/>
      <c r="PHN264" s="1"/>
      <c r="PHO264" s="1"/>
      <c r="PHP264" s="1"/>
      <c r="PHQ264" s="1"/>
      <c r="PHR264" s="1"/>
      <c r="PHS264" s="1"/>
      <c r="PHT264" s="1"/>
      <c r="PHU264" s="1"/>
      <c r="PHV264" s="1"/>
      <c r="PHW264" s="1"/>
      <c r="PHX264" s="1"/>
      <c r="PHY264" s="1"/>
      <c r="PHZ264" s="1"/>
      <c r="PIA264" s="1"/>
      <c r="PIB264" s="1"/>
      <c r="PIC264" s="1"/>
      <c r="PID264" s="1"/>
      <c r="PIE264" s="1"/>
      <c r="PIF264" s="1"/>
      <c r="PIG264" s="1"/>
      <c r="PIH264" s="1"/>
      <c r="PII264" s="1"/>
      <c r="PIJ264" s="1"/>
      <c r="PIK264" s="1"/>
      <c r="PIL264" s="1"/>
      <c r="PIM264" s="1"/>
      <c r="PIN264" s="1"/>
      <c r="PIO264" s="1"/>
      <c r="PIP264" s="1"/>
      <c r="PIQ264" s="1"/>
      <c r="PIR264" s="1"/>
      <c r="PIS264" s="1"/>
      <c r="PIT264" s="1"/>
      <c r="PIU264" s="1"/>
      <c r="PIV264" s="1"/>
      <c r="PIW264" s="1"/>
      <c r="PIX264" s="1"/>
      <c r="PIY264" s="1"/>
      <c r="PIZ264" s="1"/>
      <c r="PJA264" s="1"/>
      <c r="PJB264" s="1"/>
      <c r="PJC264" s="1"/>
      <c r="PJD264" s="1"/>
      <c r="PJE264" s="1"/>
      <c r="PJF264" s="1"/>
      <c r="PJG264" s="1"/>
      <c r="PJH264" s="1"/>
      <c r="PJI264" s="1"/>
      <c r="PJJ264" s="1"/>
      <c r="PJK264" s="1"/>
      <c r="PJL264" s="1"/>
      <c r="PJM264" s="1"/>
      <c r="PJN264" s="1"/>
      <c r="PJO264" s="1"/>
      <c r="PJP264" s="1"/>
      <c r="PJQ264" s="1"/>
      <c r="PJR264" s="1"/>
      <c r="PJS264" s="1"/>
      <c r="PJT264" s="1"/>
      <c r="PJU264" s="1"/>
      <c r="PJV264" s="1"/>
      <c r="PJW264" s="1"/>
      <c r="PJX264" s="1"/>
      <c r="PJY264" s="1"/>
      <c r="PJZ264" s="1"/>
      <c r="PKA264" s="1"/>
      <c r="PKB264" s="1"/>
      <c r="PKC264" s="1"/>
      <c r="PKD264" s="1"/>
      <c r="PKE264" s="1"/>
      <c r="PKF264" s="1"/>
      <c r="PKG264" s="1"/>
      <c r="PKH264" s="1"/>
      <c r="PKI264" s="1"/>
      <c r="PKJ264" s="1"/>
      <c r="PKK264" s="1"/>
      <c r="PKL264" s="1"/>
      <c r="PKM264" s="1"/>
      <c r="PKN264" s="1"/>
      <c r="PKO264" s="1"/>
      <c r="PKP264" s="1"/>
      <c r="PKQ264" s="1"/>
      <c r="PKR264" s="1"/>
      <c r="PKS264" s="1"/>
      <c r="PKT264" s="1"/>
      <c r="PKU264" s="1"/>
      <c r="PKV264" s="1"/>
      <c r="PKW264" s="1"/>
      <c r="PKX264" s="1"/>
      <c r="PKY264" s="1"/>
      <c r="PKZ264" s="1"/>
      <c r="PLA264" s="1"/>
      <c r="PLB264" s="1"/>
      <c r="PLC264" s="1"/>
      <c r="PLD264" s="1"/>
      <c r="PLE264" s="1"/>
      <c r="PLF264" s="1"/>
      <c r="PLG264" s="1"/>
      <c r="PLH264" s="1"/>
      <c r="PLI264" s="1"/>
      <c r="PLJ264" s="1"/>
      <c r="PLK264" s="1"/>
      <c r="PLL264" s="1"/>
      <c r="PLM264" s="1"/>
      <c r="PLN264" s="1"/>
      <c r="PLO264" s="1"/>
      <c r="PLP264" s="1"/>
      <c r="PLQ264" s="1"/>
      <c r="PLR264" s="1"/>
      <c r="PLS264" s="1"/>
      <c r="PLT264" s="1"/>
      <c r="PLU264" s="1"/>
      <c r="PLV264" s="1"/>
      <c r="PLW264" s="1"/>
      <c r="PLX264" s="1"/>
      <c r="PLY264" s="1"/>
      <c r="PLZ264" s="1"/>
      <c r="PMA264" s="1"/>
      <c r="PMB264" s="1"/>
      <c r="PMC264" s="1"/>
      <c r="PMD264" s="1"/>
      <c r="PME264" s="1"/>
      <c r="PMF264" s="1"/>
      <c r="PMG264" s="1"/>
      <c r="PMH264" s="1"/>
      <c r="PMI264" s="1"/>
      <c r="PMJ264" s="1"/>
      <c r="PMK264" s="1"/>
      <c r="PML264" s="1"/>
      <c r="PMM264" s="1"/>
      <c r="PMN264" s="1"/>
      <c r="PMO264" s="1"/>
      <c r="PMP264" s="1"/>
      <c r="PMQ264" s="1"/>
      <c r="PMR264" s="1"/>
      <c r="PMS264" s="1"/>
      <c r="PMT264" s="1"/>
      <c r="PMU264" s="1"/>
      <c r="PMV264" s="1"/>
      <c r="PMW264" s="1"/>
      <c r="PMX264" s="1"/>
      <c r="PMY264" s="1"/>
      <c r="PMZ264" s="1"/>
      <c r="PNA264" s="1"/>
      <c r="PNB264" s="1"/>
      <c r="PNC264" s="1"/>
      <c r="PND264" s="1"/>
      <c r="PNE264" s="1"/>
      <c r="PNF264" s="1"/>
      <c r="PNG264" s="1"/>
      <c r="PNH264" s="1"/>
      <c r="PNI264" s="1"/>
      <c r="PNJ264" s="1"/>
      <c r="PNK264" s="1"/>
      <c r="PNL264" s="1"/>
      <c r="PNM264" s="1"/>
      <c r="PNN264" s="1"/>
      <c r="PNO264" s="1"/>
      <c r="PNP264" s="1"/>
      <c r="PNQ264" s="1"/>
      <c r="PNR264" s="1"/>
      <c r="PNS264" s="1"/>
      <c r="PNT264" s="1"/>
      <c r="PNU264" s="1"/>
      <c r="PNV264" s="1"/>
      <c r="PNW264" s="1"/>
      <c r="PNX264" s="1"/>
      <c r="PNY264" s="1"/>
      <c r="PNZ264" s="1"/>
      <c r="POA264" s="1"/>
      <c r="POB264" s="1"/>
      <c r="POC264" s="1"/>
      <c r="POD264" s="1"/>
      <c r="POE264" s="1"/>
      <c r="POF264" s="1"/>
      <c r="POG264" s="1"/>
      <c r="POH264" s="1"/>
      <c r="POI264" s="1"/>
      <c r="POJ264" s="1"/>
      <c r="POK264" s="1"/>
      <c r="POL264" s="1"/>
      <c r="POM264" s="1"/>
      <c r="PON264" s="1"/>
      <c r="POO264" s="1"/>
      <c r="POP264" s="1"/>
      <c r="POQ264" s="1"/>
      <c r="POR264" s="1"/>
      <c r="POS264" s="1"/>
      <c r="POT264" s="1"/>
      <c r="POU264" s="1"/>
      <c r="POV264" s="1"/>
      <c r="POW264" s="1"/>
      <c r="POX264" s="1"/>
      <c r="POY264" s="1"/>
      <c r="POZ264" s="1"/>
      <c r="PPA264" s="1"/>
      <c r="PPB264" s="1"/>
      <c r="PPC264" s="1"/>
      <c r="PPD264" s="1"/>
      <c r="PPE264" s="1"/>
      <c r="PPF264" s="1"/>
      <c r="PPG264" s="1"/>
      <c r="PPH264" s="1"/>
      <c r="PPI264" s="1"/>
      <c r="PPJ264" s="1"/>
      <c r="PPK264" s="1"/>
      <c r="PPL264" s="1"/>
      <c r="PPM264" s="1"/>
      <c r="PPN264" s="1"/>
      <c r="PPO264" s="1"/>
      <c r="PPP264" s="1"/>
      <c r="PPQ264" s="1"/>
      <c r="PPR264" s="1"/>
      <c r="PPS264" s="1"/>
      <c r="PPT264" s="1"/>
      <c r="PPU264" s="1"/>
      <c r="PPV264" s="1"/>
      <c r="PPW264" s="1"/>
      <c r="PPX264" s="1"/>
      <c r="PPY264" s="1"/>
      <c r="PPZ264" s="1"/>
      <c r="PQA264" s="1"/>
      <c r="PQB264" s="1"/>
      <c r="PQC264" s="1"/>
      <c r="PQD264" s="1"/>
      <c r="PQE264" s="1"/>
      <c r="PQF264" s="1"/>
      <c r="PQG264" s="1"/>
      <c r="PQH264" s="1"/>
      <c r="PQI264" s="1"/>
      <c r="PQJ264" s="1"/>
      <c r="PQK264" s="1"/>
      <c r="PQL264" s="1"/>
      <c r="PQM264" s="1"/>
      <c r="PQN264" s="1"/>
      <c r="PQO264" s="1"/>
      <c r="PQP264" s="1"/>
      <c r="PQQ264" s="1"/>
      <c r="PQR264" s="1"/>
      <c r="PQS264" s="1"/>
      <c r="PQT264" s="1"/>
      <c r="PQU264" s="1"/>
      <c r="PQV264" s="1"/>
      <c r="PQW264" s="1"/>
      <c r="PQX264" s="1"/>
      <c r="PQY264" s="1"/>
      <c r="PQZ264" s="1"/>
      <c r="PRA264" s="1"/>
      <c r="PRB264" s="1"/>
      <c r="PRC264" s="1"/>
      <c r="PRD264" s="1"/>
      <c r="PRE264" s="1"/>
      <c r="PRF264" s="1"/>
      <c r="PRG264" s="1"/>
      <c r="PRH264" s="1"/>
      <c r="PRI264" s="1"/>
      <c r="PRJ264" s="1"/>
      <c r="PRK264" s="1"/>
      <c r="PRL264" s="1"/>
      <c r="PRM264" s="1"/>
      <c r="PRN264" s="1"/>
      <c r="PRO264" s="1"/>
      <c r="PRP264" s="1"/>
      <c r="PRQ264" s="1"/>
      <c r="PRR264" s="1"/>
      <c r="PRS264" s="1"/>
      <c r="PRT264" s="1"/>
      <c r="PRU264" s="1"/>
      <c r="PRV264" s="1"/>
      <c r="PRW264" s="1"/>
      <c r="PRX264" s="1"/>
      <c r="PRY264" s="1"/>
      <c r="PRZ264" s="1"/>
      <c r="PSA264" s="1"/>
      <c r="PSB264" s="1"/>
      <c r="PSC264" s="1"/>
      <c r="PSD264" s="1"/>
      <c r="PSE264" s="1"/>
      <c r="PSF264" s="1"/>
      <c r="PSG264" s="1"/>
      <c r="PSH264" s="1"/>
      <c r="PSI264" s="1"/>
      <c r="PSJ264" s="1"/>
      <c r="PSK264" s="1"/>
      <c r="PSL264" s="1"/>
      <c r="PSM264" s="1"/>
      <c r="PSN264" s="1"/>
      <c r="PSO264" s="1"/>
      <c r="PSP264" s="1"/>
      <c r="PSQ264" s="1"/>
      <c r="PSR264" s="1"/>
      <c r="PSS264" s="1"/>
      <c r="PST264" s="1"/>
      <c r="PSU264" s="1"/>
      <c r="PSV264" s="1"/>
      <c r="PSW264" s="1"/>
      <c r="PSX264" s="1"/>
      <c r="PSY264" s="1"/>
      <c r="PSZ264" s="1"/>
      <c r="PTA264" s="1"/>
      <c r="PTB264" s="1"/>
      <c r="PTC264" s="1"/>
      <c r="PTD264" s="1"/>
      <c r="PTE264" s="1"/>
      <c r="PTF264" s="1"/>
      <c r="PTG264" s="1"/>
      <c r="PTH264" s="1"/>
      <c r="PTI264" s="1"/>
      <c r="PTJ264" s="1"/>
      <c r="PTK264" s="1"/>
      <c r="PTL264" s="1"/>
      <c r="PTM264" s="1"/>
      <c r="PTN264" s="1"/>
      <c r="PTO264" s="1"/>
      <c r="PTP264" s="1"/>
      <c r="PTQ264" s="1"/>
      <c r="PTR264" s="1"/>
      <c r="PTS264" s="1"/>
      <c r="PTT264" s="1"/>
      <c r="PTU264" s="1"/>
      <c r="PTV264" s="1"/>
      <c r="PTW264" s="1"/>
      <c r="PTX264" s="1"/>
      <c r="PTY264" s="1"/>
      <c r="PTZ264" s="1"/>
      <c r="PUA264" s="1"/>
      <c r="PUB264" s="1"/>
      <c r="PUC264" s="1"/>
      <c r="PUD264" s="1"/>
      <c r="PUE264" s="1"/>
      <c r="PUF264" s="1"/>
      <c r="PUG264" s="1"/>
      <c r="PUH264" s="1"/>
      <c r="PUI264" s="1"/>
      <c r="PUJ264" s="1"/>
      <c r="PUK264" s="1"/>
      <c r="PUL264" s="1"/>
      <c r="PUM264" s="1"/>
      <c r="PUN264" s="1"/>
      <c r="PUO264" s="1"/>
      <c r="PUP264" s="1"/>
      <c r="PUQ264" s="1"/>
      <c r="PUR264" s="1"/>
      <c r="PUS264" s="1"/>
      <c r="PUT264" s="1"/>
      <c r="PUU264" s="1"/>
      <c r="PUV264" s="1"/>
      <c r="PUW264" s="1"/>
      <c r="PUX264" s="1"/>
      <c r="PUY264" s="1"/>
      <c r="PUZ264" s="1"/>
      <c r="PVA264" s="1"/>
      <c r="PVB264" s="1"/>
      <c r="PVC264" s="1"/>
      <c r="PVD264" s="1"/>
      <c r="PVE264" s="1"/>
      <c r="PVF264" s="1"/>
      <c r="PVG264" s="1"/>
      <c r="PVH264" s="1"/>
      <c r="PVI264" s="1"/>
      <c r="PVJ264" s="1"/>
      <c r="PVK264" s="1"/>
      <c r="PVL264" s="1"/>
      <c r="PVM264" s="1"/>
      <c r="PVN264" s="1"/>
      <c r="PVO264" s="1"/>
      <c r="PVP264" s="1"/>
      <c r="PVQ264" s="1"/>
      <c r="PVR264" s="1"/>
      <c r="PVS264" s="1"/>
      <c r="PVT264" s="1"/>
      <c r="PVU264" s="1"/>
      <c r="PVV264" s="1"/>
      <c r="PVW264" s="1"/>
      <c r="PVX264" s="1"/>
      <c r="PVY264" s="1"/>
      <c r="PVZ264" s="1"/>
      <c r="PWA264" s="1"/>
      <c r="PWB264" s="1"/>
      <c r="PWC264" s="1"/>
      <c r="PWD264" s="1"/>
      <c r="PWE264" s="1"/>
      <c r="PWF264" s="1"/>
      <c r="PWG264" s="1"/>
      <c r="PWH264" s="1"/>
      <c r="PWI264" s="1"/>
      <c r="PWJ264" s="1"/>
      <c r="PWK264" s="1"/>
      <c r="PWL264" s="1"/>
      <c r="PWM264" s="1"/>
      <c r="PWN264" s="1"/>
      <c r="PWO264" s="1"/>
      <c r="PWP264" s="1"/>
      <c r="PWQ264" s="1"/>
      <c r="PWR264" s="1"/>
      <c r="PWS264" s="1"/>
      <c r="PWT264" s="1"/>
      <c r="PWU264" s="1"/>
      <c r="PWV264" s="1"/>
      <c r="PWW264" s="1"/>
      <c r="PWX264" s="1"/>
      <c r="PWY264" s="1"/>
      <c r="PWZ264" s="1"/>
      <c r="PXA264" s="1"/>
      <c r="PXB264" s="1"/>
      <c r="PXC264" s="1"/>
      <c r="PXD264" s="1"/>
      <c r="PXE264" s="1"/>
      <c r="PXF264" s="1"/>
      <c r="PXG264" s="1"/>
      <c r="PXH264" s="1"/>
      <c r="PXI264" s="1"/>
      <c r="PXJ264" s="1"/>
      <c r="PXK264" s="1"/>
      <c r="PXL264" s="1"/>
      <c r="PXM264" s="1"/>
      <c r="PXN264" s="1"/>
      <c r="PXO264" s="1"/>
      <c r="PXP264" s="1"/>
      <c r="PXQ264" s="1"/>
      <c r="PXR264" s="1"/>
      <c r="PXS264" s="1"/>
      <c r="PXT264" s="1"/>
      <c r="PXU264" s="1"/>
      <c r="PXV264" s="1"/>
      <c r="PXW264" s="1"/>
      <c r="PXX264" s="1"/>
      <c r="PXY264" s="1"/>
      <c r="PXZ264" s="1"/>
      <c r="PYA264" s="1"/>
      <c r="PYB264" s="1"/>
      <c r="PYC264" s="1"/>
      <c r="PYD264" s="1"/>
      <c r="PYE264" s="1"/>
      <c r="PYF264" s="1"/>
      <c r="PYG264" s="1"/>
      <c r="PYH264" s="1"/>
      <c r="PYI264" s="1"/>
      <c r="PYJ264" s="1"/>
      <c r="PYK264" s="1"/>
      <c r="PYL264" s="1"/>
      <c r="PYM264" s="1"/>
      <c r="PYN264" s="1"/>
      <c r="PYO264" s="1"/>
      <c r="PYP264" s="1"/>
      <c r="PYQ264" s="1"/>
      <c r="PYR264" s="1"/>
      <c r="PYS264" s="1"/>
      <c r="PYT264" s="1"/>
      <c r="PYU264" s="1"/>
      <c r="PYV264" s="1"/>
      <c r="PYW264" s="1"/>
      <c r="PYX264" s="1"/>
      <c r="PYY264" s="1"/>
      <c r="PYZ264" s="1"/>
      <c r="PZA264" s="1"/>
      <c r="PZB264" s="1"/>
      <c r="PZC264" s="1"/>
      <c r="PZD264" s="1"/>
      <c r="PZE264" s="1"/>
      <c r="PZF264" s="1"/>
      <c r="PZG264" s="1"/>
      <c r="PZH264" s="1"/>
      <c r="PZI264" s="1"/>
      <c r="PZJ264" s="1"/>
      <c r="PZK264" s="1"/>
      <c r="PZL264" s="1"/>
      <c r="PZM264" s="1"/>
      <c r="PZN264" s="1"/>
      <c r="PZO264" s="1"/>
      <c r="PZP264" s="1"/>
      <c r="PZQ264" s="1"/>
      <c r="PZR264" s="1"/>
      <c r="PZS264" s="1"/>
      <c r="PZT264" s="1"/>
      <c r="PZU264" s="1"/>
      <c r="PZV264" s="1"/>
      <c r="PZW264" s="1"/>
      <c r="PZX264" s="1"/>
      <c r="PZY264" s="1"/>
      <c r="PZZ264" s="1"/>
      <c r="QAA264" s="1"/>
      <c r="QAB264" s="1"/>
      <c r="QAC264" s="1"/>
      <c r="QAD264" s="1"/>
      <c r="QAE264" s="1"/>
      <c r="QAF264" s="1"/>
      <c r="QAG264" s="1"/>
      <c r="QAH264" s="1"/>
      <c r="QAI264" s="1"/>
      <c r="QAJ264" s="1"/>
      <c r="QAK264" s="1"/>
      <c r="QAL264" s="1"/>
      <c r="QAM264" s="1"/>
      <c r="QAN264" s="1"/>
      <c r="QAO264" s="1"/>
      <c r="QAP264" s="1"/>
      <c r="QAQ264" s="1"/>
      <c r="QAR264" s="1"/>
      <c r="QAS264" s="1"/>
      <c r="QAT264" s="1"/>
      <c r="QAU264" s="1"/>
      <c r="QAV264" s="1"/>
      <c r="QAW264" s="1"/>
      <c r="QAX264" s="1"/>
      <c r="QAY264" s="1"/>
      <c r="QAZ264" s="1"/>
      <c r="QBA264" s="1"/>
      <c r="QBB264" s="1"/>
      <c r="QBC264" s="1"/>
      <c r="QBD264" s="1"/>
      <c r="QBE264" s="1"/>
      <c r="QBF264" s="1"/>
      <c r="QBG264" s="1"/>
      <c r="QBH264" s="1"/>
      <c r="QBI264" s="1"/>
      <c r="QBJ264" s="1"/>
      <c r="QBK264" s="1"/>
      <c r="QBL264" s="1"/>
      <c r="QBM264" s="1"/>
      <c r="QBN264" s="1"/>
      <c r="QBO264" s="1"/>
      <c r="QBP264" s="1"/>
      <c r="QBQ264" s="1"/>
      <c r="QBR264" s="1"/>
      <c r="QBS264" s="1"/>
      <c r="QBT264" s="1"/>
      <c r="QBU264" s="1"/>
      <c r="QBV264" s="1"/>
      <c r="QBW264" s="1"/>
      <c r="QBX264" s="1"/>
      <c r="QBY264" s="1"/>
      <c r="QBZ264" s="1"/>
      <c r="QCA264" s="1"/>
      <c r="QCB264" s="1"/>
      <c r="QCC264" s="1"/>
      <c r="QCD264" s="1"/>
      <c r="QCE264" s="1"/>
      <c r="QCF264" s="1"/>
      <c r="QCG264" s="1"/>
      <c r="QCH264" s="1"/>
      <c r="QCI264" s="1"/>
      <c r="QCJ264" s="1"/>
      <c r="QCK264" s="1"/>
      <c r="QCL264" s="1"/>
      <c r="QCM264" s="1"/>
      <c r="QCN264" s="1"/>
      <c r="QCO264" s="1"/>
      <c r="QCP264" s="1"/>
      <c r="QCQ264" s="1"/>
      <c r="QCR264" s="1"/>
      <c r="QCS264" s="1"/>
      <c r="QCT264" s="1"/>
      <c r="QCU264" s="1"/>
      <c r="QCV264" s="1"/>
      <c r="QCW264" s="1"/>
      <c r="QCX264" s="1"/>
      <c r="QCY264" s="1"/>
      <c r="QCZ264" s="1"/>
      <c r="QDA264" s="1"/>
      <c r="QDB264" s="1"/>
      <c r="QDC264" s="1"/>
      <c r="QDD264" s="1"/>
      <c r="QDE264" s="1"/>
      <c r="QDF264" s="1"/>
      <c r="QDG264" s="1"/>
      <c r="QDH264" s="1"/>
      <c r="QDI264" s="1"/>
      <c r="QDJ264" s="1"/>
      <c r="QDK264" s="1"/>
      <c r="QDL264" s="1"/>
      <c r="QDM264" s="1"/>
      <c r="QDN264" s="1"/>
      <c r="QDO264" s="1"/>
      <c r="QDP264" s="1"/>
      <c r="QDQ264" s="1"/>
      <c r="QDR264" s="1"/>
      <c r="QDS264" s="1"/>
      <c r="QDT264" s="1"/>
      <c r="QDU264" s="1"/>
      <c r="QDV264" s="1"/>
      <c r="QDW264" s="1"/>
      <c r="QDX264" s="1"/>
      <c r="QDY264" s="1"/>
      <c r="QDZ264" s="1"/>
      <c r="QEA264" s="1"/>
      <c r="QEB264" s="1"/>
      <c r="QEC264" s="1"/>
      <c r="QED264" s="1"/>
      <c r="QEE264" s="1"/>
      <c r="QEF264" s="1"/>
      <c r="QEG264" s="1"/>
      <c r="QEH264" s="1"/>
      <c r="QEI264" s="1"/>
      <c r="QEJ264" s="1"/>
      <c r="QEK264" s="1"/>
      <c r="QEL264" s="1"/>
      <c r="QEM264" s="1"/>
      <c r="QEN264" s="1"/>
      <c r="QEO264" s="1"/>
      <c r="QEP264" s="1"/>
      <c r="QEQ264" s="1"/>
      <c r="QER264" s="1"/>
      <c r="QES264" s="1"/>
      <c r="QET264" s="1"/>
      <c r="QEU264" s="1"/>
      <c r="QEV264" s="1"/>
      <c r="QEW264" s="1"/>
      <c r="QEX264" s="1"/>
      <c r="QEY264" s="1"/>
      <c r="QEZ264" s="1"/>
      <c r="QFA264" s="1"/>
      <c r="QFB264" s="1"/>
      <c r="QFC264" s="1"/>
      <c r="QFD264" s="1"/>
      <c r="QFE264" s="1"/>
      <c r="QFF264" s="1"/>
      <c r="QFG264" s="1"/>
      <c r="QFH264" s="1"/>
      <c r="QFI264" s="1"/>
      <c r="QFJ264" s="1"/>
      <c r="QFK264" s="1"/>
      <c r="QFL264" s="1"/>
      <c r="QFM264" s="1"/>
      <c r="QFN264" s="1"/>
      <c r="QFO264" s="1"/>
      <c r="QFP264" s="1"/>
      <c r="QFQ264" s="1"/>
      <c r="QFR264" s="1"/>
      <c r="QFS264" s="1"/>
      <c r="QFT264" s="1"/>
      <c r="QFU264" s="1"/>
      <c r="QFV264" s="1"/>
      <c r="QFW264" s="1"/>
      <c r="QFX264" s="1"/>
      <c r="QFY264" s="1"/>
      <c r="QFZ264" s="1"/>
      <c r="QGA264" s="1"/>
      <c r="QGB264" s="1"/>
      <c r="QGC264" s="1"/>
      <c r="QGD264" s="1"/>
      <c r="QGE264" s="1"/>
      <c r="QGF264" s="1"/>
      <c r="QGG264" s="1"/>
      <c r="QGH264" s="1"/>
      <c r="QGI264" s="1"/>
      <c r="QGJ264" s="1"/>
      <c r="QGK264" s="1"/>
      <c r="QGL264" s="1"/>
      <c r="QGM264" s="1"/>
      <c r="QGN264" s="1"/>
      <c r="QGO264" s="1"/>
      <c r="QGP264" s="1"/>
      <c r="QGQ264" s="1"/>
      <c r="QGR264" s="1"/>
      <c r="QGS264" s="1"/>
      <c r="QGT264" s="1"/>
      <c r="QGU264" s="1"/>
      <c r="QGV264" s="1"/>
      <c r="QGW264" s="1"/>
      <c r="QGX264" s="1"/>
      <c r="QGY264" s="1"/>
      <c r="QGZ264" s="1"/>
      <c r="QHA264" s="1"/>
      <c r="QHB264" s="1"/>
      <c r="QHC264" s="1"/>
      <c r="QHD264" s="1"/>
      <c r="QHE264" s="1"/>
      <c r="QHF264" s="1"/>
      <c r="QHG264" s="1"/>
      <c r="QHH264" s="1"/>
      <c r="QHI264" s="1"/>
      <c r="QHJ264" s="1"/>
      <c r="QHK264" s="1"/>
      <c r="QHL264" s="1"/>
      <c r="QHM264" s="1"/>
      <c r="QHN264" s="1"/>
      <c r="QHO264" s="1"/>
      <c r="QHP264" s="1"/>
      <c r="QHQ264" s="1"/>
      <c r="QHR264" s="1"/>
      <c r="QHS264" s="1"/>
      <c r="QHT264" s="1"/>
      <c r="QHU264" s="1"/>
      <c r="QHV264" s="1"/>
      <c r="QHW264" s="1"/>
      <c r="QHX264" s="1"/>
      <c r="QHY264" s="1"/>
      <c r="QHZ264" s="1"/>
      <c r="QIA264" s="1"/>
      <c r="QIB264" s="1"/>
      <c r="QIC264" s="1"/>
      <c r="QID264" s="1"/>
      <c r="QIE264" s="1"/>
      <c r="QIF264" s="1"/>
      <c r="QIG264" s="1"/>
      <c r="QIH264" s="1"/>
      <c r="QII264" s="1"/>
      <c r="QIJ264" s="1"/>
      <c r="QIK264" s="1"/>
      <c r="QIL264" s="1"/>
      <c r="QIM264" s="1"/>
      <c r="QIN264" s="1"/>
      <c r="QIO264" s="1"/>
      <c r="QIP264" s="1"/>
      <c r="QIQ264" s="1"/>
      <c r="QIR264" s="1"/>
      <c r="QIS264" s="1"/>
      <c r="QIT264" s="1"/>
      <c r="QIU264" s="1"/>
      <c r="QIV264" s="1"/>
      <c r="QIW264" s="1"/>
      <c r="QIX264" s="1"/>
      <c r="QIY264" s="1"/>
      <c r="QIZ264" s="1"/>
      <c r="QJA264" s="1"/>
      <c r="QJB264" s="1"/>
      <c r="QJC264" s="1"/>
      <c r="QJD264" s="1"/>
      <c r="QJE264" s="1"/>
      <c r="QJF264" s="1"/>
      <c r="QJG264" s="1"/>
      <c r="QJH264" s="1"/>
      <c r="QJI264" s="1"/>
      <c r="QJJ264" s="1"/>
      <c r="QJK264" s="1"/>
      <c r="QJL264" s="1"/>
      <c r="QJM264" s="1"/>
      <c r="QJN264" s="1"/>
      <c r="QJO264" s="1"/>
      <c r="QJP264" s="1"/>
      <c r="QJQ264" s="1"/>
      <c r="QJR264" s="1"/>
      <c r="QJS264" s="1"/>
      <c r="QJT264" s="1"/>
      <c r="QJU264" s="1"/>
      <c r="QJV264" s="1"/>
      <c r="QJW264" s="1"/>
      <c r="QJX264" s="1"/>
      <c r="QJY264" s="1"/>
      <c r="QJZ264" s="1"/>
      <c r="QKA264" s="1"/>
      <c r="QKB264" s="1"/>
      <c r="QKC264" s="1"/>
      <c r="QKD264" s="1"/>
      <c r="QKE264" s="1"/>
      <c r="QKF264" s="1"/>
      <c r="QKG264" s="1"/>
      <c r="QKH264" s="1"/>
      <c r="QKI264" s="1"/>
      <c r="QKJ264" s="1"/>
      <c r="QKK264" s="1"/>
      <c r="QKL264" s="1"/>
      <c r="QKM264" s="1"/>
      <c r="QKN264" s="1"/>
      <c r="QKO264" s="1"/>
      <c r="QKP264" s="1"/>
      <c r="QKQ264" s="1"/>
      <c r="QKR264" s="1"/>
      <c r="QKS264" s="1"/>
      <c r="QKT264" s="1"/>
      <c r="QKU264" s="1"/>
      <c r="QKV264" s="1"/>
      <c r="QKW264" s="1"/>
      <c r="QKX264" s="1"/>
      <c r="QKY264" s="1"/>
      <c r="QKZ264" s="1"/>
      <c r="QLA264" s="1"/>
      <c r="QLB264" s="1"/>
      <c r="QLC264" s="1"/>
      <c r="QLD264" s="1"/>
      <c r="QLE264" s="1"/>
      <c r="QLF264" s="1"/>
      <c r="QLG264" s="1"/>
      <c r="QLH264" s="1"/>
      <c r="QLI264" s="1"/>
      <c r="QLJ264" s="1"/>
      <c r="QLK264" s="1"/>
      <c r="QLL264" s="1"/>
      <c r="QLM264" s="1"/>
      <c r="QLN264" s="1"/>
      <c r="QLO264" s="1"/>
      <c r="QLP264" s="1"/>
      <c r="QLQ264" s="1"/>
      <c r="QLR264" s="1"/>
      <c r="QLS264" s="1"/>
      <c r="QLT264" s="1"/>
      <c r="QLU264" s="1"/>
      <c r="QLV264" s="1"/>
      <c r="QLW264" s="1"/>
      <c r="QLX264" s="1"/>
      <c r="QLY264" s="1"/>
      <c r="QLZ264" s="1"/>
      <c r="QMA264" s="1"/>
      <c r="QMB264" s="1"/>
      <c r="QMC264" s="1"/>
      <c r="QMD264" s="1"/>
      <c r="QME264" s="1"/>
      <c r="QMF264" s="1"/>
      <c r="QMG264" s="1"/>
      <c r="QMH264" s="1"/>
      <c r="QMI264" s="1"/>
      <c r="QMJ264" s="1"/>
      <c r="QMK264" s="1"/>
      <c r="QML264" s="1"/>
      <c r="QMM264" s="1"/>
      <c r="QMN264" s="1"/>
      <c r="QMO264" s="1"/>
      <c r="QMP264" s="1"/>
      <c r="QMQ264" s="1"/>
      <c r="QMR264" s="1"/>
      <c r="QMS264" s="1"/>
      <c r="QMT264" s="1"/>
      <c r="QMU264" s="1"/>
      <c r="QMV264" s="1"/>
      <c r="QMW264" s="1"/>
      <c r="QMX264" s="1"/>
      <c r="QMY264" s="1"/>
      <c r="QMZ264" s="1"/>
      <c r="QNA264" s="1"/>
      <c r="QNB264" s="1"/>
      <c r="QNC264" s="1"/>
      <c r="QND264" s="1"/>
      <c r="QNE264" s="1"/>
      <c r="QNF264" s="1"/>
      <c r="QNG264" s="1"/>
      <c r="QNH264" s="1"/>
      <c r="QNI264" s="1"/>
      <c r="QNJ264" s="1"/>
      <c r="QNK264" s="1"/>
      <c r="QNL264" s="1"/>
      <c r="QNM264" s="1"/>
      <c r="QNN264" s="1"/>
      <c r="QNO264" s="1"/>
      <c r="QNP264" s="1"/>
      <c r="QNQ264" s="1"/>
      <c r="QNR264" s="1"/>
      <c r="QNS264" s="1"/>
      <c r="QNT264" s="1"/>
      <c r="QNU264" s="1"/>
      <c r="QNV264" s="1"/>
      <c r="QNW264" s="1"/>
      <c r="QNX264" s="1"/>
      <c r="QNY264" s="1"/>
      <c r="QNZ264" s="1"/>
      <c r="QOA264" s="1"/>
      <c r="QOB264" s="1"/>
      <c r="QOC264" s="1"/>
      <c r="QOD264" s="1"/>
      <c r="QOE264" s="1"/>
      <c r="QOF264" s="1"/>
      <c r="QOG264" s="1"/>
      <c r="QOH264" s="1"/>
      <c r="QOI264" s="1"/>
      <c r="QOJ264" s="1"/>
      <c r="QOK264" s="1"/>
      <c r="QOL264" s="1"/>
      <c r="QOM264" s="1"/>
      <c r="QON264" s="1"/>
      <c r="QOO264" s="1"/>
      <c r="QOP264" s="1"/>
      <c r="QOQ264" s="1"/>
      <c r="QOR264" s="1"/>
      <c r="QOS264" s="1"/>
      <c r="QOT264" s="1"/>
      <c r="QOU264" s="1"/>
      <c r="QOV264" s="1"/>
      <c r="QOW264" s="1"/>
      <c r="QOX264" s="1"/>
      <c r="QOY264" s="1"/>
      <c r="QOZ264" s="1"/>
      <c r="QPA264" s="1"/>
      <c r="QPB264" s="1"/>
      <c r="QPC264" s="1"/>
      <c r="QPD264" s="1"/>
      <c r="QPE264" s="1"/>
      <c r="QPF264" s="1"/>
      <c r="QPG264" s="1"/>
      <c r="QPH264" s="1"/>
      <c r="QPI264" s="1"/>
      <c r="QPJ264" s="1"/>
      <c r="QPK264" s="1"/>
      <c r="QPL264" s="1"/>
      <c r="QPM264" s="1"/>
      <c r="QPN264" s="1"/>
      <c r="QPO264" s="1"/>
      <c r="QPP264" s="1"/>
      <c r="QPQ264" s="1"/>
      <c r="QPR264" s="1"/>
      <c r="QPS264" s="1"/>
      <c r="QPT264" s="1"/>
      <c r="QPU264" s="1"/>
      <c r="QPV264" s="1"/>
      <c r="QPW264" s="1"/>
      <c r="QPX264" s="1"/>
      <c r="QPY264" s="1"/>
      <c r="QPZ264" s="1"/>
      <c r="QQA264" s="1"/>
      <c r="QQB264" s="1"/>
      <c r="QQC264" s="1"/>
      <c r="QQD264" s="1"/>
      <c r="QQE264" s="1"/>
      <c r="QQF264" s="1"/>
      <c r="QQG264" s="1"/>
      <c r="QQH264" s="1"/>
      <c r="QQI264" s="1"/>
      <c r="QQJ264" s="1"/>
      <c r="QQK264" s="1"/>
      <c r="QQL264" s="1"/>
      <c r="QQM264" s="1"/>
      <c r="QQN264" s="1"/>
      <c r="QQO264" s="1"/>
      <c r="QQP264" s="1"/>
      <c r="QQQ264" s="1"/>
      <c r="QQR264" s="1"/>
      <c r="QQS264" s="1"/>
      <c r="QQT264" s="1"/>
      <c r="QQU264" s="1"/>
      <c r="QQV264" s="1"/>
      <c r="QQW264" s="1"/>
      <c r="QQX264" s="1"/>
      <c r="QQY264" s="1"/>
      <c r="QQZ264" s="1"/>
      <c r="QRA264" s="1"/>
      <c r="QRB264" s="1"/>
      <c r="QRC264" s="1"/>
      <c r="QRD264" s="1"/>
      <c r="QRE264" s="1"/>
      <c r="QRF264" s="1"/>
      <c r="QRG264" s="1"/>
      <c r="QRH264" s="1"/>
      <c r="QRI264" s="1"/>
      <c r="QRJ264" s="1"/>
      <c r="QRK264" s="1"/>
      <c r="QRL264" s="1"/>
      <c r="QRM264" s="1"/>
      <c r="QRN264" s="1"/>
      <c r="QRO264" s="1"/>
      <c r="QRP264" s="1"/>
      <c r="QRQ264" s="1"/>
      <c r="QRR264" s="1"/>
      <c r="QRS264" s="1"/>
      <c r="QRT264" s="1"/>
      <c r="QRU264" s="1"/>
      <c r="QRV264" s="1"/>
      <c r="QRW264" s="1"/>
      <c r="QRX264" s="1"/>
      <c r="QRY264" s="1"/>
      <c r="QRZ264" s="1"/>
      <c r="QSA264" s="1"/>
      <c r="QSB264" s="1"/>
      <c r="QSC264" s="1"/>
      <c r="QSD264" s="1"/>
      <c r="QSE264" s="1"/>
      <c r="QSF264" s="1"/>
      <c r="QSG264" s="1"/>
      <c r="QSH264" s="1"/>
      <c r="QSI264" s="1"/>
      <c r="QSJ264" s="1"/>
      <c r="QSK264" s="1"/>
      <c r="QSL264" s="1"/>
      <c r="QSM264" s="1"/>
      <c r="QSN264" s="1"/>
      <c r="QSO264" s="1"/>
      <c r="QSP264" s="1"/>
      <c r="QSQ264" s="1"/>
      <c r="QSR264" s="1"/>
      <c r="QSS264" s="1"/>
      <c r="QST264" s="1"/>
      <c r="QSU264" s="1"/>
      <c r="QSV264" s="1"/>
      <c r="QSW264" s="1"/>
      <c r="QSX264" s="1"/>
      <c r="QSY264" s="1"/>
      <c r="QSZ264" s="1"/>
      <c r="QTA264" s="1"/>
      <c r="QTB264" s="1"/>
      <c r="QTC264" s="1"/>
      <c r="QTD264" s="1"/>
      <c r="QTE264" s="1"/>
      <c r="QTF264" s="1"/>
      <c r="QTG264" s="1"/>
      <c r="QTH264" s="1"/>
      <c r="QTI264" s="1"/>
      <c r="QTJ264" s="1"/>
      <c r="QTK264" s="1"/>
      <c r="QTL264" s="1"/>
      <c r="QTM264" s="1"/>
      <c r="QTN264" s="1"/>
      <c r="QTO264" s="1"/>
      <c r="QTP264" s="1"/>
      <c r="QTQ264" s="1"/>
      <c r="QTR264" s="1"/>
      <c r="QTS264" s="1"/>
      <c r="QTT264" s="1"/>
      <c r="QTU264" s="1"/>
      <c r="QTV264" s="1"/>
      <c r="QTW264" s="1"/>
      <c r="QTX264" s="1"/>
      <c r="QTY264" s="1"/>
      <c r="QTZ264" s="1"/>
      <c r="QUA264" s="1"/>
      <c r="QUB264" s="1"/>
      <c r="QUC264" s="1"/>
      <c r="QUD264" s="1"/>
      <c r="QUE264" s="1"/>
      <c r="QUF264" s="1"/>
      <c r="QUG264" s="1"/>
      <c r="QUH264" s="1"/>
      <c r="QUI264" s="1"/>
      <c r="QUJ264" s="1"/>
      <c r="QUK264" s="1"/>
      <c r="QUL264" s="1"/>
      <c r="QUM264" s="1"/>
      <c r="QUN264" s="1"/>
      <c r="QUO264" s="1"/>
      <c r="QUP264" s="1"/>
      <c r="QUQ264" s="1"/>
      <c r="QUR264" s="1"/>
      <c r="QUS264" s="1"/>
      <c r="QUT264" s="1"/>
      <c r="QUU264" s="1"/>
      <c r="QUV264" s="1"/>
      <c r="QUW264" s="1"/>
      <c r="QUX264" s="1"/>
      <c r="QUY264" s="1"/>
      <c r="QUZ264" s="1"/>
      <c r="QVA264" s="1"/>
      <c r="QVB264" s="1"/>
      <c r="QVC264" s="1"/>
      <c r="QVD264" s="1"/>
      <c r="QVE264" s="1"/>
      <c r="QVF264" s="1"/>
      <c r="QVG264" s="1"/>
      <c r="QVH264" s="1"/>
      <c r="QVI264" s="1"/>
      <c r="QVJ264" s="1"/>
      <c r="QVK264" s="1"/>
      <c r="QVL264" s="1"/>
      <c r="QVM264" s="1"/>
      <c r="QVN264" s="1"/>
      <c r="QVO264" s="1"/>
      <c r="QVP264" s="1"/>
      <c r="QVQ264" s="1"/>
      <c r="QVR264" s="1"/>
      <c r="QVS264" s="1"/>
      <c r="QVT264" s="1"/>
      <c r="QVU264" s="1"/>
      <c r="QVV264" s="1"/>
      <c r="QVW264" s="1"/>
      <c r="QVX264" s="1"/>
      <c r="QVY264" s="1"/>
      <c r="QVZ264" s="1"/>
      <c r="QWA264" s="1"/>
      <c r="QWB264" s="1"/>
      <c r="QWC264" s="1"/>
      <c r="QWD264" s="1"/>
      <c r="QWE264" s="1"/>
      <c r="QWF264" s="1"/>
      <c r="QWG264" s="1"/>
      <c r="QWH264" s="1"/>
      <c r="QWI264" s="1"/>
      <c r="QWJ264" s="1"/>
      <c r="QWK264" s="1"/>
      <c r="QWL264" s="1"/>
      <c r="QWM264" s="1"/>
      <c r="QWN264" s="1"/>
      <c r="QWO264" s="1"/>
      <c r="QWP264" s="1"/>
      <c r="QWQ264" s="1"/>
      <c r="QWR264" s="1"/>
      <c r="QWS264" s="1"/>
      <c r="QWT264" s="1"/>
      <c r="QWU264" s="1"/>
      <c r="QWV264" s="1"/>
      <c r="QWW264" s="1"/>
      <c r="QWX264" s="1"/>
      <c r="QWY264" s="1"/>
      <c r="QWZ264" s="1"/>
      <c r="QXA264" s="1"/>
      <c r="QXB264" s="1"/>
      <c r="QXC264" s="1"/>
      <c r="QXD264" s="1"/>
      <c r="QXE264" s="1"/>
      <c r="QXF264" s="1"/>
      <c r="QXG264" s="1"/>
      <c r="QXH264" s="1"/>
      <c r="QXI264" s="1"/>
      <c r="QXJ264" s="1"/>
      <c r="QXK264" s="1"/>
      <c r="QXL264" s="1"/>
      <c r="QXM264" s="1"/>
      <c r="QXN264" s="1"/>
      <c r="QXO264" s="1"/>
      <c r="QXP264" s="1"/>
      <c r="QXQ264" s="1"/>
      <c r="QXR264" s="1"/>
      <c r="QXS264" s="1"/>
      <c r="QXT264" s="1"/>
      <c r="QXU264" s="1"/>
      <c r="QXV264" s="1"/>
      <c r="QXW264" s="1"/>
      <c r="QXX264" s="1"/>
      <c r="QXY264" s="1"/>
      <c r="QXZ264" s="1"/>
      <c r="QYA264" s="1"/>
      <c r="QYB264" s="1"/>
      <c r="QYC264" s="1"/>
      <c r="QYD264" s="1"/>
      <c r="QYE264" s="1"/>
      <c r="QYF264" s="1"/>
      <c r="QYG264" s="1"/>
      <c r="QYH264" s="1"/>
      <c r="QYI264" s="1"/>
      <c r="QYJ264" s="1"/>
      <c r="QYK264" s="1"/>
      <c r="QYL264" s="1"/>
      <c r="QYM264" s="1"/>
      <c r="QYN264" s="1"/>
      <c r="QYO264" s="1"/>
      <c r="QYP264" s="1"/>
      <c r="QYQ264" s="1"/>
      <c r="QYR264" s="1"/>
      <c r="QYS264" s="1"/>
      <c r="QYT264" s="1"/>
      <c r="QYU264" s="1"/>
      <c r="QYV264" s="1"/>
      <c r="QYW264" s="1"/>
      <c r="QYX264" s="1"/>
      <c r="QYY264" s="1"/>
      <c r="QYZ264" s="1"/>
      <c r="QZA264" s="1"/>
      <c r="QZB264" s="1"/>
      <c r="QZC264" s="1"/>
      <c r="QZD264" s="1"/>
      <c r="QZE264" s="1"/>
      <c r="QZF264" s="1"/>
      <c r="QZG264" s="1"/>
      <c r="QZH264" s="1"/>
      <c r="QZI264" s="1"/>
      <c r="QZJ264" s="1"/>
      <c r="QZK264" s="1"/>
      <c r="QZL264" s="1"/>
      <c r="QZM264" s="1"/>
      <c r="QZN264" s="1"/>
      <c r="QZO264" s="1"/>
      <c r="QZP264" s="1"/>
      <c r="QZQ264" s="1"/>
      <c r="QZR264" s="1"/>
      <c r="QZS264" s="1"/>
      <c r="QZT264" s="1"/>
      <c r="QZU264" s="1"/>
      <c r="QZV264" s="1"/>
      <c r="QZW264" s="1"/>
      <c r="QZX264" s="1"/>
      <c r="QZY264" s="1"/>
      <c r="QZZ264" s="1"/>
      <c r="RAA264" s="1"/>
      <c r="RAB264" s="1"/>
      <c r="RAC264" s="1"/>
      <c r="RAD264" s="1"/>
      <c r="RAE264" s="1"/>
      <c r="RAF264" s="1"/>
      <c r="RAG264" s="1"/>
      <c r="RAH264" s="1"/>
      <c r="RAI264" s="1"/>
      <c r="RAJ264" s="1"/>
      <c r="RAK264" s="1"/>
      <c r="RAL264" s="1"/>
      <c r="RAM264" s="1"/>
      <c r="RAN264" s="1"/>
      <c r="RAO264" s="1"/>
      <c r="RAP264" s="1"/>
      <c r="RAQ264" s="1"/>
      <c r="RAR264" s="1"/>
      <c r="RAS264" s="1"/>
      <c r="RAT264" s="1"/>
      <c r="RAU264" s="1"/>
      <c r="RAV264" s="1"/>
      <c r="RAW264" s="1"/>
      <c r="RAX264" s="1"/>
      <c r="RAY264" s="1"/>
      <c r="RAZ264" s="1"/>
      <c r="RBA264" s="1"/>
      <c r="RBB264" s="1"/>
      <c r="RBC264" s="1"/>
      <c r="RBD264" s="1"/>
      <c r="RBE264" s="1"/>
      <c r="RBF264" s="1"/>
      <c r="RBG264" s="1"/>
      <c r="RBH264" s="1"/>
      <c r="RBI264" s="1"/>
      <c r="RBJ264" s="1"/>
      <c r="RBK264" s="1"/>
      <c r="RBL264" s="1"/>
      <c r="RBM264" s="1"/>
      <c r="RBN264" s="1"/>
      <c r="RBO264" s="1"/>
      <c r="RBP264" s="1"/>
      <c r="RBQ264" s="1"/>
      <c r="RBR264" s="1"/>
      <c r="RBS264" s="1"/>
      <c r="RBT264" s="1"/>
      <c r="RBU264" s="1"/>
      <c r="RBV264" s="1"/>
      <c r="RBW264" s="1"/>
      <c r="RBX264" s="1"/>
      <c r="RBY264" s="1"/>
      <c r="RBZ264" s="1"/>
      <c r="RCA264" s="1"/>
      <c r="RCB264" s="1"/>
      <c r="RCC264" s="1"/>
      <c r="RCD264" s="1"/>
      <c r="RCE264" s="1"/>
      <c r="RCF264" s="1"/>
      <c r="RCG264" s="1"/>
      <c r="RCH264" s="1"/>
      <c r="RCI264" s="1"/>
      <c r="RCJ264" s="1"/>
      <c r="RCK264" s="1"/>
      <c r="RCL264" s="1"/>
      <c r="RCM264" s="1"/>
      <c r="RCN264" s="1"/>
      <c r="RCO264" s="1"/>
      <c r="RCP264" s="1"/>
      <c r="RCQ264" s="1"/>
      <c r="RCR264" s="1"/>
      <c r="RCS264" s="1"/>
      <c r="RCT264" s="1"/>
      <c r="RCU264" s="1"/>
      <c r="RCV264" s="1"/>
      <c r="RCW264" s="1"/>
      <c r="RCX264" s="1"/>
      <c r="RCY264" s="1"/>
      <c r="RCZ264" s="1"/>
      <c r="RDA264" s="1"/>
      <c r="RDB264" s="1"/>
      <c r="RDC264" s="1"/>
      <c r="RDD264" s="1"/>
      <c r="RDE264" s="1"/>
      <c r="RDF264" s="1"/>
      <c r="RDG264" s="1"/>
      <c r="RDH264" s="1"/>
      <c r="RDI264" s="1"/>
      <c r="RDJ264" s="1"/>
      <c r="RDK264" s="1"/>
      <c r="RDL264" s="1"/>
      <c r="RDM264" s="1"/>
      <c r="RDN264" s="1"/>
      <c r="RDO264" s="1"/>
      <c r="RDP264" s="1"/>
      <c r="RDQ264" s="1"/>
      <c r="RDR264" s="1"/>
      <c r="RDS264" s="1"/>
      <c r="RDT264" s="1"/>
      <c r="RDU264" s="1"/>
      <c r="RDV264" s="1"/>
      <c r="RDW264" s="1"/>
      <c r="RDX264" s="1"/>
      <c r="RDY264" s="1"/>
      <c r="RDZ264" s="1"/>
      <c r="REA264" s="1"/>
      <c r="REB264" s="1"/>
      <c r="REC264" s="1"/>
      <c r="RED264" s="1"/>
      <c r="REE264" s="1"/>
      <c r="REF264" s="1"/>
      <c r="REG264" s="1"/>
      <c r="REH264" s="1"/>
      <c r="REI264" s="1"/>
      <c r="REJ264" s="1"/>
      <c r="REK264" s="1"/>
      <c r="REL264" s="1"/>
      <c r="REM264" s="1"/>
      <c r="REN264" s="1"/>
      <c r="REO264" s="1"/>
      <c r="REP264" s="1"/>
      <c r="REQ264" s="1"/>
      <c r="RER264" s="1"/>
      <c r="RES264" s="1"/>
      <c r="RET264" s="1"/>
      <c r="REU264" s="1"/>
      <c r="REV264" s="1"/>
      <c r="REW264" s="1"/>
      <c r="REX264" s="1"/>
      <c r="REY264" s="1"/>
      <c r="REZ264" s="1"/>
      <c r="RFA264" s="1"/>
      <c r="RFB264" s="1"/>
      <c r="RFC264" s="1"/>
      <c r="RFD264" s="1"/>
      <c r="RFE264" s="1"/>
      <c r="RFF264" s="1"/>
      <c r="RFG264" s="1"/>
      <c r="RFH264" s="1"/>
      <c r="RFI264" s="1"/>
      <c r="RFJ264" s="1"/>
      <c r="RFK264" s="1"/>
      <c r="RFL264" s="1"/>
      <c r="RFM264" s="1"/>
      <c r="RFN264" s="1"/>
      <c r="RFO264" s="1"/>
      <c r="RFP264" s="1"/>
      <c r="RFQ264" s="1"/>
      <c r="RFR264" s="1"/>
      <c r="RFS264" s="1"/>
      <c r="RFT264" s="1"/>
      <c r="RFU264" s="1"/>
      <c r="RFV264" s="1"/>
      <c r="RFW264" s="1"/>
      <c r="RFX264" s="1"/>
      <c r="RFY264" s="1"/>
      <c r="RFZ264" s="1"/>
      <c r="RGA264" s="1"/>
      <c r="RGB264" s="1"/>
      <c r="RGC264" s="1"/>
      <c r="RGD264" s="1"/>
      <c r="RGE264" s="1"/>
      <c r="RGF264" s="1"/>
      <c r="RGG264" s="1"/>
      <c r="RGH264" s="1"/>
      <c r="RGI264" s="1"/>
      <c r="RGJ264" s="1"/>
      <c r="RGK264" s="1"/>
      <c r="RGL264" s="1"/>
      <c r="RGM264" s="1"/>
      <c r="RGN264" s="1"/>
      <c r="RGO264" s="1"/>
      <c r="RGP264" s="1"/>
      <c r="RGQ264" s="1"/>
      <c r="RGR264" s="1"/>
      <c r="RGS264" s="1"/>
      <c r="RGT264" s="1"/>
      <c r="RGU264" s="1"/>
      <c r="RGV264" s="1"/>
      <c r="RGW264" s="1"/>
      <c r="RGX264" s="1"/>
      <c r="RGY264" s="1"/>
      <c r="RGZ264" s="1"/>
      <c r="RHA264" s="1"/>
      <c r="RHB264" s="1"/>
      <c r="RHC264" s="1"/>
      <c r="RHD264" s="1"/>
      <c r="RHE264" s="1"/>
      <c r="RHF264" s="1"/>
      <c r="RHG264" s="1"/>
      <c r="RHH264" s="1"/>
      <c r="RHI264" s="1"/>
      <c r="RHJ264" s="1"/>
      <c r="RHK264" s="1"/>
      <c r="RHL264" s="1"/>
      <c r="RHM264" s="1"/>
      <c r="RHN264" s="1"/>
      <c r="RHO264" s="1"/>
      <c r="RHP264" s="1"/>
      <c r="RHQ264" s="1"/>
      <c r="RHR264" s="1"/>
      <c r="RHS264" s="1"/>
      <c r="RHT264" s="1"/>
      <c r="RHU264" s="1"/>
      <c r="RHV264" s="1"/>
      <c r="RHW264" s="1"/>
      <c r="RHX264" s="1"/>
      <c r="RHY264" s="1"/>
      <c r="RHZ264" s="1"/>
      <c r="RIA264" s="1"/>
      <c r="RIB264" s="1"/>
      <c r="RIC264" s="1"/>
      <c r="RID264" s="1"/>
      <c r="RIE264" s="1"/>
      <c r="RIF264" s="1"/>
      <c r="RIG264" s="1"/>
      <c r="RIH264" s="1"/>
      <c r="RII264" s="1"/>
      <c r="RIJ264" s="1"/>
      <c r="RIK264" s="1"/>
      <c r="RIL264" s="1"/>
      <c r="RIM264" s="1"/>
      <c r="RIN264" s="1"/>
      <c r="RIO264" s="1"/>
      <c r="RIP264" s="1"/>
      <c r="RIQ264" s="1"/>
      <c r="RIR264" s="1"/>
      <c r="RIS264" s="1"/>
      <c r="RIT264" s="1"/>
      <c r="RIU264" s="1"/>
      <c r="RIV264" s="1"/>
      <c r="RIW264" s="1"/>
      <c r="RIX264" s="1"/>
      <c r="RIY264" s="1"/>
      <c r="RIZ264" s="1"/>
      <c r="RJA264" s="1"/>
      <c r="RJB264" s="1"/>
      <c r="RJC264" s="1"/>
      <c r="RJD264" s="1"/>
      <c r="RJE264" s="1"/>
      <c r="RJF264" s="1"/>
      <c r="RJG264" s="1"/>
      <c r="RJH264" s="1"/>
      <c r="RJI264" s="1"/>
      <c r="RJJ264" s="1"/>
      <c r="RJK264" s="1"/>
      <c r="RJL264" s="1"/>
      <c r="RJM264" s="1"/>
      <c r="RJN264" s="1"/>
      <c r="RJO264" s="1"/>
      <c r="RJP264" s="1"/>
      <c r="RJQ264" s="1"/>
      <c r="RJR264" s="1"/>
      <c r="RJS264" s="1"/>
      <c r="RJT264" s="1"/>
      <c r="RJU264" s="1"/>
      <c r="RJV264" s="1"/>
      <c r="RJW264" s="1"/>
      <c r="RJX264" s="1"/>
      <c r="RJY264" s="1"/>
      <c r="RJZ264" s="1"/>
      <c r="RKA264" s="1"/>
      <c r="RKB264" s="1"/>
      <c r="RKC264" s="1"/>
      <c r="RKD264" s="1"/>
      <c r="RKE264" s="1"/>
      <c r="RKF264" s="1"/>
      <c r="RKG264" s="1"/>
      <c r="RKH264" s="1"/>
      <c r="RKI264" s="1"/>
      <c r="RKJ264" s="1"/>
      <c r="RKK264" s="1"/>
      <c r="RKL264" s="1"/>
      <c r="RKM264" s="1"/>
      <c r="RKN264" s="1"/>
      <c r="RKO264" s="1"/>
      <c r="RKP264" s="1"/>
      <c r="RKQ264" s="1"/>
      <c r="RKR264" s="1"/>
      <c r="RKS264" s="1"/>
      <c r="RKT264" s="1"/>
      <c r="RKU264" s="1"/>
      <c r="RKV264" s="1"/>
      <c r="RKW264" s="1"/>
      <c r="RKX264" s="1"/>
      <c r="RKY264" s="1"/>
      <c r="RKZ264" s="1"/>
      <c r="RLA264" s="1"/>
      <c r="RLB264" s="1"/>
      <c r="RLC264" s="1"/>
      <c r="RLD264" s="1"/>
      <c r="RLE264" s="1"/>
      <c r="RLF264" s="1"/>
      <c r="RLG264" s="1"/>
      <c r="RLH264" s="1"/>
      <c r="RLI264" s="1"/>
      <c r="RLJ264" s="1"/>
      <c r="RLK264" s="1"/>
      <c r="RLL264" s="1"/>
      <c r="RLM264" s="1"/>
      <c r="RLN264" s="1"/>
      <c r="RLO264" s="1"/>
      <c r="RLP264" s="1"/>
      <c r="RLQ264" s="1"/>
      <c r="RLR264" s="1"/>
      <c r="RLS264" s="1"/>
      <c r="RLT264" s="1"/>
      <c r="RLU264" s="1"/>
      <c r="RLV264" s="1"/>
      <c r="RLW264" s="1"/>
      <c r="RLX264" s="1"/>
      <c r="RLY264" s="1"/>
      <c r="RLZ264" s="1"/>
      <c r="RMA264" s="1"/>
      <c r="RMB264" s="1"/>
      <c r="RMC264" s="1"/>
      <c r="RMD264" s="1"/>
      <c r="RME264" s="1"/>
      <c r="RMF264" s="1"/>
      <c r="RMG264" s="1"/>
      <c r="RMH264" s="1"/>
      <c r="RMI264" s="1"/>
      <c r="RMJ264" s="1"/>
      <c r="RMK264" s="1"/>
      <c r="RML264" s="1"/>
      <c r="RMM264" s="1"/>
      <c r="RMN264" s="1"/>
      <c r="RMO264" s="1"/>
      <c r="RMP264" s="1"/>
      <c r="RMQ264" s="1"/>
      <c r="RMR264" s="1"/>
      <c r="RMS264" s="1"/>
      <c r="RMT264" s="1"/>
      <c r="RMU264" s="1"/>
      <c r="RMV264" s="1"/>
      <c r="RMW264" s="1"/>
      <c r="RMX264" s="1"/>
      <c r="RMY264" s="1"/>
      <c r="RMZ264" s="1"/>
      <c r="RNA264" s="1"/>
      <c r="RNB264" s="1"/>
      <c r="RNC264" s="1"/>
      <c r="RND264" s="1"/>
      <c r="RNE264" s="1"/>
      <c r="RNF264" s="1"/>
      <c r="RNG264" s="1"/>
      <c r="RNH264" s="1"/>
      <c r="RNI264" s="1"/>
      <c r="RNJ264" s="1"/>
      <c r="RNK264" s="1"/>
      <c r="RNL264" s="1"/>
      <c r="RNM264" s="1"/>
      <c r="RNN264" s="1"/>
      <c r="RNO264" s="1"/>
      <c r="RNP264" s="1"/>
      <c r="RNQ264" s="1"/>
      <c r="RNR264" s="1"/>
      <c r="RNS264" s="1"/>
      <c r="RNT264" s="1"/>
      <c r="RNU264" s="1"/>
      <c r="RNV264" s="1"/>
      <c r="RNW264" s="1"/>
      <c r="RNX264" s="1"/>
      <c r="RNY264" s="1"/>
      <c r="RNZ264" s="1"/>
      <c r="ROA264" s="1"/>
      <c r="ROB264" s="1"/>
      <c r="ROC264" s="1"/>
      <c r="ROD264" s="1"/>
      <c r="ROE264" s="1"/>
      <c r="ROF264" s="1"/>
      <c r="ROG264" s="1"/>
      <c r="ROH264" s="1"/>
      <c r="ROI264" s="1"/>
      <c r="ROJ264" s="1"/>
      <c r="ROK264" s="1"/>
      <c r="ROL264" s="1"/>
      <c r="ROM264" s="1"/>
      <c r="RON264" s="1"/>
      <c r="ROO264" s="1"/>
      <c r="ROP264" s="1"/>
      <c r="ROQ264" s="1"/>
      <c r="ROR264" s="1"/>
      <c r="ROS264" s="1"/>
      <c r="ROT264" s="1"/>
      <c r="ROU264" s="1"/>
      <c r="ROV264" s="1"/>
      <c r="ROW264" s="1"/>
      <c r="ROX264" s="1"/>
      <c r="ROY264" s="1"/>
      <c r="ROZ264" s="1"/>
      <c r="RPA264" s="1"/>
      <c r="RPB264" s="1"/>
      <c r="RPC264" s="1"/>
      <c r="RPD264" s="1"/>
      <c r="RPE264" s="1"/>
      <c r="RPF264" s="1"/>
      <c r="RPG264" s="1"/>
      <c r="RPH264" s="1"/>
      <c r="RPI264" s="1"/>
      <c r="RPJ264" s="1"/>
      <c r="RPK264" s="1"/>
      <c r="RPL264" s="1"/>
      <c r="RPM264" s="1"/>
      <c r="RPN264" s="1"/>
      <c r="RPO264" s="1"/>
      <c r="RPP264" s="1"/>
      <c r="RPQ264" s="1"/>
      <c r="RPR264" s="1"/>
      <c r="RPS264" s="1"/>
      <c r="RPT264" s="1"/>
      <c r="RPU264" s="1"/>
      <c r="RPV264" s="1"/>
      <c r="RPW264" s="1"/>
      <c r="RPX264" s="1"/>
      <c r="RPY264" s="1"/>
      <c r="RPZ264" s="1"/>
      <c r="RQA264" s="1"/>
      <c r="RQB264" s="1"/>
      <c r="RQC264" s="1"/>
      <c r="RQD264" s="1"/>
      <c r="RQE264" s="1"/>
      <c r="RQF264" s="1"/>
      <c r="RQG264" s="1"/>
      <c r="RQH264" s="1"/>
      <c r="RQI264" s="1"/>
      <c r="RQJ264" s="1"/>
      <c r="RQK264" s="1"/>
      <c r="RQL264" s="1"/>
      <c r="RQM264" s="1"/>
      <c r="RQN264" s="1"/>
      <c r="RQO264" s="1"/>
      <c r="RQP264" s="1"/>
      <c r="RQQ264" s="1"/>
      <c r="RQR264" s="1"/>
      <c r="RQS264" s="1"/>
      <c r="RQT264" s="1"/>
      <c r="RQU264" s="1"/>
      <c r="RQV264" s="1"/>
      <c r="RQW264" s="1"/>
      <c r="RQX264" s="1"/>
      <c r="RQY264" s="1"/>
      <c r="RQZ264" s="1"/>
      <c r="RRA264" s="1"/>
      <c r="RRB264" s="1"/>
      <c r="RRC264" s="1"/>
      <c r="RRD264" s="1"/>
      <c r="RRE264" s="1"/>
      <c r="RRF264" s="1"/>
      <c r="RRG264" s="1"/>
      <c r="RRH264" s="1"/>
      <c r="RRI264" s="1"/>
      <c r="RRJ264" s="1"/>
      <c r="RRK264" s="1"/>
      <c r="RRL264" s="1"/>
      <c r="RRM264" s="1"/>
      <c r="RRN264" s="1"/>
      <c r="RRO264" s="1"/>
      <c r="RRP264" s="1"/>
      <c r="RRQ264" s="1"/>
      <c r="RRR264" s="1"/>
      <c r="RRS264" s="1"/>
      <c r="RRT264" s="1"/>
      <c r="RRU264" s="1"/>
      <c r="RRV264" s="1"/>
      <c r="RRW264" s="1"/>
      <c r="RRX264" s="1"/>
      <c r="RRY264" s="1"/>
      <c r="RRZ264" s="1"/>
      <c r="RSA264" s="1"/>
      <c r="RSB264" s="1"/>
      <c r="RSC264" s="1"/>
      <c r="RSD264" s="1"/>
      <c r="RSE264" s="1"/>
      <c r="RSF264" s="1"/>
      <c r="RSG264" s="1"/>
      <c r="RSH264" s="1"/>
      <c r="RSI264" s="1"/>
      <c r="RSJ264" s="1"/>
      <c r="RSK264" s="1"/>
      <c r="RSL264" s="1"/>
      <c r="RSM264" s="1"/>
      <c r="RSN264" s="1"/>
      <c r="RSO264" s="1"/>
      <c r="RSP264" s="1"/>
      <c r="RSQ264" s="1"/>
      <c r="RSR264" s="1"/>
      <c r="RSS264" s="1"/>
      <c r="RST264" s="1"/>
      <c r="RSU264" s="1"/>
      <c r="RSV264" s="1"/>
      <c r="RSW264" s="1"/>
      <c r="RSX264" s="1"/>
      <c r="RSY264" s="1"/>
      <c r="RSZ264" s="1"/>
      <c r="RTA264" s="1"/>
      <c r="RTB264" s="1"/>
      <c r="RTC264" s="1"/>
      <c r="RTD264" s="1"/>
      <c r="RTE264" s="1"/>
      <c r="RTF264" s="1"/>
      <c r="RTG264" s="1"/>
      <c r="RTH264" s="1"/>
      <c r="RTI264" s="1"/>
      <c r="RTJ264" s="1"/>
      <c r="RTK264" s="1"/>
      <c r="RTL264" s="1"/>
      <c r="RTM264" s="1"/>
      <c r="RTN264" s="1"/>
      <c r="RTO264" s="1"/>
      <c r="RTP264" s="1"/>
      <c r="RTQ264" s="1"/>
      <c r="RTR264" s="1"/>
      <c r="RTS264" s="1"/>
      <c r="RTT264" s="1"/>
      <c r="RTU264" s="1"/>
      <c r="RTV264" s="1"/>
      <c r="RTW264" s="1"/>
      <c r="RTX264" s="1"/>
      <c r="RTY264" s="1"/>
      <c r="RTZ264" s="1"/>
      <c r="RUA264" s="1"/>
      <c r="RUB264" s="1"/>
      <c r="RUC264" s="1"/>
      <c r="RUD264" s="1"/>
      <c r="RUE264" s="1"/>
      <c r="RUF264" s="1"/>
      <c r="RUG264" s="1"/>
      <c r="RUH264" s="1"/>
      <c r="RUI264" s="1"/>
      <c r="RUJ264" s="1"/>
      <c r="RUK264" s="1"/>
      <c r="RUL264" s="1"/>
      <c r="RUM264" s="1"/>
      <c r="RUN264" s="1"/>
      <c r="RUO264" s="1"/>
      <c r="RUP264" s="1"/>
      <c r="RUQ264" s="1"/>
      <c r="RUR264" s="1"/>
      <c r="RUS264" s="1"/>
      <c r="RUT264" s="1"/>
      <c r="RUU264" s="1"/>
      <c r="RUV264" s="1"/>
      <c r="RUW264" s="1"/>
      <c r="RUX264" s="1"/>
      <c r="RUY264" s="1"/>
      <c r="RUZ264" s="1"/>
      <c r="RVA264" s="1"/>
      <c r="RVB264" s="1"/>
      <c r="RVC264" s="1"/>
      <c r="RVD264" s="1"/>
      <c r="RVE264" s="1"/>
      <c r="RVF264" s="1"/>
      <c r="RVG264" s="1"/>
      <c r="RVH264" s="1"/>
      <c r="RVI264" s="1"/>
      <c r="RVJ264" s="1"/>
      <c r="RVK264" s="1"/>
      <c r="RVL264" s="1"/>
      <c r="RVM264" s="1"/>
      <c r="RVN264" s="1"/>
      <c r="RVO264" s="1"/>
      <c r="RVP264" s="1"/>
      <c r="RVQ264" s="1"/>
      <c r="RVR264" s="1"/>
      <c r="RVS264" s="1"/>
      <c r="RVT264" s="1"/>
      <c r="RVU264" s="1"/>
      <c r="RVV264" s="1"/>
      <c r="RVW264" s="1"/>
      <c r="RVX264" s="1"/>
      <c r="RVY264" s="1"/>
      <c r="RVZ264" s="1"/>
      <c r="RWA264" s="1"/>
      <c r="RWB264" s="1"/>
      <c r="RWC264" s="1"/>
      <c r="RWD264" s="1"/>
      <c r="RWE264" s="1"/>
      <c r="RWF264" s="1"/>
      <c r="RWG264" s="1"/>
      <c r="RWH264" s="1"/>
      <c r="RWI264" s="1"/>
      <c r="RWJ264" s="1"/>
      <c r="RWK264" s="1"/>
      <c r="RWL264" s="1"/>
      <c r="RWM264" s="1"/>
      <c r="RWN264" s="1"/>
      <c r="RWO264" s="1"/>
      <c r="RWP264" s="1"/>
      <c r="RWQ264" s="1"/>
      <c r="RWR264" s="1"/>
      <c r="RWS264" s="1"/>
      <c r="RWT264" s="1"/>
      <c r="RWU264" s="1"/>
      <c r="RWV264" s="1"/>
      <c r="RWW264" s="1"/>
      <c r="RWX264" s="1"/>
      <c r="RWY264" s="1"/>
      <c r="RWZ264" s="1"/>
      <c r="RXA264" s="1"/>
      <c r="RXB264" s="1"/>
      <c r="RXC264" s="1"/>
      <c r="RXD264" s="1"/>
      <c r="RXE264" s="1"/>
      <c r="RXF264" s="1"/>
      <c r="RXG264" s="1"/>
      <c r="RXH264" s="1"/>
      <c r="RXI264" s="1"/>
      <c r="RXJ264" s="1"/>
      <c r="RXK264" s="1"/>
      <c r="RXL264" s="1"/>
      <c r="RXM264" s="1"/>
      <c r="RXN264" s="1"/>
      <c r="RXO264" s="1"/>
      <c r="RXP264" s="1"/>
      <c r="RXQ264" s="1"/>
      <c r="RXR264" s="1"/>
      <c r="RXS264" s="1"/>
      <c r="RXT264" s="1"/>
      <c r="RXU264" s="1"/>
      <c r="RXV264" s="1"/>
      <c r="RXW264" s="1"/>
      <c r="RXX264" s="1"/>
      <c r="RXY264" s="1"/>
      <c r="RXZ264" s="1"/>
      <c r="RYA264" s="1"/>
      <c r="RYB264" s="1"/>
      <c r="RYC264" s="1"/>
      <c r="RYD264" s="1"/>
      <c r="RYE264" s="1"/>
      <c r="RYF264" s="1"/>
      <c r="RYG264" s="1"/>
      <c r="RYH264" s="1"/>
      <c r="RYI264" s="1"/>
      <c r="RYJ264" s="1"/>
      <c r="RYK264" s="1"/>
      <c r="RYL264" s="1"/>
      <c r="RYM264" s="1"/>
      <c r="RYN264" s="1"/>
      <c r="RYO264" s="1"/>
      <c r="RYP264" s="1"/>
      <c r="RYQ264" s="1"/>
      <c r="RYR264" s="1"/>
      <c r="RYS264" s="1"/>
      <c r="RYT264" s="1"/>
      <c r="RYU264" s="1"/>
      <c r="RYV264" s="1"/>
      <c r="RYW264" s="1"/>
      <c r="RYX264" s="1"/>
      <c r="RYY264" s="1"/>
      <c r="RYZ264" s="1"/>
      <c r="RZA264" s="1"/>
      <c r="RZB264" s="1"/>
      <c r="RZC264" s="1"/>
      <c r="RZD264" s="1"/>
      <c r="RZE264" s="1"/>
      <c r="RZF264" s="1"/>
      <c r="RZG264" s="1"/>
      <c r="RZH264" s="1"/>
      <c r="RZI264" s="1"/>
      <c r="RZJ264" s="1"/>
      <c r="RZK264" s="1"/>
      <c r="RZL264" s="1"/>
      <c r="RZM264" s="1"/>
      <c r="RZN264" s="1"/>
      <c r="RZO264" s="1"/>
      <c r="RZP264" s="1"/>
      <c r="RZQ264" s="1"/>
      <c r="RZR264" s="1"/>
      <c r="RZS264" s="1"/>
      <c r="RZT264" s="1"/>
      <c r="RZU264" s="1"/>
      <c r="RZV264" s="1"/>
      <c r="RZW264" s="1"/>
      <c r="RZX264" s="1"/>
      <c r="RZY264" s="1"/>
      <c r="RZZ264" s="1"/>
      <c r="SAA264" s="1"/>
      <c r="SAB264" s="1"/>
      <c r="SAC264" s="1"/>
      <c r="SAD264" s="1"/>
      <c r="SAE264" s="1"/>
      <c r="SAF264" s="1"/>
      <c r="SAG264" s="1"/>
      <c r="SAH264" s="1"/>
      <c r="SAI264" s="1"/>
      <c r="SAJ264" s="1"/>
      <c r="SAK264" s="1"/>
      <c r="SAL264" s="1"/>
      <c r="SAM264" s="1"/>
      <c r="SAN264" s="1"/>
      <c r="SAO264" s="1"/>
      <c r="SAP264" s="1"/>
      <c r="SAQ264" s="1"/>
      <c r="SAR264" s="1"/>
      <c r="SAS264" s="1"/>
      <c r="SAT264" s="1"/>
      <c r="SAU264" s="1"/>
      <c r="SAV264" s="1"/>
      <c r="SAW264" s="1"/>
      <c r="SAX264" s="1"/>
      <c r="SAY264" s="1"/>
      <c r="SAZ264" s="1"/>
      <c r="SBA264" s="1"/>
      <c r="SBB264" s="1"/>
      <c r="SBC264" s="1"/>
      <c r="SBD264" s="1"/>
      <c r="SBE264" s="1"/>
      <c r="SBF264" s="1"/>
      <c r="SBG264" s="1"/>
      <c r="SBH264" s="1"/>
      <c r="SBI264" s="1"/>
      <c r="SBJ264" s="1"/>
      <c r="SBK264" s="1"/>
      <c r="SBL264" s="1"/>
      <c r="SBM264" s="1"/>
      <c r="SBN264" s="1"/>
      <c r="SBO264" s="1"/>
      <c r="SBP264" s="1"/>
      <c r="SBQ264" s="1"/>
      <c r="SBR264" s="1"/>
      <c r="SBS264" s="1"/>
      <c r="SBT264" s="1"/>
      <c r="SBU264" s="1"/>
      <c r="SBV264" s="1"/>
      <c r="SBW264" s="1"/>
      <c r="SBX264" s="1"/>
      <c r="SBY264" s="1"/>
      <c r="SBZ264" s="1"/>
      <c r="SCA264" s="1"/>
      <c r="SCB264" s="1"/>
      <c r="SCC264" s="1"/>
      <c r="SCD264" s="1"/>
      <c r="SCE264" s="1"/>
      <c r="SCF264" s="1"/>
      <c r="SCG264" s="1"/>
      <c r="SCH264" s="1"/>
      <c r="SCI264" s="1"/>
      <c r="SCJ264" s="1"/>
      <c r="SCK264" s="1"/>
      <c r="SCL264" s="1"/>
      <c r="SCM264" s="1"/>
      <c r="SCN264" s="1"/>
      <c r="SCO264" s="1"/>
      <c r="SCP264" s="1"/>
      <c r="SCQ264" s="1"/>
      <c r="SCR264" s="1"/>
      <c r="SCS264" s="1"/>
      <c r="SCT264" s="1"/>
      <c r="SCU264" s="1"/>
      <c r="SCV264" s="1"/>
      <c r="SCW264" s="1"/>
      <c r="SCX264" s="1"/>
      <c r="SCY264" s="1"/>
      <c r="SCZ264" s="1"/>
      <c r="SDA264" s="1"/>
      <c r="SDB264" s="1"/>
      <c r="SDC264" s="1"/>
      <c r="SDD264" s="1"/>
      <c r="SDE264" s="1"/>
      <c r="SDF264" s="1"/>
      <c r="SDG264" s="1"/>
      <c r="SDH264" s="1"/>
      <c r="SDI264" s="1"/>
      <c r="SDJ264" s="1"/>
      <c r="SDK264" s="1"/>
      <c r="SDL264" s="1"/>
      <c r="SDM264" s="1"/>
      <c r="SDN264" s="1"/>
      <c r="SDO264" s="1"/>
      <c r="SDP264" s="1"/>
      <c r="SDQ264" s="1"/>
      <c r="SDR264" s="1"/>
      <c r="SDS264" s="1"/>
      <c r="SDT264" s="1"/>
      <c r="SDU264" s="1"/>
      <c r="SDV264" s="1"/>
      <c r="SDW264" s="1"/>
      <c r="SDX264" s="1"/>
      <c r="SDY264" s="1"/>
      <c r="SDZ264" s="1"/>
      <c r="SEA264" s="1"/>
      <c r="SEB264" s="1"/>
      <c r="SEC264" s="1"/>
      <c r="SED264" s="1"/>
      <c r="SEE264" s="1"/>
      <c r="SEF264" s="1"/>
      <c r="SEG264" s="1"/>
      <c r="SEH264" s="1"/>
      <c r="SEI264" s="1"/>
      <c r="SEJ264" s="1"/>
      <c r="SEK264" s="1"/>
      <c r="SEL264" s="1"/>
      <c r="SEM264" s="1"/>
      <c r="SEN264" s="1"/>
      <c r="SEO264" s="1"/>
      <c r="SEP264" s="1"/>
      <c r="SEQ264" s="1"/>
      <c r="SER264" s="1"/>
      <c r="SES264" s="1"/>
      <c r="SET264" s="1"/>
      <c r="SEU264" s="1"/>
      <c r="SEV264" s="1"/>
      <c r="SEW264" s="1"/>
      <c r="SEX264" s="1"/>
      <c r="SEY264" s="1"/>
      <c r="SEZ264" s="1"/>
      <c r="SFA264" s="1"/>
      <c r="SFB264" s="1"/>
      <c r="SFC264" s="1"/>
      <c r="SFD264" s="1"/>
      <c r="SFE264" s="1"/>
      <c r="SFF264" s="1"/>
      <c r="SFG264" s="1"/>
      <c r="SFH264" s="1"/>
      <c r="SFI264" s="1"/>
      <c r="SFJ264" s="1"/>
      <c r="SFK264" s="1"/>
      <c r="SFL264" s="1"/>
      <c r="SFM264" s="1"/>
      <c r="SFN264" s="1"/>
      <c r="SFO264" s="1"/>
      <c r="SFP264" s="1"/>
      <c r="SFQ264" s="1"/>
      <c r="SFR264" s="1"/>
      <c r="SFS264" s="1"/>
      <c r="SFT264" s="1"/>
      <c r="SFU264" s="1"/>
      <c r="SFV264" s="1"/>
      <c r="SFW264" s="1"/>
      <c r="SFX264" s="1"/>
      <c r="SFY264" s="1"/>
      <c r="SFZ264" s="1"/>
      <c r="SGA264" s="1"/>
      <c r="SGB264" s="1"/>
      <c r="SGC264" s="1"/>
      <c r="SGD264" s="1"/>
      <c r="SGE264" s="1"/>
      <c r="SGF264" s="1"/>
      <c r="SGG264" s="1"/>
      <c r="SGH264" s="1"/>
      <c r="SGI264" s="1"/>
      <c r="SGJ264" s="1"/>
      <c r="SGK264" s="1"/>
      <c r="SGL264" s="1"/>
      <c r="SGM264" s="1"/>
      <c r="SGN264" s="1"/>
      <c r="SGO264" s="1"/>
      <c r="SGP264" s="1"/>
      <c r="SGQ264" s="1"/>
      <c r="SGR264" s="1"/>
      <c r="SGS264" s="1"/>
      <c r="SGT264" s="1"/>
      <c r="SGU264" s="1"/>
      <c r="SGV264" s="1"/>
      <c r="SGW264" s="1"/>
      <c r="SGX264" s="1"/>
      <c r="SGY264" s="1"/>
      <c r="SGZ264" s="1"/>
      <c r="SHA264" s="1"/>
      <c r="SHB264" s="1"/>
      <c r="SHC264" s="1"/>
      <c r="SHD264" s="1"/>
      <c r="SHE264" s="1"/>
      <c r="SHF264" s="1"/>
      <c r="SHG264" s="1"/>
      <c r="SHH264" s="1"/>
      <c r="SHI264" s="1"/>
      <c r="SHJ264" s="1"/>
      <c r="SHK264" s="1"/>
      <c r="SHL264" s="1"/>
      <c r="SHM264" s="1"/>
      <c r="SHN264" s="1"/>
      <c r="SHO264" s="1"/>
      <c r="SHP264" s="1"/>
      <c r="SHQ264" s="1"/>
      <c r="SHR264" s="1"/>
      <c r="SHS264" s="1"/>
      <c r="SHT264" s="1"/>
      <c r="SHU264" s="1"/>
      <c r="SHV264" s="1"/>
      <c r="SHW264" s="1"/>
      <c r="SHX264" s="1"/>
      <c r="SHY264" s="1"/>
      <c r="SHZ264" s="1"/>
      <c r="SIA264" s="1"/>
      <c r="SIB264" s="1"/>
      <c r="SIC264" s="1"/>
      <c r="SID264" s="1"/>
      <c r="SIE264" s="1"/>
      <c r="SIF264" s="1"/>
      <c r="SIG264" s="1"/>
      <c r="SIH264" s="1"/>
      <c r="SII264" s="1"/>
      <c r="SIJ264" s="1"/>
      <c r="SIK264" s="1"/>
      <c r="SIL264" s="1"/>
      <c r="SIM264" s="1"/>
      <c r="SIN264" s="1"/>
      <c r="SIO264" s="1"/>
      <c r="SIP264" s="1"/>
      <c r="SIQ264" s="1"/>
      <c r="SIR264" s="1"/>
      <c r="SIS264" s="1"/>
      <c r="SIT264" s="1"/>
      <c r="SIU264" s="1"/>
      <c r="SIV264" s="1"/>
      <c r="SIW264" s="1"/>
      <c r="SIX264" s="1"/>
      <c r="SIY264" s="1"/>
      <c r="SIZ264" s="1"/>
      <c r="SJA264" s="1"/>
      <c r="SJB264" s="1"/>
      <c r="SJC264" s="1"/>
      <c r="SJD264" s="1"/>
      <c r="SJE264" s="1"/>
      <c r="SJF264" s="1"/>
      <c r="SJG264" s="1"/>
      <c r="SJH264" s="1"/>
      <c r="SJI264" s="1"/>
      <c r="SJJ264" s="1"/>
      <c r="SJK264" s="1"/>
      <c r="SJL264" s="1"/>
      <c r="SJM264" s="1"/>
      <c r="SJN264" s="1"/>
      <c r="SJO264" s="1"/>
      <c r="SJP264" s="1"/>
      <c r="SJQ264" s="1"/>
      <c r="SJR264" s="1"/>
      <c r="SJS264" s="1"/>
      <c r="SJT264" s="1"/>
      <c r="SJU264" s="1"/>
      <c r="SJV264" s="1"/>
      <c r="SJW264" s="1"/>
      <c r="SJX264" s="1"/>
      <c r="SJY264" s="1"/>
      <c r="SJZ264" s="1"/>
      <c r="SKA264" s="1"/>
      <c r="SKB264" s="1"/>
      <c r="SKC264" s="1"/>
      <c r="SKD264" s="1"/>
      <c r="SKE264" s="1"/>
      <c r="SKF264" s="1"/>
      <c r="SKG264" s="1"/>
      <c r="SKH264" s="1"/>
      <c r="SKI264" s="1"/>
      <c r="SKJ264" s="1"/>
      <c r="SKK264" s="1"/>
      <c r="SKL264" s="1"/>
      <c r="SKM264" s="1"/>
      <c r="SKN264" s="1"/>
      <c r="SKO264" s="1"/>
      <c r="SKP264" s="1"/>
      <c r="SKQ264" s="1"/>
      <c r="SKR264" s="1"/>
      <c r="SKS264" s="1"/>
      <c r="SKT264" s="1"/>
      <c r="SKU264" s="1"/>
      <c r="SKV264" s="1"/>
      <c r="SKW264" s="1"/>
      <c r="SKX264" s="1"/>
      <c r="SKY264" s="1"/>
      <c r="SKZ264" s="1"/>
      <c r="SLA264" s="1"/>
      <c r="SLB264" s="1"/>
      <c r="SLC264" s="1"/>
      <c r="SLD264" s="1"/>
      <c r="SLE264" s="1"/>
      <c r="SLF264" s="1"/>
      <c r="SLG264" s="1"/>
      <c r="SLH264" s="1"/>
      <c r="SLI264" s="1"/>
      <c r="SLJ264" s="1"/>
      <c r="SLK264" s="1"/>
      <c r="SLL264" s="1"/>
      <c r="SLM264" s="1"/>
      <c r="SLN264" s="1"/>
      <c r="SLO264" s="1"/>
      <c r="SLP264" s="1"/>
      <c r="SLQ264" s="1"/>
      <c r="SLR264" s="1"/>
      <c r="SLS264" s="1"/>
      <c r="SLT264" s="1"/>
      <c r="SLU264" s="1"/>
      <c r="SLV264" s="1"/>
      <c r="SLW264" s="1"/>
      <c r="SLX264" s="1"/>
      <c r="SLY264" s="1"/>
      <c r="SLZ264" s="1"/>
      <c r="SMA264" s="1"/>
      <c r="SMB264" s="1"/>
      <c r="SMC264" s="1"/>
      <c r="SMD264" s="1"/>
      <c r="SME264" s="1"/>
      <c r="SMF264" s="1"/>
      <c r="SMG264" s="1"/>
      <c r="SMH264" s="1"/>
      <c r="SMI264" s="1"/>
      <c r="SMJ264" s="1"/>
      <c r="SMK264" s="1"/>
      <c r="SML264" s="1"/>
      <c r="SMM264" s="1"/>
      <c r="SMN264" s="1"/>
      <c r="SMO264" s="1"/>
      <c r="SMP264" s="1"/>
      <c r="SMQ264" s="1"/>
      <c r="SMR264" s="1"/>
      <c r="SMS264" s="1"/>
      <c r="SMT264" s="1"/>
      <c r="SMU264" s="1"/>
      <c r="SMV264" s="1"/>
      <c r="SMW264" s="1"/>
      <c r="SMX264" s="1"/>
      <c r="SMY264" s="1"/>
      <c r="SMZ264" s="1"/>
      <c r="SNA264" s="1"/>
      <c r="SNB264" s="1"/>
      <c r="SNC264" s="1"/>
      <c r="SND264" s="1"/>
      <c r="SNE264" s="1"/>
      <c r="SNF264" s="1"/>
      <c r="SNG264" s="1"/>
      <c r="SNH264" s="1"/>
      <c r="SNI264" s="1"/>
      <c r="SNJ264" s="1"/>
      <c r="SNK264" s="1"/>
      <c r="SNL264" s="1"/>
      <c r="SNM264" s="1"/>
      <c r="SNN264" s="1"/>
      <c r="SNO264" s="1"/>
      <c r="SNP264" s="1"/>
      <c r="SNQ264" s="1"/>
      <c r="SNR264" s="1"/>
      <c r="SNS264" s="1"/>
      <c r="SNT264" s="1"/>
      <c r="SNU264" s="1"/>
      <c r="SNV264" s="1"/>
      <c r="SNW264" s="1"/>
      <c r="SNX264" s="1"/>
      <c r="SNY264" s="1"/>
      <c r="SNZ264" s="1"/>
      <c r="SOA264" s="1"/>
      <c r="SOB264" s="1"/>
      <c r="SOC264" s="1"/>
      <c r="SOD264" s="1"/>
      <c r="SOE264" s="1"/>
      <c r="SOF264" s="1"/>
      <c r="SOG264" s="1"/>
      <c r="SOH264" s="1"/>
      <c r="SOI264" s="1"/>
      <c r="SOJ264" s="1"/>
      <c r="SOK264" s="1"/>
      <c r="SOL264" s="1"/>
      <c r="SOM264" s="1"/>
      <c r="SON264" s="1"/>
      <c r="SOO264" s="1"/>
      <c r="SOP264" s="1"/>
      <c r="SOQ264" s="1"/>
      <c r="SOR264" s="1"/>
      <c r="SOS264" s="1"/>
      <c r="SOT264" s="1"/>
      <c r="SOU264" s="1"/>
      <c r="SOV264" s="1"/>
      <c r="SOW264" s="1"/>
      <c r="SOX264" s="1"/>
      <c r="SOY264" s="1"/>
      <c r="SOZ264" s="1"/>
      <c r="SPA264" s="1"/>
      <c r="SPB264" s="1"/>
      <c r="SPC264" s="1"/>
      <c r="SPD264" s="1"/>
      <c r="SPE264" s="1"/>
      <c r="SPF264" s="1"/>
      <c r="SPG264" s="1"/>
      <c r="SPH264" s="1"/>
      <c r="SPI264" s="1"/>
      <c r="SPJ264" s="1"/>
      <c r="SPK264" s="1"/>
      <c r="SPL264" s="1"/>
      <c r="SPM264" s="1"/>
      <c r="SPN264" s="1"/>
      <c r="SPO264" s="1"/>
      <c r="SPP264" s="1"/>
      <c r="SPQ264" s="1"/>
      <c r="SPR264" s="1"/>
      <c r="SPS264" s="1"/>
      <c r="SPT264" s="1"/>
      <c r="SPU264" s="1"/>
      <c r="SPV264" s="1"/>
      <c r="SPW264" s="1"/>
      <c r="SPX264" s="1"/>
      <c r="SPY264" s="1"/>
      <c r="SPZ264" s="1"/>
      <c r="SQA264" s="1"/>
      <c r="SQB264" s="1"/>
      <c r="SQC264" s="1"/>
      <c r="SQD264" s="1"/>
      <c r="SQE264" s="1"/>
      <c r="SQF264" s="1"/>
      <c r="SQG264" s="1"/>
      <c r="SQH264" s="1"/>
      <c r="SQI264" s="1"/>
      <c r="SQJ264" s="1"/>
      <c r="SQK264" s="1"/>
      <c r="SQL264" s="1"/>
      <c r="SQM264" s="1"/>
      <c r="SQN264" s="1"/>
      <c r="SQO264" s="1"/>
      <c r="SQP264" s="1"/>
      <c r="SQQ264" s="1"/>
      <c r="SQR264" s="1"/>
      <c r="SQS264" s="1"/>
      <c r="SQT264" s="1"/>
      <c r="SQU264" s="1"/>
      <c r="SQV264" s="1"/>
      <c r="SQW264" s="1"/>
      <c r="SQX264" s="1"/>
      <c r="SQY264" s="1"/>
      <c r="SQZ264" s="1"/>
      <c r="SRA264" s="1"/>
      <c r="SRB264" s="1"/>
      <c r="SRC264" s="1"/>
      <c r="SRD264" s="1"/>
      <c r="SRE264" s="1"/>
      <c r="SRF264" s="1"/>
      <c r="SRG264" s="1"/>
      <c r="SRH264" s="1"/>
      <c r="SRI264" s="1"/>
      <c r="SRJ264" s="1"/>
      <c r="SRK264" s="1"/>
      <c r="SRL264" s="1"/>
      <c r="SRM264" s="1"/>
      <c r="SRN264" s="1"/>
      <c r="SRO264" s="1"/>
      <c r="SRP264" s="1"/>
      <c r="SRQ264" s="1"/>
      <c r="SRR264" s="1"/>
      <c r="SRS264" s="1"/>
      <c r="SRT264" s="1"/>
      <c r="SRU264" s="1"/>
      <c r="SRV264" s="1"/>
      <c r="SRW264" s="1"/>
      <c r="SRX264" s="1"/>
      <c r="SRY264" s="1"/>
      <c r="SRZ264" s="1"/>
      <c r="SSA264" s="1"/>
      <c r="SSB264" s="1"/>
      <c r="SSC264" s="1"/>
      <c r="SSD264" s="1"/>
      <c r="SSE264" s="1"/>
      <c r="SSF264" s="1"/>
      <c r="SSG264" s="1"/>
      <c r="SSH264" s="1"/>
      <c r="SSI264" s="1"/>
      <c r="SSJ264" s="1"/>
      <c r="SSK264" s="1"/>
      <c r="SSL264" s="1"/>
      <c r="SSM264" s="1"/>
      <c r="SSN264" s="1"/>
      <c r="SSO264" s="1"/>
      <c r="SSP264" s="1"/>
      <c r="SSQ264" s="1"/>
      <c r="SSR264" s="1"/>
      <c r="SSS264" s="1"/>
      <c r="SST264" s="1"/>
      <c r="SSU264" s="1"/>
      <c r="SSV264" s="1"/>
      <c r="SSW264" s="1"/>
      <c r="SSX264" s="1"/>
      <c r="SSY264" s="1"/>
      <c r="SSZ264" s="1"/>
      <c r="STA264" s="1"/>
      <c r="STB264" s="1"/>
      <c r="STC264" s="1"/>
      <c r="STD264" s="1"/>
      <c r="STE264" s="1"/>
      <c r="STF264" s="1"/>
      <c r="STG264" s="1"/>
      <c r="STH264" s="1"/>
      <c r="STI264" s="1"/>
      <c r="STJ264" s="1"/>
      <c r="STK264" s="1"/>
      <c r="STL264" s="1"/>
      <c r="STM264" s="1"/>
      <c r="STN264" s="1"/>
      <c r="STO264" s="1"/>
      <c r="STP264" s="1"/>
      <c r="STQ264" s="1"/>
      <c r="STR264" s="1"/>
      <c r="STS264" s="1"/>
      <c r="STT264" s="1"/>
      <c r="STU264" s="1"/>
      <c r="STV264" s="1"/>
      <c r="STW264" s="1"/>
      <c r="STX264" s="1"/>
      <c r="STY264" s="1"/>
      <c r="STZ264" s="1"/>
      <c r="SUA264" s="1"/>
      <c r="SUB264" s="1"/>
      <c r="SUC264" s="1"/>
      <c r="SUD264" s="1"/>
      <c r="SUE264" s="1"/>
      <c r="SUF264" s="1"/>
      <c r="SUG264" s="1"/>
      <c r="SUH264" s="1"/>
      <c r="SUI264" s="1"/>
      <c r="SUJ264" s="1"/>
      <c r="SUK264" s="1"/>
      <c r="SUL264" s="1"/>
      <c r="SUM264" s="1"/>
      <c r="SUN264" s="1"/>
      <c r="SUO264" s="1"/>
      <c r="SUP264" s="1"/>
      <c r="SUQ264" s="1"/>
      <c r="SUR264" s="1"/>
      <c r="SUS264" s="1"/>
      <c r="SUT264" s="1"/>
      <c r="SUU264" s="1"/>
      <c r="SUV264" s="1"/>
      <c r="SUW264" s="1"/>
      <c r="SUX264" s="1"/>
      <c r="SUY264" s="1"/>
      <c r="SUZ264" s="1"/>
      <c r="SVA264" s="1"/>
      <c r="SVB264" s="1"/>
      <c r="SVC264" s="1"/>
      <c r="SVD264" s="1"/>
      <c r="SVE264" s="1"/>
      <c r="SVF264" s="1"/>
      <c r="SVG264" s="1"/>
      <c r="SVH264" s="1"/>
      <c r="SVI264" s="1"/>
      <c r="SVJ264" s="1"/>
      <c r="SVK264" s="1"/>
      <c r="SVL264" s="1"/>
      <c r="SVM264" s="1"/>
      <c r="SVN264" s="1"/>
      <c r="SVO264" s="1"/>
      <c r="SVP264" s="1"/>
      <c r="SVQ264" s="1"/>
      <c r="SVR264" s="1"/>
      <c r="SVS264" s="1"/>
      <c r="SVT264" s="1"/>
      <c r="SVU264" s="1"/>
      <c r="SVV264" s="1"/>
      <c r="SVW264" s="1"/>
      <c r="SVX264" s="1"/>
      <c r="SVY264" s="1"/>
      <c r="SVZ264" s="1"/>
      <c r="SWA264" s="1"/>
      <c r="SWB264" s="1"/>
      <c r="SWC264" s="1"/>
      <c r="SWD264" s="1"/>
      <c r="SWE264" s="1"/>
      <c r="SWF264" s="1"/>
      <c r="SWG264" s="1"/>
      <c r="SWH264" s="1"/>
      <c r="SWI264" s="1"/>
      <c r="SWJ264" s="1"/>
      <c r="SWK264" s="1"/>
      <c r="SWL264" s="1"/>
      <c r="SWM264" s="1"/>
      <c r="SWN264" s="1"/>
      <c r="SWO264" s="1"/>
      <c r="SWP264" s="1"/>
      <c r="SWQ264" s="1"/>
      <c r="SWR264" s="1"/>
      <c r="SWS264" s="1"/>
      <c r="SWT264" s="1"/>
      <c r="SWU264" s="1"/>
      <c r="SWV264" s="1"/>
      <c r="SWW264" s="1"/>
      <c r="SWX264" s="1"/>
      <c r="SWY264" s="1"/>
      <c r="SWZ264" s="1"/>
      <c r="SXA264" s="1"/>
      <c r="SXB264" s="1"/>
      <c r="SXC264" s="1"/>
      <c r="SXD264" s="1"/>
      <c r="SXE264" s="1"/>
      <c r="SXF264" s="1"/>
      <c r="SXG264" s="1"/>
      <c r="SXH264" s="1"/>
      <c r="SXI264" s="1"/>
      <c r="SXJ264" s="1"/>
      <c r="SXK264" s="1"/>
      <c r="SXL264" s="1"/>
      <c r="SXM264" s="1"/>
      <c r="SXN264" s="1"/>
      <c r="SXO264" s="1"/>
      <c r="SXP264" s="1"/>
      <c r="SXQ264" s="1"/>
      <c r="SXR264" s="1"/>
      <c r="SXS264" s="1"/>
      <c r="SXT264" s="1"/>
      <c r="SXU264" s="1"/>
      <c r="SXV264" s="1"/>
      <c r="SXW264" s="1"/>
      <c r="SXX264" s="1"/>
      <c r="SXY264" s="1"/>
      <c r="SXZ264" s="1"/>
      <c r="SYA264" s="1"/>
      <c r="SYB264" s="1"/>
      <c r="SYC264" s="1"/>
      <c r="SYD264" s="1"/>
      <c r="SYE264" s="1"/>
      <c r="SYF264" s="1"/>
      <c r="SYG264" s="1"/>
      <c r="SYH264" s="1"/>
      <c r="SYI264" s="1"/>
      <c r="SYJ264" s="1"/>
      <c r="SYK264" s="1"/>
      <c r="SYL264" s="1"/>
      <c r="SYM264" s="1"/>
      <c r="SYN264" s="1"/>
      <c r="SYO264" s="1"/>
      <c r="SYP264" s="1"/>
      <c r="SYQ264" s="1"/>
      <c r="SYR264" s="1"/>
      <c r="SYS264" s="1"/>
      <c r="SYT264" s="1"/>
      <c r="SYU264" s="1"/>
      <c r="SYV264" s="1"/>
      <c r="SYW264" s="1"/>
      <c r="SYX264" s="1"/>
      <c r="SYY264" s="1"/>
      <c r="SYZ264" s="1"/>
      <c r="SZA264" s="1"/>
      <c r="SZB264" s="1"/>
      <c r="SZC264" s="1"/>
      <c r="SZD264" s="1"/>
      <c r="SZE264" s="1"/>
      <c r="SZF264" s="1"/>
      <c r="SZG264" s="1"/>
      <c r="SZH264" s="1"/>
      <c r="SZI264" s="1"/>
      <c r="SZJ264" s="1"/>
      <c r="SZK264" s="1"/>
      <c r="SZL264" s="1"/>
      <c r="SZM264" s="1"/>
      <c r="SZN264" s="1"/>
      <c r="SZO264" s="1"/>
      <c r="SZP264" s="1"/>
      <c r="SZQ264" s="1"/>
      <c r="SZR264" s="1"/>
      <c r="SZS264" s="1"/>
      <c r="SZT264" s="1"/>
      <c r="SZU264" s="1"/>
      <c r="SZV264" s="1"/>
      <c r="SZW264" s="1"/>
      <c r="SZX264" s="1"/>
      <c r="SZY264" s="1"/>
      <c r="SZZ264" s="1"/>
      <c r="TAA264" s="1"/>
      <c r="TAB264" s="1"/>
      <c r="TAC264" s="1"/>
      <c r="TAD264" s="1"/>
      <c r="TAE264" s="1"/>
      <c r="TAF264" s="1"/>
      <c r="TAG264" s="1"/>
      <c r="TAH264" s="1"/>
      <c r="TAI264" s="1"/>
      <c r="TAJ264" s="1"/>
      <c r="TAK264" s="1"/>
      <c r="TAL264" s="1"/>
      <c r="TAM264" s="1"/>
      <c r="TAN264" s="1"/>
      <c r="TAO264" s="1"/>
      <c r="TAP264" s="1"/>
      <c r="TAQ264" s="1"/>
      <c r="TAR264" s="1"/>
      <c r="TAS264" s="1"/>
      <c r="TAT264" s="1"/>
      <c r="TAU264" s="1"/>
      <c r="TAV264" s="1"/>
      <c r="TAW264" s="1"/>
      <c r="TAX264" s="1"/>
      <c r="TAY264" s="1"/>
      <c r="TAZ264" s="1"/>
      <c r="TBA264" s="1"/>
      <c r="TBB264" s="1"/>
      <c r="TBC264" s="1"/>
      <c r="TBD264" s="1"/>
      <c r="TBE264" s="1"/>
      <c r="TBF264" s="1"/>
      <c r="TBG264" s="1"/>
      <c r="TBH264" s="1"/>
      <c r="TBI264" s="1"/>
      <c r="TBJ264" s="1"/>
      <c r="TBK264" s="1"/>
      <c r="TBL264" s="1"/>
      <c r="TBM264" s="1"/>
      <c r="TBN264" s="1"/>
      <c r="TBO264" s="1"/>
      <c r="TBP264" s="1"/>
      <c r="TBQ264" s="1"/>
      <c r="TBR264" s="1"/>
      <c r="TBS264" s="1"/>
      <c r="TBT264" s="1"/>
      <c r="TBU264" s="1"/>
      <c r="TBV264" s="1"/>
      <c r="TBW264" s="1"/>
      <c r="TBX264" s="1"/>
      <c r="TBY264" s="1"/>
      <c r="TBZ264" s="1"/>
      <c r="TCA264" s="1"/>
      <c r="TCB264" s="1"/>
      <c r="TCC264" s="1"/>
      <c r="TCD264" s="1"/>
      <c r="TCE264" s="1"/>
      <c r="TCF264" s="1"/>
      <c r="TCG264" s="1"/>
      <c r="TCH264" s="1"/>
      <c r="TCI264" s="1"/>
      <c r="TCJ264" s="1"/>
      <c r="TCK264" s="1"/>
      <c r="TCL264" s="1"/>
      <c r="TCM264" s="1"/>
      <c r="TCN264" s="1"/>
      <c r="TCO264" s="1"/>
      <c r="TCP264" s="1"/>
      <c r="TCQ264" s="1"/>
      <c r="TCR264" s="1"/>
      <c r="TCS264" s="1"/>
      <c r="TCT264" s="1"/>
      <c r="TCU264" s="1"/>
      <c r="TCV264" s="1"/>
      <c r="TCW264" s="1"/>
      <c r="TCX264" s="1"/>
      <c r="TCY264" s="1"/>
      <c r="TCZ264" s="1"/>
      <c r="TDA264" s="1"/>
      <c r="TDB264" s="1"/>
      <c r="TDC264" s="1"/>
      <c r="TDD264" s="1"/>
      <c r="TDE264" s="1"/>
      <c r="TDF264" s="1"/>
      <c r="TDG264" s="1"/>
      <c r="TDH264" s="1"/>
      <c r="TDI264" s="1"/>
      <c r="TDJ264" s="1"/>
      <c r="TDK264" s="1"/>
      <c r="TDL264" s="1"/>
      <c r="TDM264" s="1"/>
      <c r="TDN264" s="1"/>
      <c r="TDO264" s="1"/>
      <c r="TDP264" s="1"/>
      <c r="TDQ264" s="1"/>
      <c r="TDR264" s="1"/>
      <c r="TDS264" s="1"/>
      <c r="TDT264" s="1"/>
      <c r="TDU264" s="1"/>
      <c r="TDV264" s="1"/>
      <c r="TDW264" s="1"/>
      <c r="TDX264" s="1"/>
      <c r="TDY264" s="1"/>
      <c r="TDZ264" s="1"/>
      <c r="TEA264" s="1"/>
      <c r="TEB264" s="1"/>
      <c r="TEC264" s="1"/>
      <c r="TED264" s="1"/>
      <c r="TEE264" s="1"/>
      <c r="TEF264" s="1"/>
      <c r="TEG264" s="1"/>
      <c r="TEH264" s="1"/>
      <c r="TEI264" s="1"/>
      <c r="TEJ264" s="1"/>
      <c r="TEK264" s="1"/>
      <c r="TEL264" s="1"/>
      <c r="TEM264" s="1"/>
      <c r="TEN264" s="1"/>
      <c r="TEO264" s="1"/>
      <c r="TEP264" s="1"/>
      <c r="TEQ264" s="1"/>
      <c r="TER264" s="1"/>
      <c r="TES264" s="1"/>
      <c r="TET264" s="1"/>
      <c r="TEU264" s="1"/>
      <c r="TEV264" s="1"/>
      <c r="TEW264" s="1"/>
      <c r="TEX264" s="1"/>
      <c r="TEY264" s="1"/>
      <c r="TEZ264" s="1"/>
      <c r="TFA264" s="1"/>
      <c r="TFB264" s="1"/>
      <c r="TFC264" s="1"/>
      <c r="TFD264" s="1"/>
      <c r="TFE264" s="1"/>
      <c r="TFF264" s="1"/>
      <c r="TFG264" s="1"/>
      <c r="TFH264" s="1"/>
      <c r="TFI264" s="1"/>
      <c r="TFJ264" s="1"/>
      <c r="TFK264" s="1"/>
      <c r="TFL264" s="1"/>
      <c r="TFM264" s="1"/>
      <c r="TFN264" s="1"/>
      <c r="TFO264" s="1"/>
      <c r="TFP264" s="1"/>
      <c r="TFQ264" s="1"/>
      <c r="TFR264" s="1"/>
      <c r="TFS264" s="1"/>
      <c r="TFT264" s="1"/>
      <c r="TFU264" s="1"/>
      <c r="TFV264" s="1"/>
      <c r="TFW264" s="1"/>
      <c r="TFX264" s="1"/>
      <c r="TFY264" s="1"/>
      <c r="TFZ264" s="1"/>
      <c r="TGA264" s="1"/>
      <c r="TGB264" s="1"/>
      <c r="TGC264" s="1"/>
      <c r="TGD264" s="1"/>
      <c r="TGE264" s="1"/>
      <c r="TGF264" s="1"/>
      <c r="TGG264" s="1"/>
      <c r="TGH264" s="1"/>
      <c r="TGI264" s="1"/>
      <c r="TGJ264" s="1"/>
      <c r="TGK264" s="1"/>
      <c r="TGL264" s="1"/>
      <c r="TGM264" s="1"/>
      <c r="TGN264" s="1"/>
      <c r="TGO264" s="1"/>
      <c r="TGP264" s="1"/>
      <c r="TGQ264" s="1"/>
      <c r="TGR264" s="1"/>
      <c r="TGS264" s="1"/>
      <c r="TGT264" s="1"/>
      <c r="TGU264" s="1"/>
      <c r="TGV264" s="1"/>
      <c r="TGW264" s="1"/>
      <c r="TGX264" s="1"/>
      <c r="TGY264" s="1"/>
      <c r="TGZ264" s="1"/>
      <c r="THA264" s="1"/>
      <c r="THB264" s="1"/>
      <c r="THC264" s="1"/>
      <c r="THD264" s="1"/>
      <c r="THE264" s="1"/>
      <c r="THF264" s="1"/>
      <c r="THG264" s="1"/>
      <c r="THH264" s="1"/>
      <c r="THI264" s="1"/>
      <c r="THJ264" s="1"/>
      <c r="THK264" s="1"/>
      <c r="THL264" s="1"/>
      <c r="THM264" s="1"/>
      <c r="THN264" s="1"/>
      <c r="THO264" s="1"/>
      <c r="THP264" s="1"/>
      <c r="THQ264" s="1"/>
      <c r="THR264" s="1"/>
      <c r="THS264" s="1"/>
      <c r="THT264" s="1"/>
      <c r="THU264" s="1"/>
      <c r="THV264" s="1"/>
      <c r="THW264" s="1"/>
      <c r="THX264" s="1"/>
      <c r="THY264" s="1"/>
      <c r="THZ264" s="1"/>
      <c r="TIA264" s="1"/>
      <c r="TIB264" s="1"/>
      <c r="TIC264" s="1"/>
      <c r="TID264" s="1"/>
      <c r="TIE264" s="1"/>
      <c r="TIF264" s="1"/>
      <c r="TIG264" s="1"/>
      <c r="TIH264" s="1"/>
      <c r="TII264" s="1"/>
      <c r="TIJ264" s="1"/>
      <c r="TIK264" s="1"/>
      <c r="TIL264" s="1"/>
      <c r="TIM264" s="1"/>
      <c r="TIN264" s="1"/>
      <c r="TIO264" s="1"/>
      <c r="TIP264" s="1"/>
      <c r="TIQ264" s="1"/>
      <c r="TIR264" s="1"/>
      <c r="TIS264" s="1"/>
      <c r="TIT264" s="1"/>
      <c r="TIU264" s="1"/>
      <c r="TIV264" s="1"/>
      <c r="TIW264" s="1"/>
      <c r="TIX264" s="1"/>
      <c r="TIY264" s="1"/>
      <c r="TIZ264" s="1"/>
      <c r="TJA264" s="1"/>
      <c r="TJB264" s="1"/>
      <c r="TJC264" s="1"/>
      <c r="TJD264" s="1"/>
      <c r="TJE264" s="1"/>
      <c r="TJF264" s="1"/>
      <c r="TJG264" s="1"/>
      <c r="TJH264" s="1"/>
      <c r="TJI264" s="1"/>
      <c r="TJJ264" s="1"/>
      <c r="TJK264" s="1"/>
      <c r="TJL264" s="1"/>
      <c r="TJM264" s="1"/>
      <c r="TJN264" s="1"/>
      <c r="TJO264" s="1"/>
      <c r="TJP264" s="1"/>
      <c r="TJQ264" s="1"/>
      <c r="TJR264" s="1"/>
      <c r="TJS264" s="1"/>
      <c r="TJT264" s="1"/>
      <c r="TJU264" s="1"/>
      <c r="TJV264" s="1"/>
      <c r="TJW264" s="1"/>
      <c r="TJX264" s="1"/>
      <c r="TJY264" s="1"/>
      <c r="TJZ264" s="1"/>
      <c r="TKA264" s="1"/>
      <c r="TKB264" s="1"/>
      <c r="TKC264" s="1"/>
      <c r="TKD264" s="1"/>
      <c r="TKE264" s="1"/>
      <c r="TKF264" s="1"/>
      <c r="TKG264" s="1"/>
      <c r="TKH264" s="1"/>
      <c r="TKI264" s="1"/>
      <c r="TKJ264" s="1"/>
      <c r="TKK264" s="1"/>
      <c r="TKL264" s="1"/>
      <c r="TKM264" s="1"/>
      <c r="TKN264" s="1"/>
      <c r="TKO264" s="1"/>
      <c r="TKP264" s="1"/>
      <c r="TKQ264" s="1"/>
      <c r="TKR264" s="1"/>
      <c r="TKS264" s="1"/>
      <c r="TKT264" s="1"/>
      <c r="TKU264" s="1"/>
      <c r="TKV264" s="1"/>
      <c r="TKW264" s="1"/>
      <c r="TKX264" s="1"/>
      <c r="TKY264" s="1"/>
      <c r="TKZ264" s="1"/>
      <c r="TLA264" s="1"/>
      <c r="TLB264" s="1"/>
      <c r="TLC264" s="1"/>
      <c r="TLD264" s="1"/>
      <c r="TLE264" s="1"/>
      <c r="TLF264" s="1"/>
      <c r="TLG264" s="1"/>
      <c r="TLH264" s="1"/>
      <c r="TLI264" s="1"/>
      <c r="TLJ264" s="1"/>
      <c r="TLK264" s="1"/>
      <c r="TLL264" s="1"/>
      <c r="TLM264" s="1"/>
      <c r="TLN264" s="1"/>
      <c r="TLO264" s="1"/>
      <c r="TLP264" s="1"/>
      <c r="TLQ264" s="1"/>
      <c r="TLR264" s="1"/>
      <c r="TLS264" s="1"/>
      <c r="TLT264" s="1"/>
      <c r="TLU264" s="1"/>
      <c r="TLV264" s="1"/>
      <c r="TLW264" s="1"/>
      <c r="TLX264" s="1"/>
      <c r="TLY264" s="1"/>
      <c r="TLZ264" s="1"/>
      <c r="TMA264" s="1"/>
      <c r="TMB264" s="1"/>
      <c r="TMC264" s="1"/>
      <c r="TMD264" s="1"/>
      <c r="TME264" s="1"/>
      <c r="TMF264" s="1"/>
      <c r="TMG264" s="1"/>
      <c r="TMH264" s="1"/>
      <c r="TMI264" s="1"/>
      <c r="TMJ264" s="1"/>
      <c r="TMK264" s="1"/>
      <c r="TML264" s="1"/>
      <c r="TMM264" s="1"/>
      <c r="TMN264" s="1"/>
      <c r="TMO264" s="1"/>
      <c r="TMP264" s="1"/>
      <c r="TMQ264" s="1"/>
      <c r="TMR264" s="1"/>
      <c r="TMS264" s="1"/>
      <c r="TMT264" s="1"/>
      <c r="TMU264" s="1"/>
      <c r="TMV264" s="1"/>
      <c r="TMW264" s="1"/>
      <c r="TMX264" s="1"/>
      <c r="TMY264" s="1"/>
      <c r="TMZ264" s="1"/>
      <c r="TNA264" s="1"/>
      <c r="TNB264" s="1"/>
      <c r="TNC264" s="1"/>
      <c r="TND264" s="1"/>
      <c r="TNE264" s="1"/>
      <c r="TNF264" s="1"/>
      <c r="TNG264" s="1"/>
      <c r="TNH264" s="1"/>
      <c r="TNI264" s="1"/>
      <c r="TNJ264" s="1"/>
      <c r="TNK264" s="1"/>
      <c r="TNL264" s="1"/>
      <c r="TNM264" s="1"/>
      <c r="TNN264" s="1"/>
      <c r="TNO264" s="1"/>
      <c r="TNP264" s="1"/>
      <c r="TNQ264" s="1"/>
      <c r="TNR264" s="1"/>
      <c r="TNS264" s="1"/>
      <c r="TNT264" s="1"/>
      <c r="TNU264" s="1"/>
      <c r="TNV264" s="1"/>
      <c r="TNW264" s="1"/>
      <c r="TNX264" s="1"/>
      <c r="TNY264" s="1"/>
      <c r="TNZ264" s="1"/>
      <c r="TOA264" s="1"/>
      <c r="TOB264" s="1"/>
      <c r="TOC264" s="1"/>
      <c r="TOD264" s="1"/>
      <c r="TOE264" s="1"/>
      <c r="TOF264" s="1"/>
      <c r="TOG264" s="1"/>
      <c r="TOH264" s="1"/>
      <c r="TOI264" s="1"/>
      <c r="TOJ264" s="1"/>
      <c r="TOK264" s="1"/>
      <c r="TOL264" s="1"/>
      <c r="TOM264" s="1"/>
      <c r="TON264" s="1"/>
      <c r="TOO264" s="1"/>
      <c r="TOP264" s="1"/>
      <c r="TOQ264" s="1"/>
      <c r="TOR264" s="1"/>
      <c r="TOS264" s="1"/>
      <c r="TOT264" s="1"/>
      <c r="TOU264" s="1"/>
      <c r="TOV264" s="1"/>
      <c r="TOW264" s="1"/>
      <c r="TOX264" s="1"/>
      <c r="TOY264" s="1"/>
      <c r="TOZ264" s="1"/>
      <c r="TPA264" s="1"/>
      <c r="TPB264" s="1"/>
      <c r="TPC264" s="1"/>
      <c r="TPD264" s="1"/>
      <c r="TPE264" s="1"/>
      <c r="TPF264" s="1"/>
      <c r="TPG264" s="1"/>
      <c r="TPH264" s="1"/>
      <c r="TPI264" s="1"/>
      <c r="TPJ264" s="1"/>
      <c r="TPK264" s="1"/>
      <c r="TPL264" s="1"/>
      <c r="TPM264" s="1"/>
      <c r="TPN264" s="1"/>
      <c r="TPO264" s="1"/>
      <c r="TPP264" s="1"/>
      <c r="TPQ264" s="1"/>
      <c r="TPR264" s="1"/>
      <c r="TPS264" s="1"/>
      <c r="TPT264" s="1"/>
      <c r="TPU264" s="1"/>
      <c r="TPV264" s="1"/>
      <c r="TPW264" s="1"/>
      <c r="TPX264" s="1"/>
      <c r="TPY264" s="1"/>
      <c r="TPZ264" s="1"/>
      <c r="TQA264" s="1"/>
      <c r="TQB264" s="1"/>
      <c r="TQC264" s="1"/>
      <c r="TQD264" s="1"/>
      <c r="TQE264" s="1"/>
      <c r="TQF264" s="1"/>
      <c r="TQG264" s="1"/>
      <c r="TQH264" s="1"/>
      <c r="TQI264" s="1"/>
      <c r="TQJ264" s="1"/>
      <c r="TQK264" s="1"/>
      <c r="TQL264" s="1"/>
      <c r="TQM264" s="1"/>
      <c r="TQN264" s="1"/>
      <c r="TQO264" s="1"/>
      <c r="TQP264" s="1"/>
      <c r="TQQ264" s="1"/>
      <c r="TQR264" s="1"/>
      <c r="TQS264" s="1"/>
      <c r="TQT264" s="1"/>
      <c r="TQU264" s="1"/>
      <c r="TQV264" s="1"/>
      <c r="TQW264" s="1"/>
      <c r="TQX264" s="1"/>
      <c r="TQY264" s="1"/>
      <c r="TQZ264" s="1"/>
      <c r="TRA264" s="1"/>
      <c r="TRB264" s="1"/>
      <c r="TRC264" s="1"/>
      <c r="TRD264" s="1"/>
      <c r="TRE264" s="1"/>
      <c r="TRF264" s="1"/>
      <c r="TRG264" s="1"/>
      <c r="TRH264" s="1"/>
      <c r="TRI264" s="1"/>
      <c r="TRJ264" s="1"/>
      <c r="TRK264" s="1"/>
      <c r="TRL264" s="1"/>
      <c r="TRM264" s="1"/>
      <c r="TRN264" s="1"/>
      <c r="TRO264" s="1"/>
      <c r="TRP264" s="1"/>
      <c r="TRQ264" s="1"/>
      <c r="TRR264" s="1"/>
      <c r="TRS264" s="1"/>
      <c r="TRT264" s="1"/>
      <c r="TRU264" s="1"/>
      <c r="TRV264" s="1"/>
      <c r="TRW264" s="1"/>
      <c r="TRX264" s="1"/>
      <c r="TRY264" s="1"/>
      <c r="TRZ264" s="1"/>
      <c r="TSA264" s="1"/>
      <c r="TSB264" s="1"/>
      <c r="TSC264" s="1"/>
      <c r="TSD264" s="1"/>
      <c r="TSE264" s="1"/>
      <c r="TSF264" s="1"/>
      <c r="TSG264" s="1"/>
      <c r="TSH264" s="1"/>
      <c r="TSI264" s="1"/>
      <c r="TSJ264" s="1"/>
      <c r="TSK264" s="1"/>
      <c r="TSL264" s="1"/>
      <c r="TSM264" s="1"/>
      <c r="TSN264" s="1"/>
      <c r="TSO264" s="1"/>
      <c r="TSP264" s="1"/>
      <c r="TSQ264" s="1"/>
      <c r="TSR264" s="1"/>
      <c r="TSS264" s="1"/>
      <c r="TST264" s="1"/>
      <c r="TSU264" s="1"/>
      <c r="TSV264" s="1"/>
      <c r="TSW264" s="1"/>
      <c r="TSX264" s="1"/>
      <c r="TSY264" s="1"/>
      <c r="TSZ264" s="1"/>
      <c r="TTA264" s="1"/>
      <c r="TTB264" s="1"/>
      <c r="TTC264" s="1"/>
      <c r="TTD264" s="1"/>
      <c r="TTE264" s="1"/>
      <c r="TTF264" s="1"/>
      <c r="TTG264" s="1"/>
      <c r="TTH264" s="1"/>
      <c r="TTI264" s="1"/>
      <c r="TTJ264" s="1"/>
      <c r="TTK264" s="1"/>
      <c r="TTL264" s="1"/>
      <c r="TTM264" s="1"/>
      <c r="TTN264" s="1"/>
      <c r="TTO264" s="1"/>
      <c r="TTP264" s="1"/>
      <c r="TTQ264" s="1"/>
      <c r="TTR264" s="1"/>
      <c r="TTS264" s="1"/>
      <c r="TTT264" s="1"/>
      <c r="TTU264" s="1"/>
      <c r="TTV264" s="1"/>
      <c r="TTW264" s="1"/>
      <c r="TTX264" s="1"/>
      <c r="TTY264" s="1"/>
      <c r="TTZ264" s="1"/>
      <c r="TUA264" s="1"/>
      <c r="TUB264" s="1"/>
      <c r="TUC264" s="1"/>
      <c r="TUD264" s="1"/>
      <c r="TUE264" s="1"/>
      <c r="TUF264" s="1"/>
      <c r="TUG264" s="1"/>
      <c r="TUH264" s="1"/>
      <c r="TUI264" s="1"/>
      <c r="TUJ264" s="1"/>
      <c r="TUK264" s="1"/>
      <c r="TUL264" s="1"/>
      <c r="TUM264" s="1"/>
      <c r="TUN264" s="1"/>
      <c r="TUO264" s="1"/>
      <c r="TUP264" s="1"/>
      <c r="TUQ264" s="1"/>
      <c r="TUR264" s="1"/>
      <c r="TUS264" s="1"/>
      <c r="TUT264" s="1"/>
      <c r="TUU264" s="1"/>
      <c r="TUV264" s="1"/>
      <c r="TUW264" s="1"/>
      <c r="TUX264" s="1"/>
      <c r="TUY264" s="1"/>
      <c r="TUZ264" s="1"/>
      <c r="TVA264" s="1"/>
      <c r="TVB264" s="1"/>
      <c r="TVC264" s="1"/>
      <c r="TVD264" s="1"/>
      <c r="TVE264" s="1"/>
      <c r="TVF264" s="1"/>
      <c r="TVG264" s="1"/>
      <c r="TVH264" s="1"/>
      <c r="TVI264" s="1"/>
      <c r="TVJ264" s="1"/>
      <c r="TVK264" s="1"/>
      <c r="TVL264" s="1"/>
      <c r="TVM264" s="1"/>
      <c r="TVN264" s="1"/>
      <c r="TVO264" s="1"/>
      <c r="TVP264" s="1"/>
      <c r="TVQ264" s="1"/>
      <c r="TVR264" s="1"/>
      <c r="TVS264" s="1"/>
      <c r="TVT264" s="1"/>
      <c r="TVU264" s="1"/>
      <c r="TVV264" s="1"/>
      <c r="TVW264" s="1"/>
      <c r="TVX264" s="1"/>
      <c r="TVY264" s="1"/>
      <c r="TVZ264" s="1"/>
      <c r="TWA264" s="1"/>
      <c r="TWB264" s="1"/>
      <c r="TWC264" s="1"/>
      <c r="TWD264" s="1"/>
      <c r="TWE264" s="1"/>
      <c r="TWF264" s="1"/>
      <c r="TWG264" s="1"/>
      <c r="TWH264" s="1"/>
      <c r="TWI264" s="1"/>
      <c r="TWJ264" s="1"/>
      <c r="TWK264" s="1"/>
      <c r="TWL264" s="1"/>
      <c r="TWM264" s="1"/>
      <c r="TWN264" s="1"/>
      <c r="TWO264" s="1"/>
      <c r="TWP264" s="1"/>
      <c r="TWQ264" s="1"/>
      <c r="TWR264" s="1"/>
      <c r="TWS264" s="1"/>
      <c r="TWT264" s="1"/>
      <c r="TWU264" s="1"/>
      <c r="TWV264" s="1"/>
      <c r="TWW264" s="1"/>
      <c r="TWX264" s="1"/>
      <c r="TWY264" s="1"/>
      <c r="TWZ264" s="1"/>
      <c r="TXA264" s="1"/>
      <c r="TXB264" s="1"/>
      <c r="TXC264" s="1"/>
      <c r="TXD264" s="1"/>
      <c r="TXE264" s="1"/>
      <c r="TXF264" s="1"/>
      <c r="TXG264" s="1"/>
      <c r="TXH264" s="1"/>
      <c r="TXI264" s="1"/>
      <c r="TXJ264" s="1"/>
      <c r="TXK264" s="1"/>
      <c r="TXL264" s="1"/>
      <c r="TXM264" s="1"/>
      <c r="TXN264" s="1"/>
      <c r="TXO264" s="1"/>
      <c r="TXP264" s="1"/>
      <c r="TXQ264" s="1"/>
      <c r="TXR264" s="1"/>
      <c r="TXS264" s="1"/>
      <c r="TXT264" s="1"/>
      <c r="TXU264" s="1"/>
      <c r="TXV264" s="1"/>
      <c r="TXW264" s="1"/>
      <c r="TXX264" s="1"/>
      <c r="TXY264" s="1"/>
      <c r="TXZ264" s="1"/>
      <c r="TYA264" s="1"/>
      <c r="TYB264" s="1"/>
      <c r="TYC264" s="1"/>
      <c r="TYD264" s="1"/>
      <c r="TYE264" s="1"/>
      <c r="TYF264" s="1"/>
      <c r="TYG264" s="1"/>
      <c r="TYH264" s="1"/>
      <c r="TYI264" s="1"/>
      <c r="TYJ264" s="1"/>
      <c r="TYK264" s="1"/>
      <c r="TYL264" s="1"/>
      <c r="TYM264" s="1"/>
      <c r="TYN264" s="1"/>
      <c r="TYO264" s="1"/>
      <c r="TYP264" s="1"/>
      <c r="TYQ264" s="1"/>
      <c r="TYR264" s="1"/>
      <c r="TYS264" s="1"/>
      <c r="TYT264" s="1"/>
      <c r="TYU264" s="1"/>
      <c r="TYV264" s="1"/>
      <c r="TYW264" s="1"/>
      <c r="TYX264" s="1"/>
      <c r="TYY264" s="1"/>
      <c r="TYZ264" s="1"/>
      <c r="TZA264" s="1"/>
      <c r="TZB264" s="1"/>
      <c r="TZC264" s="1"/>
      <c r="TZD264" s="1"/>
      <c r="TZE264" s="1"/>
      <c r="TZF264" s="1"/>
      <c r="TZG264" s="1"/>
      <c r="TZH264" s="1"/>
      <c r="TZI264" s="1"/>
      <c r="TZJ264" s="1"/>
      <c r="TZK264" s="1"/>
      <c r="TZL264" s="1"/>
      <c r="TZM264" s="1"/>
      <c r="TZN264" s="1"/>
      <c r="TZO264" s="1"/>
      <c r="TZP264" s="1"/>
      <c r="TZQ264" s="1"/>
      <c r="TZR264" s="1"/>
      <c r="TZS264" s="1"/>
      <c r="TZT264" s="1"/>
      <c r="TZU264" s="1"/>
      <c r="TZV264" s="1"/>
      <c r="TZW264" s="1"/>
      <c r="TZX264" s="1"/>
      <c r="TZY264" s="1"/>
      <c r="TZZ264" s="1"/>
      <c r="UAA264" s="1"/>
      <c r="UAB264" s="1"/>
      <c r="UAC264" s="1"/>
      <c r="UAD264" s="1"/>
      <c r="UAE264" s="1"/>
      <c r="UAF264" s="1"/>
      <c r="UAG264" s="1"/>
      <c r="UAH264" s="1"/>
      <c r="UAI264" s="1"/>
      <c r="UAJ264" s="1"/>
      <c r="UAK264" s="1"/>
      <c r="UAL264" s="1"/>
      <c r="UAM264" s="1"/>
      <c r="UAN264" s="1"/>
      <c r="UAO264" s="1"/>
      <c r="UAP264" s="1"/>
      <c r="UAQ264" s="1"/>
      <c r="UAR264" s="1"/>
      <c r="UAS264" s="1"/>
      <c r="UAT264" s="1"/>
      <c r="UAU264" s="1"/>
      <c r="UAV264" s="1"/>
      <c r="UAW264" s="1"/>
      <c r="UAX264" s="1"/>
      <c r="UAY264" s="1"/>
      <c r="UAZ264" s="1"/>
      <c r="UBA264" s="1"/>
      <c r="UBB264" s="1"/>
      <c r="UBC264" s="1"/>
      <c r="UBD264" s="1"/>
      <c r="UBE264" s="1"/>
      <c r="UBF264" s="1"/>
      <c r="UBG264" s="1"/>
      <c r="UBH264" s="1"/>
      <c r="UBI264" s="1"/>
      <c r="UBJ264" s="1"/>
      <c r="UBK264" s="1"/>
      <c r="UBL264" s="1"/>
      <c r="UBM264" s="1"/>
      <c r="UBN264" s="1"/>
      <c r="UBO264" s="1"/>
      <c r="UBP264" s="1"/>
      <c r="UBQ264" s="1"/>
      <c r="UBR264" s="1"/>
      <c r="UBS264" s="1"/>
      <c r="UBT264" s="1"/>
      <c r="UBU264" s="1"/>
      <c r="UBV264" s="1"/>
      <c r="UBW264" s="1"/>
      <c r="UBX264" s="1"/>
      <c r="UBY264" s="1"/>
      <c r="UBZ264" s="1"/>
      <c r="UCA264" s="1"/>
      <c r="UCB264" s="1"/>
      <c r="UCC264" s="1"/>
      <c r="UCD264" s="1"/>
      <c r="UCE264" s="1"/>
      <c r="UCF264" s="1"/>
      <c r="UCG264" s="1"/>
      <c r="UCH264" s="1"/>
      <c r="UCI264" s="1"/>
      <c r="UCJ264" s="1"/>
      <c r="UCK264" s="1"/>
      <c r="UCL264" s="1"/>
      <c r="UCM264" s="1"/>
      <c r="UCN264" s="1"/>
      <c r="UCO264" s="1"/>
      <c r="UCP264" s="1"/>
      <c r="UCQ264" s="1"/>
      <c r="UCR264" s="1"/>
      <c r="UCS264" s="1"/>
      <c r="UCT264" s="1"/>
      <c r="UCU264" s="1"/>
      <c r="UCV264" s="1"/>
      <c r="UCW264" s="1"/>
      <c r="UCX264" s="1"/>
      <c r="UCY264" s="1"/>
      <c r="UCZ264" s="1"/>
      <c r="UDA264" s="1"/>
      <c r="UDB264" s="1"/>
      <c r="UDC264" s="1"/>
      <c r="UDD264" s="1"/>
      <c r="UDE264" s="1"/>
      <c r="UDF264" s="1"/>
      <c r="UDG264" s="1"/>
      <c r="UDH264" s="1"/>
      <c r="UDI264" s="1"/>
      <c r="UDJ264" s="1"/>
      <c r="UDK264" s="1"/>
      <c r="UDL264" s="1"/>
      <c r="UDM264" s="1"/>
      <c r="UDN264" s="1"/>
      <c r="UDO264" s="1"/>
      <c r="UDP264" s="1"/>
      <c r="UDQ264" s="1"/>
      <c r="UDR264" s="1"/>
      <c r="UDS264" s="1"/>
      <c r="UDT264" s="1"/>
      <c r="UDU264" s="1"/>
      <c r="UDV264" s="1"/>
      <c r="UDW264" s="1"/>
      <c r="UDX264" s="1"/>
      <c r="UDY264" s="1"/>
      <c r="UDZ264" s="1"/>
      <c r="UEA264" s="1"/>
      <c r="UEB264" s="1"/>
      <c r="UEC264" s="1"/>
      <c r="UED264" s="1"/>
      <c r="UEE264" s="1"/>
      <c r="UEF264" s="1"/>
      <c r="UEG264" s="1"/>
      <c r="UEH264" s="1"/>
      <c r="UEI264" s="1"/>
      <c r="UEJ264" s="1"/>
      <c r="UEK264" s="1"/>
      <c r="UEL264" s="1"/>
      <c r="UEM264" s="1"/>
      <c r="UEN264" s="1"/>
      <c r="UEO264" s="1"/>
      <c r="UEP264" s="1"/>
      <c r="UEQ264" s="1"/>
      <c r="UER264" s="1"/>
      <c r="UES264" s="1"/>
      <c r="UET264" s="1"/>
      <c r="UEU264" s="1"/>
      <c r="UEV264" s="1"/>
      <c r="UEW264" s="1"/>
      <c r="UEX264" s="1"/>
      <c r="UEY264" s="1"/>
      <c r="UEZ264" s="1"/>
      <c r="UFA264" s="1"/>
      <c r="UFB264" s="1"/>
      <c r="UFC264" s="1"/>
      <c r="UFD264" s="1"/>
      <c r="UFE264" s="1"/>
      <c r="UFF264" s="1"/>
      <c r="UFG264" s="1"/>
      <c r="UFH264" s="1"/>
      <c r="UFI264" s="1"/>
      <c r="UFJ264" s="1"/>
      <c r="UFK264" s="1"/>
      <c r="UFL264" s="1"/>
      <c r="UFM264" s="1"/>
      <c r="UFN264" s="1"/>
      <c r="UFO264" s="1"/>
      <c r="UFP264" s="1"/>
      <c r="UFQ264" s="1"/>
      <c r="UFR264" s="1"/>
      <c r="UFS264" s="1"/>
      <c r="UFT264" s="1"/>
      <c r="UFU264" s="1"/>
      <c r="UFV264" s="1"/>
      <c r="UFW264" s="1"/>
      <c r="UFX264" s="1"/>
      <c r="UFY264" s="1"/>
      <c r="UFZ264" s="1"/>
      <c r="UGA264" s="1"/>
      <c r="UGB264" s="1"/>
      <c r="UGC264" s="1"/>
      <c r="UGD264" s="1"/>
      <c r="UGE264" s="1"/>
      <c r="UGF264" s="1"/>
      <c r="UGG264" s="1"/>
      <c r="UGH264" s="1"/>
      <c r="UGI264" s="1"/>
      <c r="UGJ264" s="1"/>
      <c r="UGK264" s="1"/>
      <c r="UGL264" s="1"/>
      <c r="UGM264" s="1"/>
      <c r="UGN264" s="1"/>
      <c r="UGO264" s="1"/>
      <c r="UGP264" s="1"/>
      <c r="UGQ264" s="1"/>
      <c r="UGR264" s="1"/>
      <c r="UGS264" s="1"/>
      <c r="UGT264" s="1"/>
      <c r="UGU264" s="1"/>
      <c r="UGV264" s="1"/>
      <c r="UGW264" s="1"/>
      <c r="UGX264" s="1"/>
      <c r="UGY264" s="1"/>
      <c r="UGZ264" s="1"/>
      <c r="UHA264" s="1"/>
      <c r="UHB264" s="1"/>
      <c r="UHC264" s="1"/>
      <c r="UHD264" s="1"/>
      <c r="UHE264" s="1"/>
      <c r="UHF264" s="1"/>
      <c r="UHG264" s="1"/>
      <c r="UHH264" s="1"/>
      <c r="UHI264" s="1"/>
      <c r="UHJ264" s="1"/>
      <c r="UHK264" s="1"/>
      <c r="UHL264" s="1"/>
      <c r="UHM264" s="1"/>
      <c r="UHN264" s="1"/>
      <c r="UHO264" s="1"/>
      <c r="UHP264" s="1"/>
      <c r="UHQ264" s="1"/>
      <c r="UHR264" s="1"/>
      <c r="UHS264" s="1"/>
      <c r="UHT264" s="1"/>
      <c r="UHU264" s="1"/>
      <c r="UHV264" s="1"/>
      <c r="UHW264" s="1"/>
      <c r="UHX264" s="1"/>
      <c r="UHY264" s="1"/>
      <c r="UHZ264" s="1"/>
      <c r="UIA264" s="1"/>
      <c r="UIB264" s="1"/>
      <c r="UIC264" s="1"/>
      <c r="UID264" s="1"/>
      <c r="UIE264" s="1"/>
      <c r="UIF264" s="1"/>
      <c r="UIG264" s="1"/>
      <c r="UIH264" s="1"/>
      <c r="UII264" s="1"/>
      <c r="UIJ264" s="1"/>
      <c r="UIK264" s="1"/>
      <c r="UIL264" s="1"/>
      <c r="UIM264" s="1"/>
      <c r="UIN264" s="1"/>
      <c r="UIO264" s="1"/>
      <c r="UIP264" s="1"/>
      <c r="UIQ264" s="1"/>
      <c r="UIR264" s="1"/>
      <c r="UIS264" s="1"/>
      <c r="UIT264" s="1"/>
      <c r="UIU264" s="1"/>
      <c r="UIV264" s="1"/>
      <c r="UIW264" s="1"/>
      <c r="UIX264" s="1"/>
      <c r="UIY264" s="1"/>
      <c r="UIZ264" s="1"/>
      <c r="UJA264" s="1"/>
      <c r="UJB264" s="1"/>
      <c r="UJC264" s="1"/>
      <c r="UJD264" s="1"/>
      <c r="UJE264" s="1"/>
      <c r="UJF264" s="1"/>
      <c r="UJG264" s="1"/>
      <c r="UJH264" s="1"/>
      <c r="UJI264" s="1"/>
      <c r="UJJ264" s="1"/>
      <c r="UJK264" s="1"/>
      <c r="UJL264" s="1"/>
      <c r="UJM264" s="1"/>
      <c r="UJN264" s="1"/>
      <c r="UJO264" s="1"/>
      <c r="UJP264" s="1"/>
      <c r="UJQ264" s="1"/>
      <c r="UJR264" s="1"/>
      <c r="UJS264" s="1"/>
      <c r="UJT264" s="1"/>
      <c r="UJU264" s="1"/>
      <c r="UJV264" s="1"/>
      <c r="UJW264" s="1"/>
      <c r="UJX264" s="1"/>
      <c r="UJY264" s="1"/>
      <c r="UJZ264" s="1"/>
      <c r="UKA264" s="1"/>
      <c r="UKB264" s="1"/>
      <c r="UKC264" s="1"/>
      <c r="UKD264" s="1"/>
      <c r="UKE264" s="1"/>
      <c r="UKF264" s="1"/>
      <c r="UKG264" s="1"/>
      <c r="UKH264" s="1"/>
      <c r="UKI264" s="1"/>
      <c r="UKJ264" s="1"/>
      <c r="UKK264" s="1"/>
      <c r="UKL264" s="1"/>
      <c r="UKM264" s="1"/>
      <c r="UKN264" s="1"/>
      <c r="UKO264" s="1"/>
      <c r="UKP264" s="1"/>
      <c r="UKQ264" s="1"/>
      <c r="UKR264" s="1"/>
      <c r="UKS264" s="1"/>
      <c r="UKT264" s="1"/>
      <c r="UKU264" s="1"/>
      <c r="UKV264" s="1"/>
      <c r="UKW264" s="1"/>
      <c r="UKX264" s="1"/>
      <c r="UKY264" s="1"/>
      <c r="UKZ264" s="1"/>
      <c r="ULA264" s="1"/>
      <c r="ULB264" s="1"/>
      <c r="ULC264" s="1"/>
      <c r="ULD264" s="1"/>
      <c r="ULE264" s="1"/>
      <c r="ULF264" s="1"/>
      <c r="ULG264" s="1"/>
      <c r="ULH264" s="1"/>
      <c r="ULI264" s="1"/>
      <c r="ULJ264" s="1"/>
      <c r="ULK264" s="1"/>
      <c r="ULL264" s="1"/>
      <c r="ULM264" s="1"/>
      <c r="ULN264" s="1"/>
      <c r="ULO264" s="1"/>
      <c r="ULP264" s="1"/>
      <c r="ULQ264" s="1"/>
      <c r="ULR264" s="1"/>
      <c r="ULS264" s="1"/>
      <c r="ULT264" s="1"/>
      <c r="ULU264" s="1"/>
      <c r="ULV264" s="1"/>
      <c r="ULW264" s="1"/>
      <c r="ULX264" s="1"/>
      <c r="ULY264" s="1"/>
      <c r="ULZ264" s="1"/>
      <c r="UMA264" s="1"/>
      <c r="UMB264" s="1"/>
      <c r="UMC264" s="1"/>
      <c r="UMD264" s="1"/>
      <c r="UME264" s="1"/>
      <c r="UMF264" s="1"/>
      <c r="UMG264" s="1"/>
      <c r="UMH264" s="1"/>
      <c r="UMI264" s="1"/>
      <c r="UMJ264" s="1"/>
      <c r="UMK264" s="1"/>
      <c r="UML264" s="1"/>
      <c r="UMM264" s="1"/>
      <c r="UMN264" s="1"/>
      <c r="UMO264" s="1"/>
      <c r="UMP264" s="1"/>
      <c r="UMQ264" s="1"/>
      <c r="UMR264" s="1"/>
      <c r="UMS264" s="1"/>
      <c r="UMT264" s="1"/>
      <c r="UMU264" s="1"/>
      <c r="UMV264" s="1"/>
      <c r="UMW264" s="1"/>
      <c r="UMX264" s="1"/>
      <c r="UMY264" s="1"/>
      <c r="UMZ264" s="1"/>
      <c r="UNA264" s="1"/>
      <c r="UNB264" s="1"/>
      <c r="UNC264" s="1"/>
      <c r="UND264" s="1"/>
      <c r="UNE264" s="1"/>
      <c r="UNF264" s="1"/>
      <c r="UNG264" s="1"/>
      <c r="UNH264" s="1"/>
      <c r="UNI264" s="1"/>
      <c r="UNJ264" s="1"/>
      <c r="UNK264" s="1"/>
      <c r="UNL264" s="1"/>
      <c r="UNM264" s="1"/>
      <c r="UNN264" s="1"/>
      <c r="UNO264" s="1"/>
      <c r="UNP264" s="1"/>
      <c r="UNQ264" s="1"/>
      <c r="UNR264" s="1"/>
      <c r="UNS264" s="1"/>
      <c r="UNT264" s="1"/>
      <c r="UNU264" s="1"/>
      <c r="UNV264" s="1"/>
      <c r="UNW264" s="1"/>
      <c r="UNX264" s="1"/>
      <c r="UNY264" s="1"/>
      <c r="UNZ264" s="1"/>
      <c r="UOA264" s="1"/>
      <c r="UOB264" s="1"/>
      <c r="UOC264" s="1"/>
      <c r="UOD264" s="1"/>
      <c r="UOE264" s="1"/>
      <c r="UOF264" s="1"/>
      <c r="UOG264" s="1"/>
      <c r="UOH264" s="1"/>
      <c r="UOI264" s="1"/>
      <c r="UOJ264" s="1"/>
      <c r="UOK264" s="1"/>
      <c r="UOL264" s="1"/>
      <c r="UOM264" s="1"/>
      <c r="UON264" s="1"/>
      <c r="UOO264" s="1"/>
      <c r="UOP264" s="1"/>
      <c r="UOQ264" s="1"/>
      <c r="UOR264" s="1"/>
      <c r="UOS264" s="1"/>
      <c r="UOT264" s="1"/>
      <c r="UOU264" s="1"/>
      <c r="UOV264" s="1"/>
      <c r="UOW264" s="1"/>
      <c r="UOX264" s="1"/>
      <c r="UOY264" s="1"/>
      <c r="UOZ264" s="1"/>
      <c r="UPA264" s="1"/>
      <c r="UPB264" s="1"/>
      <c r="UPC264" s="1"/>
      <c r="UPD264" s="1"/>
      <c r="UPE264" s="1"/>
      <c r="UPF264" s="1"/>
      <c r="UPG264" s="1"/>
      <c r="UPH264" s="1"/>
      <c r="UPI264" s="1"/>
      <c r="UPJ264" s="1"/>
      <c r="UPK264" s="1"/>
      <c r="UPL264" s="1"/>
      <c r="UPM264" s="1"/>
      <c r="UPN264" s="1"/>
      <c r="UPO264" s="1"/>
      <c r="UPP264" s="1"/>
      <c r="UPQ264" s="1"/>
      <c r="UPR264" s="1"/>
      <c r="UPS264" s="1"/>
      <c r="UPT264" s="1"/>
      <c r="UPU264" s="1"/>
      <c r="UPV264" s="1"/>
      <c r="UPW264" s="1"/>
      <c r="UPX264" s="1"/>
      <c r="UPY264" s="1"/>
      <c r="UPZ264" s="1"/>
      <c r="UQA264" s="1"/>
      <c r="UQB264" s="1"/>
      <c r="UQC264" s="1"/>
      <c r="UQD264" s="1"/>
      <c r="UQE264" s="1"/>
      <c r="UQF264" s="1"/>
      <c r="UQG264" s="1"/>
      <c r="UQH264" s="1"/>
      <c r="UQI264" s="1"/>
      <c r="UQJ264" s="1"/>
      <c r="UQK264" s="1"/>
      <c r="UQL264" s="1"/>
      <c r="UQM264" s="1"/>
      <c r="UQN264" s="1"/>
      <c r="UQO264" s="1"/>
      <c r="UQP264" s="1"/>
      <c r="UQQ264" s="1"/>
      <c r="UQR264" s="1"/>
      <c r="UQS264" s="1"/>
      <c r="UQT264" s="1"/>
      <c r="UQU264" s="1"/>
      <c r="UQV264" s="1"/>
      <c r="UQW264" s="1"/>
      <c r="UQX264" s="1"/>
      <c r="UQY264" s="1"/>
      <c r="UQZ264" s="1"/>
      <c r="URA264" s="1"/>
      <c r="URB264" s="1"/>
      <c r="URC264" s="1"/>
      <c r="URD264" s="1"/>
      <c r="URE264" s="1"/>
      <c r="URF264" s="1"/>
      <c r="URG264" s="1"/>
      <c r="URH264" s="1"/>
      <c r="URI264" s="1"/>
      <c r="URJ264" s="1"/>
      <c r="URK264" s="1"/>
      <c r="URL264" s="1"/>
      <c r="URM264" s="1"/>
      <c r="URN264" s="1"/>
      <c r="URO264" s="1"/>
      <c r="URP264" s="1"/>
      <c r="URQ264" s="1"/>
      <c r="URR264" s="1"/>
      <c r="URS264" s="1"/>
      <c r="URT264" s="1"/>
      <c r="URU264" s="1"/>
      <c r="URV264" s="1"/>
      <c r="URW264" s="1"/>
      <c r="URX264" s="1"/>
      <c r="URY264" s="1"/>
      <c r="URZ264" s="1"/>
      <c r="USA264" s="1"/>
      <c r="USB264" s="1"/>
      <c r="USC264" s="1"/>
      <c r="USD264" s="1"/>
      <c r="USE264" s="1"/>
      <c r="USF264" s="1"/>
      <c r="USG264" s="1"/>
      <c r="USH264" s="1"/>
      <c r="USI264" s="1"/>
      <c r="USJ264" s="1"/>
      <c r="USK264" s="1"/>
      <c r="USL264" s="1"/>
      <c r="USM264" s="1"/>
      <c r="USN264" s="1"/>
      <c r="USO264" s="1"/>
      <c r="USP264" s="1"/>
      <c r="USQ264" s="1"/>
      <c r="USR264" s="1"/>
      <c r="USS264" s="1"/>
      <c r="UST264" s="1"/>
      <c r="USU264" s="1"/>
      <c r="USV264" s="1"/>
      <c r="USW264" s="1"/>
      <c r="USX264" s="1"/>
      <c r="USY264" s="1"/>
      <c r="USZ264" s="1"/>
      <c r="UTA264" s="1"/>
      <c r="UTB264" s="1"/>
      <c r="UTC264" s="1"/>
      <c r="UTD264" s="1"/>
      <c r="UTE264" s="1"/>
      <c r="UTF264" s="1"/>
      <c r="UTG264" s="1"/>
      <c r="UTH264" s="1"/>
      <c r="UTI264" s="1"/>
      <c r="UTJ264" s="1"/>
      <c r="UTK264" s="1"/>
      <c r="UTL264" s="1"/>
      <c r="UTM264" s="1"/>
      <c r="UTN264" s="1"/>
      <c r="UTO264" s="1"/>
      <c r="UTP264" s="1"/>
      <c r="UTQ264" s="1"/>
      <c r="UTR264" s="1"/>
      <c r="UTS264" s="1"/>
      <c r="UTT264" s="1"/>
      <c r="UTU264" s="1"/>
      <c r="UTV264" s="1"/>
      <c r="UTW264" s="1"/>
      <c r="UTX264" s="1"/>
      <c r="UTY264" s="1"/>
      <c r="UTZ264" s="1"/>
      <c r="UUA264" s="1"/>
      <c r="UUB264" s="1"/>
      <c r="UUC264" s="1"/>
      <c r="UUD264" s="1"/>
      <c r="UUE264" s="1"/>
      <c r="UUF264" s="1"/>
      <c r="UUG264" s="1"/>
      <c r="UUH264" s="1"/>
      <c r="UUI264" s="1"/>
      <c r="UUJ264" s="1"/>
      <c r="UUK264" s="1"/>
      <c r="UUL264" s="1"/>
      <c r="UUM264" s="1"/>
      <c r="UUN264" s="1"/>
      <c r="UUO264" s="1"/>
      <c r="UUP264" s="1"/>
      <c r="UUQ264" s="1"/>
      <c r="UUR264" s="1"/>
      <c r="UUS264" s="1"/>
      <c r="UUT264" s="1"/>
      <c r="UUU264" s="1"/>
      <c r="UUV264" s="1"/>
      <c r="UUW264" s="1"/>
      <c r="UUX264" s="1"/>
      <c r="UUY264" s="1"/>
      <c r="UUZ264" s="1"/>
      <c r="UVA264" s="1"/>
      <c r="UVB264" s="1"/>
      <c r="UVC264" s="1"/>
      <c r="UVD264" s="1"/>
      <c r="UVE264" s="1"/>
      <c r="UVF264" s="1"/>
      <c r="UVG264" s="1"/>
      <c r="UVH264" s="1"/>
      <c r="UVI264" s="1"/>
      <c r="UVJ264" s="1"/>
      <c r="UVK264" s="1"/>
      <c r="UVL264" s="1"/>
      <c r="UVM264" s="1"/>
      <c r="UVN264" s="1"/>
      <c r="UVO264" s="1"/>
      <c r="UVP264" s="1"/>
      <c r="UVQ264" s="1"/>
      <c r="UVR264" s="1"/>
      <c r="UVS264" s="1"/>
      <c r="UVT264" s="1"/>
      <c r="UVU264" s="1"/>
      <c r="UVV264" s="1"/>
      <c r="UVW264" s="1"/>
      <c r="UVX264" s="1"/>
      <c r="UVY264" s="1"/>
      <c r="UVZ264" s="1"/>
      <c r="UWA264" s="1"/>
      <c r="UWB264" s="1"/>
      <c r="UWC264" s="1"/>
      <c r="UWD264" s="1"/>
      <c r="UWE264" s="1"/>
      <c r="UWF264" s="1"/>
      <c r="UWG264" s="1"/>
      <c r="UWH264" s="1"/>
      <c r="UWI264" s="1"/>
      <c r="UWJ264" s="1"/>
      <c r="UWK264" s="1"/>
      <c r="UWL264" s="1"/>
      <c r="UWM264" s="1"/>
      <c r="UWN264" s="1"/>
      <c r="UWO264" s="1"/>
      <c r="UWP264" s="1"/>
      <c r="UWQ264" s="1"/>
      <c r="UWR264" s="1"/>
      <c r="UWS264" s="1"/>
      <c r="UWT264" s="1"/>
      <c r="UWU264" s="1"/>
      <c r="UWV264" s="1"/>
      <c r="UWW264" s="1"/>
      <c r="UWX264" s="1"/>
      <c r="UWY264" s="1"/>
      <c r="UWZ264" s="1"/>
      <c r="UXA264" s="1"/>
      <c r="UXB264" s="1"/>
      <c r="UXC264" s="1"/>
      <c r="UXD264" s="1"/>
      <c r="UXE264" s="1"/>
      <c r="UXF264" s="1"/>
      <c r="UXG264" s="1"/>
      <c r="UXH264" s="1"/>
      <c r="UXI264" s="1"/>
      <c r="UXJ264" s="1"/>
      <c r="UXK264" s="1"/>
      <c r="UXL264" s="1"/>
      <c r="UXM264" s="1"/>
      <c r="UXN264" s="1"/>
      <c r="UXO264" s="1"/>
      <c r="UXP264" s="1"/>
      <c r="UXQ264" s="1"/>
      <c r="UXR264" s="1"/>
      <c r="UXS264" s="1"/>
      <c r="UXT264" s="1"/>
      <c r="UXU264" s="1"/>
      <c r="UXV264" s="1"/>
      <c r="UXW264" s="1"/>
      <c r="UXX264" s="1"/>
      <c r="UXY264" s="1"/>
      <c r="UXZ264" s="1"/>
      <c r="UYA264" s="1"/>
      <c r="UYB264" s="1"/>
      <c r="UYC264" s="1"/>
      <c r="UYD264" s="1"/>
      <c r="UYE264" s="1"/>
      <c r="UYF264" s="1"/>
      <c r="UYG264" s="1"/>
      <c r="UYH264" s="1"/>
      <c r="UYI264" s="1"/>
      <c r="UYJ264" s="1"/>
      <c r="UYK264" s="1"/>
      <c r="UYL264" s="1"/>
      <c r="UYM264" s="1"/>
      <c r="UYN264" s="1"/>
      <c r="UYO264" s="1"/>
      <c r="UYP264" s="1"/>
      <c r="UYQ264" s="1"/>
      <c r="UYR264" s="1"/>
      <c r="UYS264" s="1"/>
      <c r="UYT264" s="1"/>
      <c r="UYU264" s="1"/>
      <c r="UYV264" s="1"/>
      <c r="UYW264" s="1"/>
      <c r="UYX264" s="1"/>
      <c r="UYY264" s="1"/>
      <c r="UYZ264" s="1"/>
      <c r="UZA264" s="1"/>
      <c r="UZB264" s="1"/>
      <c r="UZC264" s="1"/>
      <c r="UZD264" s="1"/>
      <c r="UZE264" s="1"/>
      <c r="UZF264" s="1"/>
      <c r="UZG264" s="1"/>
      <c r="UZH264" s="1"/>
      <c r="UZI264" s="1"/>
      <c r="UZJ264" s="1"/>
      <c r="UZK264" s="1"/>
      <c r="UZL264" s="1"/>
      <c r="UZM264" s="1"/>
      <c r="UZN264" s="1"/>
      <c r="UZO264" s="1"/>
      <c r="UZP264" s="1"/>
      <c r="UZQ264" s="1"/>
      <c r="UZR264" s="1"/>
      <c r="UZS264" s="1"/>
      <c r="UZT264" s="1"/>
      <c r="UZU264" s="1"/>
      <c r="UZV264" s="1"/>
      <c r="UZW264" s="1"/>
      <c r="UZX264" s="1"/>
      <c r="UZY264" s="1"/>
      <c r="UZZ264" s="1"/>
      <c r="VAA264" s="1"/>
      <c r="VAB264" s="1"/>
      <c r="VAC264" s="1"/>
      <c r="VAD264" s="1"/>
      <c r="VAE264" s="1"/>
      <c r="VAF264" s="1"/>
      <c r="VAG264" s="1"/>
      <c r="VAH264" s="1"/>
      <c r="VAI264" s="1"/>
      <c r="VAJ264" s="1"/>
      <c r="VAK264" s="1"/>
      <c r="VAL264" s="1"/>
      <c r="VAM264" s="1"/>
      <c r="VAN264" s="1"/>
      <c r="VAO264" s="1"/>
      <c r="VAP264" s="1"/>
      <c r="VAQ264" s="1"/>
      <c r="VAR264" s="1"/>
      <c r="VAS264" s="1"/>
      <c r="VAT264" s="1"/>
      <c r="VAU264" s="1"/>
      <c r="VAV264" s="1"/>
      <c r="VAW264" s="1"/>
      <c r="VAX264" s="1"/>
      <c r="VAY264" s="1"/>
      <c r="VAZ264" s="1"/>
      <c r="VBA264" s="1"/>
      <c r="VBB264" s="1"/>
      <c r="VBC264" s="1"/>
      <c r="VBD264" s="1"/>
      <c r="VBE264" s="1"/>
      <c r="VBF264" s="1"/>
      <c r="VBG264" s="1"/>
      <c r="VBH264" s="1"/>
      <c r="VBI264" s="1"/>
      <c r="VBJ264" s="1"/>
      <c r="VBK264" s="1"/>
      <c r="VBL264" s="1"/>
      <c r="VBM264" s="1"/>
      <c r="VBN264" s="1"/>
      <c r="VBO264" s="1"/>
      <c r="VBP264" s="1"/>
      <c r="VBQ264" s="1"/>
      <c r="VBR264" s="1"/>
      <c r="VBS264" s="1"/>
      <c r="VBT264" s="1"/>
      <c r="VBU264" s="1"/>
      <c r="VBV264" s="1"/>
      <c r="VBW264" s="1"/>
      <c r="VBX264" s="1"/>
      <c r="VBY264" s="1"/>
      <c r="VBZ264" s="1"/>
      <c r="VCA264" s="1"/>
      <c r="VCB264" s="1"/>
      <c r="VCC264" s="1"/>
      <c r="VCD264" s="1"/>
      <c r="VCE264" s="1"/>
      <c r="VCF264" s="1"/>
      <c r="VCG264" s="1"/>
      <c r="VCH264" s="1"/>
      <c r="VCI264" s="1"/>
      <c r="VCJ264" s="1"/>
      <c r="VCK264" s="1"/>
      <c r="VCL264" s="1"/>
      <c r="VCM264" s="1"/>
      <c r="VCN264" s="1"/>
      <c r="VCO264" s="1"/>
      <c r="VCP264" s="1"/>
      <c r="VCQ264" s="1"/>
      <c r="VCR264" s="1"/>
      <c r="VCS264" s="1"/>
      <c r="VCT264" s="1"/>
      <c r="VCU264" s="1"/>
      <c r="VCV264" s="1"/>
      <c r="VCW264" s="1"/>
      <c r="VCX264" s="1"/>
      <c r="VCY264" s="1"/>
      <c r="VCZ264" s="1"/>
      <c r="VDA264" s="1"/>
      <c r="VDB264" s="1"/>
      <c r="VDC264" s="1"/>
      <c r="VDD264" s="1"/>
      <c r="VDE264" s="1"/>
      <c r="VDF264" s="1"/>
      <c r="VDG264" s="1"/>
      <c r="VDH264" s="1"/>
      <c r="VDI264" s="1"/>
      <c r="VDJ264" s="1"/>
      <c r="VDK264" s="1"/>
      <c r="VDL264" s="1"/>
      <c r="VDM264" s="1"/>
      <c r="VDN264" s="1"/>
      <c r="VDO264" s="1"/>
      <c r="VDP264" s="1"/>
      <c r="VDQ264" s="1"/>
      <c r="VDR264" s="1"/>
      <c r="VDS264" s="1"/>
      <c r="VDT264" s="1"/>
      <c r="VDU264" s="1"/>
      <c r="VDV264" s="1"/>
      <c r="VDW264" s="1"/>
      <c r="VDX264" s="1"/>
      <c r="VDY264" s="1"/>
      <c r="VDZ264" s="1"/>
      <c r="VEA264" s="1"/>
      <c r="VEB264" s="1"/>
      <c r="VEC264" s="1"/>
      <c r="VED264" s="1"/>
      <c r="VEE264" s="1"/>
      <c r="VEF264" s="1"/>
      <c r="VEG264" s="1"/>
      <c r="VEH264" s="1"/>
      <c r="VEI264" s="1"/>
      <c r="VEJ264" s="1"/>
      <c r="VEK264" s="1"/>
      <c r="VEL264" s="1"/>
      <c r="VEM264" s="1"/>
      <c r="VEN264" s="1"/>
      <c r="VEO264" s="1"/>
      <c r="VEP264" s="1"/>
      <c r="VEQ264" s="1"/>
      <c r="VER264" s="1"/>
      <c r="VES264" s="1"/>
      <c r="VET264" s="1"/>
      <c r="VEU264" s="1"/>
      <c r="VEV264" s="1"/>
      <c r="VEW264" s="1"/>
      <c r="VEX264" s="1"/>
      <c r="VEY264" s="1"/>
      <c r="VEZ264" s="1"/>
      <c r="VFA264" s="1"/>
      <c r="VFB264" s="1"/>
      <c r="VFC264" s="1"/>
      <c r="VFD264" s="1"/>
      <c r="VFE264" s="1"/>
      <c r="VFF264" s="1"/>
      <c r="VFG264" s="1"/>
      <c r="VFH264" s="1"/>
      <c r="VFI264" s="1"/>
      <c r="VFJ264" s="1"/>
      <c r="VFK264" s="1"/>
      <c r="VFL264" s="1"/>
      <c r="VFM264" s="1"/>
      <c r="VFN264" s="1"/>
      <c r="VFO264" s="1"/>
      <c r="VFP264" s="1"/>
      <c r="VFQ264" s="1"/>
      <c r="VFR264" s="1"/>
      <c r="VFS264" s="1"/>
      <c r="VFT264" s="1"/>
      <c r="VFU264" s="1"/>
      <c r="VFV264" s="1"/>
      <c r="VFW264" s="1"/>
      <c r="VFX264" s="1"/>
      <c r="VFY264" s="1"/>
      <c r="VFZ264" s="1"/>
      <c r="VGA264" s="1"/>
      <c r="VGB264" s="1"/>
      <c r="VGC264" s="1"/>
      <c r="VGD264" s="1"/>
      <c r="VGE264" s="1"/>
      <c r="VGF264" s="1"/>
      <c r="VGG264" s="1"/>
      <c r="VGH264" s="1"/>
      <c r="VGI264" s="1"/>
      <c r="VGJ264" s="1"/>
      <c r="VGK264" s="1"/>
      <c r="VGL264" s="1"/>
      <c r="VGM264" s="1"/>
      <c r="VGN264" s="1"/>
      <c r="VGO264" s="1"/>
      <c r="VGP264" s="1"/>
      <c r="VGQ264" s="1"/>
      <c r="VGR264" s="1"/>
      <c r="VGS264" s="1"/>
      <c r="VGT264" s="1"/>
      <c r="VGU264" s="1"/>
      <c r="VGV264" s="1"/>
      <c r="VGW264" s="1"/>
      <c r="VGX264" s="1"/>
      <c r="VGY264" s="1"/>
      <c r="VGZ264" s="1"/>
      <c r="VHA264" s="1"/>
      <c r="VHB264" s="1"/>
      <c r="VHC264" s="1"/>
      <c r="VHD264" s="1"/>
      <c r="VHE264" s="1"/>
      <c r="VHF264" s="1"/>
      <c r="VHG264" s="1"/>
      <c r="VHH264" s="1"/>
      <c r="VHI264" s="1"/>
      <c r="VHJ264" s="1"/>
      <c r="VHK264" s="1"/>
      <c r="VHL264" s="1"/>
      <c r="VHM264" s="1"/>
      <c r="VHN264" s="1"/>
      <c r="VHO264" s="1"/>
      <c r="VHP264" s="1"/>
      <c r="VHQ264" s="1"/>
      <c r="VHR264" s="1"/>
      <c r="VHS264" s="1"/>
      <c r="VHT264" s="1"/>
      <c r="VHU264" s="1"/>
      <c r="VHV264" s="1"/>
      <c r="VHW264" s="1"/>
      <c r="VHX264" s="1"/>
      <c r="VHY264" s="1"/>
      <c r="VHZ264" s="1"/>
      <c r="VIA264" s="1"/>
      <c r="VIB264" s="1"/>
      <c r="VIC264" s="1"/>
      <c r="VID264" s="1"/>
      <c r="VIE264" s="1"/>
      <c r="VIF264" s="1"/>
      <c r="VIG264" s="1"/>
      <c r="VIH264" s="1"/>
      <c r="VII264" s="1"/>
      <c r="VIJ264" s="1"/>
      <c r="VIK264" s="1"/>
      <c r="VIL264" s="1"/>
      <c r="VIM264" s="1"/>
      <c r="VIN264" s="1"/>
      <c r="VIO264" s="1"/>
      <c r="VIP264" s="1"/>
      <c r="VIQ264" s="1"/>
      <c r="VIR264" s="1"/>
      <c r="VIS264" s="1"/>
      <c r="VIT264" s="1"/>
      <c r="VIU264" s="1"/>
      <c r="VIV264" s="1"/>
      <c r="VIW264" s="1"/>
      <c r="VIX264" s="1"/>
      <c r="VIY264" s="1"/>
      <c r="VIZ264" s="1"/>
      <c r="VJA264" s="1"/>
      <c r="VJB264" s="1"/>
      <c r="VJC264" s="1"/>
      <c r="VJD264" s="1"/>
      <c r="VJE264" s="1"/>
      <c r="VJF264" s="1"/>
      <c r="VJG264" s="1"/>
      <c r="VJH264" s="1"/>
      <c r="VJI264" s="1"/>
      <c r="VJJ264" s="1"/>
      <c r="VJK264" s="1"/>
      <c r="VJL264" s="1"/>
      <c r="VJM264" s="1"/>
      <c r="VJN264" s="1"/>
      <c r="VJO264" s="1"/>
      <c r="VJP264" s="1"/>
      <c r="VJQ264" s="1"/>
      <c r="VJR264" s="1"/>
      <c r="VJS264" s="1"/>
      <c r="VJT264" s="1"/>
      <c r="VJU264" s="1"/>
      <c r="VJV264" s="1"/>
      <c r="VJW264" s="1"/>
      <c r="VJX264" s="1"/>
      <c r="VJY264" s="1"/>
      <c r="VJZ264" s="1"/>
      <c r="VKA264" s="1"/>
      <c r="VKB264" s="1"/>
      <c r="VKC264" s="1"/>
      <c r="VKD264" s="1"/>
      <c r="VKE264" s="1"/>
      <c r="VKF264" s="1"/>
      <c r="VKG264" s="1"/>
      <c r="VKH264" s="1"/>
      <c r="VKI264" s="1"/>
      <c r="VKJ264" s="1"/>
      <c r="VKK264" s="1"/>
      <c r="VKL264" s="1"/>
      <c r="VKM264" s="1"/>
      <c r="VKN264" s="1"/>
      <c r="VKO264" s="1"/>
      <c r="VKP264" s="1"/>
      <c r="VKQ264" s="1"/>
      <c r="VKR264" s="1"/>
      <c r="VKS264" s="1"/>
      <c r="VKT264" s="1"/>
      <c r="VKU264" s="1"/>
      <c r="VKV264" s="1"/>
      <c r="VKW264" s="1"/>
      <c r="VKX264" s="1"/>
      <c r="VKY264" s="1"/>
      <c r="VKZ264" s="1"/>
      <c r="VLA264" s="1"/>
      <c r="VLB264" s="1"/>
      <c r="VLC264" s="1"/>
      <c r="VLD264" s="1"/>
      <c r="VLE264" s="1"/>
      <c r="VLF264" s="1"/>
      <c r="VLG264" s="1"/>
      <c r="VLH264" s="1"/>
      <c r="VLI264" s="1"/>
      <c r="VLJ264" s="1"/>
      <c r="VLK264" s="1"/>
      <c r="VLL264" s="1"/>
      <c r="VLM264" s="1"/>
      <c r="VLN264" s="1"/>
      <c r="VLO264" s="1"/>
      <c r="VLP264" s="1"/>
      <c r="VLQ264" s="1"/>
      <c r="VLR264" s="1"/>
      <c r="VLS264" s="1"/>
      <c r="VLT264" s="1"/>
      <c r="VLU264" s="1"/>
      <c r="VLV264" s="1"/>
      <c r="VLW264" s="1"/>
      <c r="VLX264" s="1"/>
      <c r="VLY264" s="1"/>
      <c r="VLZ264" s="1"/>
      <c r="VMA264" s="1"/>
      <c r="VMB264" s="1"/>
      <c r="VMC264" s="1"/>
      <c r="VMD264" s="1"/>
      <c r="VME264" s="1"/>
      <c r="VMF264" s="1"/>
      <c r="VMG264" s="1"/>
      <c r="VMH264" s="1"/>
      <c r="VMI264" s="1"/>
      <c r="VMJ264" s="1"/>
      <c r="VMK264" s="1"/>
      <c r="VML264" s="1"/>
      <c r="VMM264" s="1"/>
      <c r="VMN264" s="1"/>
      <c r="VMO264" s="1"/>
      <c r="VMP264" s="1"/>
      <c r="VMQ264" s="1"/>
      <c r="VMR264" s="1"/>
      <c r="VMS264" s="1"/>
      <c r="VMT264" s="1"/>
      <c r="VMU264" s="1"/>
      <c r="VMV264" s="1"/>
      <c r="VMW264" s="1"/>
      <c r="VMX264" s="1"/>
      <c r="VMY264" s="1"/>
      <c r="VMZ264" s="1"/>
      <c r="VNA264" s="1"/>
      <c r="VNB264" s="1"/>
      <c r="VNC264" s="1"/>
      <c r="VND264" s="1"/>
      <c r="VNE264" s="1"/>
      <c r="VNF264" s="1"/>
      <c r="VNG264" s="1"/>
      <c r="VNH264" s="1"/>
      <c r="VNI264" s="1"/>
      <c r="VNJ264" s="1"/>
      <c r="VNK264" s="1"/>
      <c r="VNL264" s="1"/>
      <c r="VNM264" s="1"/>
      <c r="VNN264" s="1"/>
      <c r="VNO264" s="1"/>
      <c r="VNP264" s="1"/>
      <c r="VNQ264" s="1"/>
      <c r="VNR264" s="1"/>
      <c r="VNS264" s="1"/>
      <c r="VNT264" s="1"/>
      <c r="VNU264" s="1"/>
      <c r="VNV264" s="1"/>
      <c r="VNW264" s="1"/>
      <c r="VNX264" s="1"/>
      <c r="VNY264" s="1"/>
      <c r="VNZ264" s="1"/>
      <c r="VOA264" s="1"/>
      <c r="VOB264" s="1"/>
      <c r="VOC264" s="1"/>
      <c r="VOD264" s="1"/>
      <c r="VOE264" s="1"/>
      <c r="VOF264" s="1"/>
      <c r="VOG264" s="1"/>
      <c r="VOH264" s="1"/>
      <c r="VOI264" s="1"/>
      <c r="VOJ264" s="1"/>
      <c r="VOK264" s="1"/>
      <c r="VOL264" s="1"/>
      <c r="VOM264" s="1"/>
      <c r="VON264" s="1"/>
      <c r="VOO264" s="1"/>
      <c r="VOP264" s="1"/>
      <c r="VOQ264" s="1"/>
      <c r="VOR264" s="1"/>
      <c r="VOS264" s="1"/>
      <c r="VOT264" s="1"/>
      <c r="VOU264" s="1"/>
      <c r="VOV264" s="1"/>
      <c r="VOW264" s="1"/>
      <c r="VOX264" s="1"/>
      <c r="VOY264" s="1"/>
      <c r="VOZ264" s="1"/>
      <c r="VPA264" s="1"/>
      <c r="VPB264" s="1"/>
      <c r="VPC264" s="1"/>
      <c r="VPD264" s="1"/>
      <c r="VPE264" s="1"/>
      <c r="VPF264" s="1"/>
      <c r="VPG264" s="1"/>
      <c r="VPH264" s="1"/>
      <c r="VPI264" s="1"/>
      <c r="VPJ264" s="1"/>
      <c r="VPK264" s="1"/>
      <c r="VPL264" s="1"/>
      <c r="VPM264" s="1"/>
      <c r="VPN264" s="1"/>
      <c r="VPO264" s="1"/>
      <c r="VPP264" s="1"/>
      <c r="VPQ264" s="1"/>
      <c r="VPR264" s="1"/>
      <c r="VPS264" s="1"/>
      <c r="VPT264" s="1"/>
      <c r="VPU264" s="1"/>
      <c r="VPV264" s="1"/>
      <c r="VPW264" s="1"/>
      <c r="VPX264" s="1"/>
      <c r="VPY264" s="1"/>
      <c r="VPZ264" s="1"/>
      <c r="VQA264" s="1"/>
      <c r="VQB264" s="1"/>
      <c r="VQC264" s="1"/>
      <c r="VQD264" s="1"/>
      <c r="VQE264" s="1"/>
      <c r="VQF264" s="1"/>
      <c r="VQG264" s="1"/>
      <c r="VQH264" s="1"/>
      <c r="VQI264" s="1"/>
      <c r="VQJ264" s="1"/>
      <c r="VQK264" s="1"/>
      <c r="VQL264" s="1"/>
      <c r="VQM264" s="1"/>
      <c r="VQN264" s="1"/>
      <c r="VQO264" s="1"/>
      <c r="VQP264" s="1"/>
      <c r="VQQ264" s="1"/>
      <c r="VQR264" s="1"/>
      <c r="VQS264" s="1"/>
      <c r="VQT264" s="1"/>
      <c r="VQU264" s="1"/>
      <c r="VQV264" s="1"/>
      <c r="VQW264" s="1"/>
      <c r="VQX264" s="1"/>
      <c r="VQY264" s="1"/>
      <c r="VQZ264" s="1"/>
      <c r="VRA264" s="1"/>
      <c r="VRB264" s="1"/>
      <c r="VRC264" s="1"/>
      <c r="VRD264" s="1"/>
      <c r="VRE264" s="1"/>
      <c r="VRF264" s="1"/>
      <c r="VRG264" s="1"/>
      <c r="VRH264" s="1"/>
      <c r="VRI264" s="1"/>
      <c r="VRJ264" s="1"/>
      <c r="VRK264" s="1"/>
      <c r="VRL264" s="1"/>
      <c r="VRM264" s="1"/>
      <c r="VRN264" s="1"/>
      <c r="VRO264" s="1"/>
      <c r="VRP264" s="1"/>
      <c r="VRQ264" s="1"/>
      <c r="VRR264" s="1"/>
      <c r="VRS264" s="1"/>
      <c r="VRT264" s="1"/>
      <c r="VRU264" s="1"/>
      <c r="VRV264" s="1"/>
      <c r="VRW264" s="1"/>
      <c r="VRX264" s="1"/>
      <c r="VRY264" s="1"/>
      <c r="VRZ264" s="1"/>
      <c r="VSA264" s="1"/>
      <c r="VSB264" s="1"/>
      <c r="VSC264" s="1"/>
      <c r="VSD264" s="1"/>
      <c r="VSE264" s="1"/>
      <c r="VSF264" s="1"/>
      <c r="VSG264" s="1"/>
      <c r="VSH264" s="1"/>
      <c r="VSI264" s="1"/>
      <c r="VSJ264" s="1"/>
      <c r="VSK264" s="1"/>
      <c r="VSL264" s="1"/>
      <c r="VSM264" s="1"/>
      <c r="VSN264" s="1"/>
      <c r="VSO264" s="1"/>
      <c r="VSP264" s="1"/>
      <c r="VSQ264" s="1"/>
      <c r="VSR264" s="1"/>
      <c r="VSS264" s="1"/>
      <c r="VST264" s="1"/>
      <c r="VSU264" s="1"/>
      <c r="VSV264" s="1"/>
      <c r="VSW264" s="1"/>
      <c r="VSX264" s="1"/>
      <c r="VSY264" s="1"/>
      <c r="VSZ264" s="1"/>
      <c r="VTA264" s="1"/>
      <c r="VTB264" s="1"/>
      <c r="VTC264" s="1"/>
      <c r="VTD264" s="1"/>
      <c r="VTE264" s="1"/>
      <c r="VTF264" s="1"/>
      <c r="VTG264" s="1"/>
      <c r="VTH264" s="1"/>
      <c r="VTI264" s="1"/>
      <c r="VTJ264" s="1"/>
      <c r="VTK264" s="1"/>
      <c r="VTL264" s="1"/>
      <c r="VTM264" s="1"/>
      <c r="VTN264" s="1"/>
      <c r="VTO264" s="1"/>
      <c r="VTP264" s="1"/>
      <c r="VTQ264" s="1"/>
      <c r="VTR264" s="1"/>
      <c r="VTS264" s="1"/>
      <c r="VTT264" s="1"/>
      <c r="VTU264" s="1"/>
      <c r="VTV264" s="1"/>
      <c r="VTW264" s="1"/>
      <c r="VTX264" s="1"/>
      <c r="VTY264" s="1"/>
      <c r="VTZ264" s="1"/>
      <c r="VUA264" s="1"/>
      <c r="VUB264" s="1"/>
      <c r="VUC264" s="1"/>
      <c r="VUD264" s="1"/>
      <c r="VUE264" s="1"/>
      <c r="VUF264" s="1"/>
      <c r="VUG264" s="1"/>
      <c r="VUH264" s="1"/>
      <c r="VUI264" s="1"/>
      <c r="VUJ264" s="1"/>
      <c r="VUK264" s="1"/>
      <c r="VUL264" s="1"/>
      <c r="VUM264" s="1"/>
      <c r="VUN264" s="1"/>
      <c r="VUO264" s="1"/>
      <c r="VUP264" s="1"/>
      <c r="VUQ264" s="1"/>
      <c r="VUR264" s="1"/>
      <c r="VUS264" s="1"/>
      <c r="VUT264" s="1"/>
      <c r="VUU264" s="1"/>
      <c r="VUV264" s="1"/>
      <c r="VUW264" s="1"/>
      <c r="VUX264" s="1"/>
      <c r="VUY264" s="1"/>
      <c r="VUZ264" s="1"/>
      <c r="VVA264" s="1"/>
      <c r="VVB264" s="1"/>
      <c r="VVC264" s="1"/>
      <c r="VVD264" s="1"/>
      <c r="VVE264" s="1"/>
      <c r="VVF264" s="1"/>
      <c r="VVG264" s="1"/>
      <c r="VVH264" s="1"/>
      <c r="VVI264" s="1"/>
      <c r="VVJ264" s="1"/>
      <c r="VVK264" s="1"/>
      <c r="VVL264" s="1"/>
      <c r="VVM264" s="1"/>
      <c r="VVN264" s="1"/>
      <c r="VVO264" s="1"/>
      <c r="VVP264" s="1"/>
      <c r="VVQ264" s="1"/>
      <c r="VVR264" s="1"/>
      <c r="VVS264" s="1"/>
      <c r="VVT264" s="1"/>
      <c r="VVU264" s="1"/>
      <c r="VVV264" s="1"/>
      <c r="VVW264" s="1"/>
      <c r="VVX264" s="1"/>
      <c r="VVY264" s="1"/>
      <c r="VVZ264" s="1"/>
      <c r="VWA264" s="1"/>
      <c r="VWB264" s="1"/>
      <c r="VWC264" s="1"/>
      <c r="VWD264" s="1"/>
      <c r="VWE264" s="1"/>
      <c r="VWF264" s="1"/>
      <c r="VWG264" s="1"/>
      <c r="VWH264" s="1"/>
      <c r="VWI264" s="1"/>
      <c r="VWJ264" s="1"/>
      <c r="VWK264" s="1"/>
      <c r="VWL264" s="1"/>
      <c r="VWM264" s="1"/>
      <c r="VWN264" s="1"/>
      <c r="VWO264" s="1"/>
      <c r="VWP264" s="1"/>
      <c r="VWQ264" s="1"/>
      <c r="VWR264" s="1"/>
      <c r="VWS264" s="1"/>
      <c r="VWT264" s="1"/>
      <c r="VWU264" s="1"/>
      <c r="VWV264" s="1"/>
      <c r="VWW264" s="1"/>
      <c r="VWX264" s="1"/>
      <c r="VWY264" s="1"/>
      <c r="VWZ264" s="1"/>
      <c r="VXA264" s="1"/>
      <c r="VXB264" s="1"/>
      <c r="VXC264" s="1"/>
      <c r="VXD264" s="1"/>
      <c r="VXE264" s="1"/>
      <c r="VXF264" s="1"/>
      <c r="VXG264" s="1"/>
      <c r="VXH264" s="1"/>
      <c r="VXI264" s="1"/>
      <c r="VXJ264" s="1"/>
      <c r="VXK264" s="1"/>
      <c r="VXL264" s="1"/>
      <c r="VXM264" s="1"/>
      <c r="VXN264" s="1"/>
      <c r="VXO264" s="1"/>
      <c r="VXP264" s="1"/>
      <c r="VXQ264" s="1"/>
      <c r="VXR264" s="1"/>
      <c r="VXS264" s="1"/>
      <c r="VXT264" s="1"/>
      <c r="VXU264" s="1"/>
      <c r="VXV264" s="1"/>
      <c r="VXW264" s="1"/>
      <c r="VXX264" s="1"/>
      <c r="VXY264" s="1"/>
      <c r="VXZ264" s="1"/>
      <c r="VYA264" s="1"/>
      <c r="VYB264" s="1"/>
      <c r="VYC264" s="1"/>
      <c r="VYD264" s="1"/>
      <c r="VYE264" s="1"/>
      <c r="VYF264" s="1"/>
      <c r="VYG264" s="1"/>
      <c r="VYH264" s="1"/>
      <c r="VYI264" s="1"/>
      <c r="VYJ264" s="1"/>
      <c r="VYK264" s="1"/>
      <c r="VYL264" s="1"/>
      <c r="VYM264" s="1"/>
      <c r="VYN264" s="1"/>
      <c r="VYO264" s="1"/>
      <c r="VYP264" s="1"/>
      <c r="VYQ264" s="1"/>
      <c r="VYR264" s="1"/>
      <c r="VYS264" s="1"/>
      <c r="VYT264" s="1"/>
      <c r="VYU264" s="1"/>
      <c r="VYV264" s="1"/>
      <c r="VYW264" s="1"/>
      <c r="VYX264" s="1"/>
      <c r="VYY264" s="1"/>
      <c r="VYZ264" s="1"/>
      <c r="VZA264" s="1"/>
      <c r="VZB264" s="1"/>
      <c r="VZC264" s="1"/>
      <c r="VZD264" s="1"/>
      <c r="VZE264" s="1"/>
      <c r="VZF264" s="1"/>
      <c r="VZG264" s="1"/>
      <c r="VZH264" s="1"/>
      <c r="VZI264" s="1"/>
      <c r="VZJ264" s="1"/>
      <c r="VZK264" s="1"/>
      <c r="VZL264" s="1"/>
      <c r="VZM264" s="1"/>
      <c r="VZN264" s="1"/>
      <c r="VZO264" s="1"/>
      <c r="VZP264" s="1"/>
      <c r="VZQ264" s="1"/>
      <c r="VZR264" s="1"/>
      <c r="VZS264" s="1"/>
      <c r="VZT264" s="1"/>
      <c r="VZU264" s="1"/>
      <c r="VZV264" s="1"/>
      <c r="VZW264" s="1"/>
      <c r="VZX264" s="1"/>
      <c r="VZY264" s="1"/>
      <c r="VZZ264" s="1"/>
      <c r="WAA264" s="1"/>
      <c r="WAB264" s="1"/>
      <c r="WAC264" s="1"/>
      <c r="WAD264" s="1"/>
      <c r="WAE264" s="1"/>
      <c r="WAF264" s="1"/>
      <c r="WAG264" s="1"/>
      <c r="WAH264" s="1"/>
      <c r="WAI264" s="1"/>
      <c r="WAJ264" s="1"/>
      <c r="WAK264" s="1"/>
      <c r="WAL264" s="1"/>
      <c r="WAM264" s="1"/>
      <c r="WAN264" s="1"/>
      <c r="WAO264" s="1"/>
      <c r="WAP264" s="1"/>
      <c r="WAQ264" s="1"/>
      <c r="WAR264" s="1"/>
      <c r="WAS264" s="1"/>
      <c r="WAT264" s="1"/>
      <c r="WAU264" s="1"/>
      <c r="WAV264" s="1"/>
      <c r="WAW264" s="1"/>
      <c r="WAX264" s="1"/>
      <c r="WAY264" s="1"/>
      <c r="WAZ264" s="1"/>
      <c r="WBA264" s="1"/>
      <c r="WBB264" s="1"/>
      <c r="WBC264" s="1"/>
      <c r="WBD264" s="1"/>
      <c r="WBE264" s="1"/>
      <c r="WBF264" s="1"/>
      <c r="WBG264" s="1"/>
      <c r="WBH264" s="1"/>
      <c r="WBI264" s="1"/>
      <c r="WBJ264" s="1"/>
      <c r="WBK264" s="1"/>
      <c r="WBL264" s="1"/>
      <c r="WBM264" s="1"/>
      <c r="WBN264" s="1"/>
      <c r="WBO264" s="1"/>
      <c r="WBP264" s="1"/>
      <c r="WBQ264" s="1"/>
      <c r="WBR264" s="1"/>
      <c r="WBS264" s="1"/>
      <c r="WBT264" s="1"/>
      <c r="WBU264" s="1"/>
      <c r="WBV264" s="1"/>
      <c r="WBW264" s="1"/>
      <c r="WBX264" s="1"/>
      <c r="WBY264" s="1"/>
      <c r="WBZ264" s="1"/>
      <c r="WCA264" s="1"/>
      <c r="WCB264" s="1"/>
      <c r="WCC264" s="1"/>
      <c r="WCD264" s="1"/>
      <c r="WCE264" s="1"/>
      <c r="WCF264" s="1"/>
      <c r="WCG264" s="1"/>
      <c r="WCH264" s="1"/>
      <c r="WCI264" s="1"/>
      <c r="WCJ264" s="1"/>
      <c r="WCK264" s="1"/>
      <c r="WCL264" s="1"/>
      <c r="WCM264" s="1"/>
      <c r="WCN264" s="1"/>
      <c r="WCO264" s="1"/>
      <c r="WCP264" s="1"/>
      <c r="WCQ264" s="1"/>
      <c r="WCR264" s="1"/>
      <c r="WCS264" s="1"/>
      <c r="WCT264" s="1"/>
      <c r="WCU264" s="1"/>
      <c r="WCV264" s="1"/>
      <c r="WCW264" s="1"/>
      <c r="WCX264" s="1"/>
      <c r="WCY264" s="1"/>
      <c r="WCZ264" s="1"/>
      <c r="WDA264" s="1"/>
      <c r="WDB264" s="1"/>
      <c r="WDC264" s="1"/>
      <c r="WDD264" s="1"/>
      <c r="WDE264" s="1"/>
      <c r="WDF264" s="1"/>
      <c r="WDG264" s="1"/>
      <c r="WDH264" s="1"/>
      <c r="WDI264" s="1"/>
      <c r="WDJ264" s="1"/>
      <c r="WDK264" s="1"/>
      <c r="WDL264" s="1"/>
      <c r="WDM264" s="1"/>
      <c r="WDN264" s="1"/>
      <c r="WDO264" s="1"/>
      <c r="WDP264" s="1"/>
      <c r="WDQ264" s="1"/>
      <c r="WDR264" s="1"/>
      <c r="WDS264" s="1"/>
      <c r="WDT264" s="1"/>
      <c r="WDU264" s="1"/>
      <c r="WDV264" s="1"/>
      <c r="WDW264" s="1"/>
      <c r="WDX264" s="1"/>
      <c r="WDY264" s="1"/>
      <c r="WDZ264" s="1"/>
      <c r="WEA264" s="1"/>
      <c r="WEB264" s="1"/>
      <c r="WEC264" s="1"/>
      <c r="WED264" s="1"/>
      <c r="WEE264" s="1"/>
      <c r="WEF264" s="1"/>
      <c r="WEG264" s="1"/>
      <c r="WEH264" s="1"/>
      <c r="WEI264" s="1"/>
      <c r="WEJ264" s="1"/>
      <c r="WEK264" s="1"/>
      <c r="WEL264" s="1"/>
      <c r="WEM264" s="1"/>
      <c r="WEN264" s="1"/>
      <c r="WEO264" s="1"/>
      <c r="WEP264" s="1"/>
      <c r="WEQ264" s="1"/>
      <c r="WER264" s="1"/>
      <c r="WES264" s="1"/>
      <c r="WET264" s="1"/>
      <c r="WEU264" s="1"/>
      <c r="WEV264" s="1"/>
      <c r="WEW264" s="1"/>
      <c r="WEX264" s="1"/>
      <c r="WEY264" s="1"/>
      <c r="WEZ264" s="1"/>
      <c r="WFA264" s="1"/>
      <c r="WFB264" s="1"/>
      <c r="WFC264" s="1"/>
      <c r="WFD264" s="1"/>
      <c r="WFE264" s="1"/>
      <c r="WFF264" s="1"/>
      <c r="WFG264" s="1"/>
      <c r="WFH264" s="1"/>
      <c r="WFI264" s="1"/>
      <c r="WFJ264" s="1"/>
      <c r="WFK264" s="1"/>
      <c r="WFL264" s="1"/>
      <c r="WFM264" s="1"/>
      <c r="WFN264" s="1"/>
      <c r="WFO264" s="1"/>
      <c r="WFP264" s="1"/>
      <c r="WFQ264" s="1"/>
      <c r="WFR264" s="1"/>
      <c r="WFS264" s="1"/>
      <c r="WFT264" s="1"/>
      <c r="WFU264" s="1"/>
      <c r="WFV264" s="1"/>
      <c r="WFW264" s="1"/>
      <c r="WFX264" s="1"/>
      <c r="WFY264" s="1"/>
      <c r="WFZ264" s="1"/>
      <c r="WGA264" s="1"/>
      <c r="WGB264" s="1"/>
      <c r="WGC264" s="1"/>
      <c r="WGD264" s="1"/>
      <c r="WGE264" s="1"/>
      <c r="WGF264" s="1"/>
      <c r="WGG264" s="1"/>
      <c r="WGH264" s="1"/>
      <c r="WGI264" s="1"/>
      <c r="WGJ264" s="1"/>
      <c r="WGK264" s="1"/>
      <c r="WGL264" s="1"/>
      <c r="WGM264" s="1"/>
      <c r="WGN264" s="1"/>
      <c r="WGO264" s="1"/>
      <c r="WGP264" s="1"/>
      <c r="WGQ264" s="1"/>
      <c r="WGR264" s="1"/>
      <c r="WGS264" s="1"/>
      <c r="WGT264" s="1"/>
      <c r="WGU264" s="1"/>
      <c r="WGV264" s="1"/>
      <c r="WGW264" s="1"/>
      <c r="WGX264" s="1"/>
      <c r="WGY264" s="1"/>
      <c r="WGZ264" s="1"/>
      <c r="WHA264" s="1"/>
      <c r="WHB264" s="1"/>
      <c r="WHC264" s="1"/>
      <c r="WHD264" s="1"/>
      <c r="WHE264" s="1"/>
      <c r="WHF264" s="1"/>
      <c r="WHG264" s="1"/>
      <c r="WHH264" s="1"/>
      <c r="WHI264" s="1"/>
      <c r="WHJ264" s="1"/>
      <c r="WHK264" s="1"/>
      <c r="WHL264" s="1"/>
      <c r="WHM264" s="1"/>
      <c r="WHN264" s="1"/>
      <c r="WHO264" s="1"/>
      <c r="WHP264" s="1"/>
      <c r="WHQ264" s="1"/>
      <c r="WHR264" s="1"/>
      <c r="WHS264" s="1"/>
      <c r="WHT264" s="1"/>
      <c r="WHU264" s="1"/>
      <c r="WHV264" s="1"/>
      <c r="WHW264" s="1"/>
      <c r="WHX264" s="1"/>
      <c r="WHY264" s="1"/>
      <c r="WHZ264" s="1"/>
      <c r="WIA264" s="1"/>
      <c r="WIB264" s="1"/>
      <c r="WIC264" s="1"/>
      <c r="WID264" s="1"/>
      <c r="WIE264" s="1"/>
      <c r="WIF264" s="1"/>
      <c r="WIG264" s="1"/>
      <c r="WIH264" s="1"/>
      <c r="WII264" s="1"/>
      <c r="WIJ264" s="1"/>
      <c r="WIK264" s="1"/>
      <c r="WIL264" s="1"/>
      <c r="WIM264" s="1"/>
      <c r="WIN264" s="1"/>
      <c r="WIO264" s="1"/>
      <c r="WIP264" s="1"/>
      <c r="WIQ264" s="1"/>
      <c r="WIR264" s="1"/>
      <c r="WIS264" s="1"/>
      <c r="WIT264" s="1"/>
      <c r="WIU264" s="1"/>
      <c r="WIV264" s="1"/>
      <c r="WIW264" s="1"/>
      <c r="WIX264" s="1"/>
      <c r="WIY264" s="1"/>
      <c r="WIZ264" s="1"/>
      <c r="WJA264" s="1"/>
      <c r="WJB264" s="1"/>
      <c r="WJC264" s="1"/>
      <c r="WJD264" s="1"/>
      <c r="WJE264" s="1"/>
      <c r="WJF264" s="1"/>
      <c r="WJG264" s="1"/>
      <c r="WJH264" s="1"/>
      <c r="WJI264" s="1"/>
      <c r="WJJ264" s="1"/>
      <c r="WJK264" s="1"/>
      <c r="WJL264" s="1"/>
      <c r="WJM264" s="1"/>
      <c r="WJN264" s="1"/>
      <c r="WJO264" s="1"/>
      <c r="WJP264" s="1"/>
      <c r="WJQ264" s="1"/>
      <c r="WJR264" s="1"/>
      <c r="WJS264" s="1"/>
      <c r="WJT264" s="1"/>
      <c r="WJU264" s="1"/>
      <c r="WJV264" s="1"/>
      <c r="WJW264" s="1"/>
      <c r="WJX264" s="1"/>
      <c r="WJY264" s="1"/>
      <c r="WJZ264" s="1"/>
      <c r="WKA264" s="1"/>
      <c r="WKB264" s="1"/>
      <c r="WKC264" s="1"/>
      <c r="WKD264" s="1"/>
      <c r="WKE264" s="1"/>
      <c r="WKF264" s="1"/>
      <c r="WKG264" s="1"/>
      <c r="WKH264" s="1"/>
      <c r="WKI264" s="1"/>
      <c r="WKJ264" s="1"/>
      <c r="WKK264" s="1"/>
      <c r="WKL264" s="1"/>
      <c r="WKM264" s="1"/>
      <c r="WKN264" s="1"/>
      <c r="WKO264" s="1"/>
      <c r="WKP264" s="1"/>
      <c r="WKQ264" s="1"/>
      <c r="WKR264" s="1"/>
      <c r="WKS264" s="1"/>
      <c r="WKT264" s="1"/>
      <c r="WKU264" s="1"/>
      <c r="WKV264" s="1"/>
      <c r="WKW264" s="1"/>
      <c r="WKX264" s="1"/>
      <c r="WKY264" s="1"/>
      <c r="WKZ264" s="1"/>
      <c r="WLA264" s="1"/>
      <c r="WLB264" s="1"/>
      <c r="WLC264" s="1"/>
      <c r="WLD264" s="1"/>
      <c r="WLE264" s="1"/>
      <c r="WLF264" s="1"/>
      <c r="WLG264" s="1"/>
      <c r="WLH264" s="1"/>
      <c r="WLI264" s="1"/>
      <c r="WLJ264" s="1"/>
      <c r="WLK264" s="1"/>
      <c r="WLL264" s="1"/>
      <c r="WLM264" s="1"/>
      <c r="WLN264" s="1"/>
      <c r="WLO264" s="1"/>
      <c r="WLP264" s="1"/>
      <c r="WLQ264" s="1"/>
      <c r="WLR264" s="1"/>
      <c r="WLS264" s="1"/>
      <c r="WLT264" s="1"/>
      <c r="WLU264" s="1"/>
      <c r="WLV264" s="1"/>
      <c r="WLW264" s="1"/>
      <c r="WLX264" s="1"/>
      <c r="WLY264" s="1"/>
      <c r="WLZ264" s="1"/>
      <c r="WMA264" s="1"/>
      <c r="WMB264" s="1"/>
      <c r="WMC264" s="1"/>
      <c r="WMD264" s="1"/>
      <c r="WME264" s="1"/>
      <c r="WMF264" s="1"/>
      <c r="WMG264" s="1"/>
      <c r="WMH264" s="1"/>
      <c r="WMI264" s="1"/>
      <c r="WMJ264" s="1"/>
      <c r="WMK264" s="1"/>
      <c r="WML264" s="1"/>
      <c r="WMM264" s="1"/>
      <c r="WMN264" s="1"/>
      <c r="WMO264" s="1"/>
      <c r="WMP264" s="1"/>
      <c r="WMQ264" s="1"/>
      <c r="WMR264" s="1"/>
      <c r="WMS264" s="1"/>
      <c r="WMT264" s="1"/>
      <c r="WMU264" s="1"/>
      <c r="WMV264" s="1"/>
      <c r="WMW264" s="1"/>
      <c r="WMX264" s="1"/>
      <c r="WMY264" s="1"/>
      <c r="WMZ264" s="1"/>
      <c r="WNA264" s="1"/>
      <c r="WNB264" s="1"/>
      <c r="WNC264" s="1"/>
      <c r="WND264" s="1"/>
      <c r="WNE264" s="1"/>
      <c r="WNF264" s="1"/>
      <c r="WNG264" s="1"/>
      <c r="WNH264" s="1"/>
      <c r="WNI264" s="1"/>
      <c r="WNJ264" s="1"/>
      <c r="WNK264" s="1"/>
      <c r="WNL264" s="1"/>
      <c r="WNM264" s="1"/>
      <c r="WNN264" s="1"/>
      <c r="WNO264" s="1"/>
      <c r="WNP264" s="1"/>
      <c r="WNQ264" s="1"/>
      <c r="WNR264" s="1"/>
      <c r="WNS264" s="1"/>
      <c r="WNT264" s="1"/>
      <c r="WNU264" s="1"/>
      <c r="WNV264" s="1"/>
      <c r="WNW264" s="1"/>
      <c r="WNX264" s="1"/>
      <c r="WNY264" s="1"/>
      <c r="WNZ264" s="1"/>
      <c r="WOA264" s="1"/>
      <c r="WOB264" s="1"/>
      <c r="WOC264" s="1"/>
      <c r="WOD264" s="1"/>
      <c r="WOE264" s="1"/>
      <c r="WOF264" s="1"/>
      <c r="WOG264" s="1"/>
      <c r="WOH264" s="1"/>
      <c r="WOI264" s="1"/>
      <c r="WOJ264" s="1"/>
      <c r="WOK264" s="1"/>
      <c r="WOL264" s="1"/>
      <c r="WOM264" s="1"/>
      <c r="WON264" s="1"/>
      <c r="WOO264" s="1"/>
      <c r="WOP264" s="1"/>
      <c r="WOQ264" s="1"/>
      <c r="WOR264" s="1"/>
      <c r="WOS264" s="1"/>
      <c r="WOT264" s="1"/>
      <c r="WOU264" s="1"/>
      <c r="WOV264" s="1"/>
      <c r="WOW264" s="1"/>
      <c r="WOX264" s="1"/>
      <c r="WOY264" s="1"/>
      <c r="WOZ264" s="1"/>
      <c r="WPA264" s="1"/>
      <c r="WPB264" s="1"/>
      <c r="WPC264" s="1"/>
      <c r="WPD264" s="1"/>
      <c r="WPE264" s="1"/>
      <c r="WPF264" s="1"/>
      <c r="WPG264" s="1"/>
      <c r="WPH264" s="1"/>
      <c r="WPI264" s="1"/>
      <c r="WPJ264" s="1"/>
      <c r="WPK264" s="1"/>
      <c r="WPL264" s="1"/>
      <c r="WPM264" s="1"/>
      <c r="WPN264" s="1"/>
      <c r="WPO264" s="1"/>
      <c r="WPP264" s="1"/>
      <c r="WPQ264" s="1"/>
      <c r="WPR264" s="1"/>
      <c r="WPS264" s="1"/>
      <c r="WPT264" s="1"/>
      <c r="WPU264" s="1"/>
      <c r="WPV264" s="1"/>
      <c r="WPW264" s="1"/>
      <c r="WPX264" s="1"/>
      <c r="WPY264" s="1"/>
      <c r="WPZ264" s="1"/>
      <c r="WQA264" s="1"/>
      <c r="WQB264" s="1"/>
      <c r="WQC264" s="1"/>
      <c r="WQD264" s="1"/>
      <c r="WQE264" s="1"/>
      <c r="WQF264" s="1"/>
      <c r="WQG264" s="1"/>
      <c r="WQH264" s="1"/>
      <c r="WQI264" s="1"/>
      <c r="WQJ264" s="1"/>
      <c r="WQK264" s="1"/>
      <c r="WQL264" s="1"/>
      <c r="WQM264" s="1"/>
      <c r="WQN264" s="1"/>
      <c r="WQO264" s="1"/>
      <c r="WQP264" s="1"/>
      <c r="WQQ264" s="1"/>
      <c r="WQR264" s="1"/>
      <c r="WQS264" s="1"/>
      <c r="WQT264" s="1"/>
      <c r="WQU264" s="1"/>
      <c r="WQV264" s="1"/>
      <c r="WQW264" s="1"/>
      <c r="WQX264" s="1"/>
      <c r="WQY264" s="1"/>
      <c r="WQZ264" s="1"/>
      <c r="WRA264" s="1"/>
      <c r="WRB264" s="1"/>
      <c r="WRC264" s="1"/>
      <c r="WRD264" s="1"/>
      <c r="WRE264" s="1"/>
      <c r="WRF264" s="1"/>
      <c r="WRG264" s="1"/>
      <c r="WRH264" s="1"/>
      <c r="WRI264" s="1"/>
      <c r="WRJ264" s="1"/>
      <c r="WRK264" s="1"/>
      <c r="WRL264" s="1"/>
      <c r="WRM264" s="1"/>
      <c r="WRN264" s="1"/>
      <c r="WRO264" s="1"/>
      <c r="WRP264" s="1"/>
      <c r="WRQ264" s="1"/>
      <c r="WRR264" s="1"/>
      <c r="WRS264" s="1"/>
      <c r="WRT264" s="1"/>
      <c r="WRU264" s="1"/>
      <c r="WRV264" s="1"/>
      <c r="WRW264" s="1"/>
      <c r="WRX264" s="1"/>
      <c r="WRY264" s="1"/>
      <c r="WRZ264" s="1"/>
      <c r="WSA264" s="1"/>
      <c r="WSB264" s="1"/>
      <c r="WSC264" s="1"/>
      <c r="WSD264" s="1"/>
      <c r="WSE264" s="1"/>
      <c r="WSF264" s="1"/>
      <c r="WSG264" s="1"/>
      <c r="WSH264" s="1"/>
      <c r="WSI264" s="1"/>
      <c r="WSJ264" s="1"/>
      <c r="WSK264" s="1"/>
      <c r="WSL264" s="1"/>
      <c r="WSM264" s="1"/>
      <c r="WSN264" s="1"/>
      <c r="WSO264" s="1"/>
      <c r="WSP264" s="1"/>
      <c r="WSQ264" s="1"/>
      <c r="WSR264" s="1"/>
      <c r="WSS264" s="1"/>
    </row>
    <row r="265" spans="1:16061" ht="15.75" customHeight="1">
      <c r="A265" s="156"/>
      <c r="B265" s="156"/>
      <c r="C265" s="156"/>
      <c r="D265" s="156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16061" ht="15.75" customHeight="1">
      <c r="A266" s="139" t="s">
        <v>50</v>
      </c>
      <c r="B266" s="139"/>
      <c r="C266" s="139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</row>
    <row r="267" spans="1:16061" ht="15.75" customHeight="1">
      <c r="A267" s="131" t="s">
        <v>51</v>
      </c>
      <c r="B267" s="131"/>
      <c r="C267" s="131"/>
      <c r="D267" s="1"/>
      <c r="E267" s="1"/>
      <c r="F267" s="1"/>
      <c r="G267" s="1"/>
      <c r="H267" s="1"/>
      <c r="I267" s="1"/>
      <c r="K267" s="25"/>
      <c r="L267" s="25"/>
      <c r="M267" s="1"/>
      <c r="O267" s="131" t="s">
        <v>52</v>
      </c>
      <c r="P267" s="131"/>
      <c r="Q267" s="131"/>
      <c r="T267" s="25"/>
      <c r="U267" s="25"/>
      <c r="V267" s="1"/>
      <c r="W267" s="1"/>
      <c r="X267" s="1"/>
      <c r="Y267" s="1"/>
      <c r="Z267" s="1"/>
      <c r="AA267" s="1"/>
      <c r="AB267" s="1"/>
      <c r="AC267" s="1"/>
      <c r="AD267" s="1"/>
      <c r="AG267" s="131" t="s">
        <v>53</v>
      </c>
      <c r="AH267" s="131"/>
      <c r="AI267" s="131"/>
    </row>
    <row r="268" spans="1:16061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16061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16061" ht="15.75" customHeight="1">
      <c r="A270" s="132"/>
      <c r="B270" s="132"/>
      <c r="C270" s="132"/>
      <c r="D270" s="132"/>
      <c r="E270" s="132"/>
      <c r="F270" s="132"/>
      <c r="G270" s="132"/>
      <c r="H270" s="132"/>
      <c r="I270" s="132"/>
      <c r="J270" s="132"/>
      <c r="K270" s="132"/>
      <c r="L270" s="132"/>
      <c r="M270" s="1"/>
      <c r="N270" s="1"/>
      <c r="O270" s="132"/>
      <c r="P270" s="132"/>
      <c r="Q270" s="132"/>
      <c r="R270" s="132"/>
      <c r="S270" s="132"/>
      <c r="T270" s="132"/>
      <c r="U270" s="132"/>
      <c r="V270" s="132"/>
      <c r="W270" s="132"/>
      <c r="X270" s="132"/>
      <c r="Y270" s="132"/>
      <c r="Z270" s="132"/>
      <c r="AA270" s="132"/>
      <c r="AB270" s="132"/>
      <c r="AC270" s="132"/>
      <c r="AD270" s="132"/>
      <c r="AE270" s="1"/>
      <c r="AG270" s="132"/>
      <c r="AH270" s="132"/>
      <c r="AI270" s="132"/>
      <c r="AJ270" s="132"/>
      <c r="AK270" s="132"/>
      <c r="AL270" s="132"/>
      <c r="AM270" s="132"/>
      <c r="AN270" s="132"/>
      <c r="AO270" s="132"/>
      <c r="AP270" s="132"/>
      <c r="AQ270" s="132"/>
      <c r="AR270" s="132"/>
      <c r="AS270" s="132"/>
      <c r="AT270" s="132"/>
      <c r="AU270" s="132"/>
      <c r="AV270" s="132"/>
    </row>
    <row r="271" spans="1:16061" ht="15.75" customHeight="1">
      <c r="A271" s="132"/>
      <c r="B271" s="132"/>
      <c r="C271" s="132"/>
      <c r="D271" s="132"/>
      <c r="E271" s="132"/>
      <c r="F271" s="132"/>
      <c r="G271" s="132"/>
      <c r="H271" s="132"/>
      <c r="I271" s="132"/>
      <c r="J271" s="132"/>
      <c r="K271" s="132"/>
      <c r="L271" s="132"/>
      <c r="M271" s="1"/>
      <c r="N271" s="1"/>
      <c r="O271" s="132"/>
      <c r="P271" s="132"/>
      <c r="Q271" s="132"/>
      <c r="R271" s="132"/>
      <c r="S271" s="132"/>
      <c r="T271" s="132"/>
      <c r="U271" s="132"/>
      <c r="V271" s="132"/>
      <c r="W271" s="132"/>
      <c r="X271" s="132"/>
      <c r="Y271" s="132"/>
      <c r="Z271" s="132"/>
      <c r="AA271" s="132"/>
      <c r="AB271" s="132"/>
      <c r="AC271" s="132"/>
      <c r="AD271" s="132"/>
      <c r="AE271" s="1"/>
      <c r="AG271" s="132"/>
      <c r="AH271" s="132"/>
      <c r="AI271" s="132"/>
      <c r="AJ271" s="132"/>
      <c r="AK271" s="132"/>
      <c r="AL271" s="132"/>
      <c r="AM271" s="132"/>
      <c r="AN271" s="132"/>
      <c r="AO271" s="132"/>
      <c r="AP271" s="132"/>
      <c r="AQ271" s="132"/>
      <c r="AR271" s="132"/>
      <c r="AS271" s="132"/>
      <c r="AT271" s="132"/>
      <c r="AU271" s="132"/>
      <c r="AV271" s="132"/>
    </row>
    <row r="272" spans="1:16061" ht="15.75" customHeight="1">
      <c r="A272" s="132"/>
      <c r="B272" s="132"/>
      <c r="C272" s="132"/>
      <c r="D272" s="132"/>
      <c r="E272" s="132"/>
      <c r="F272" s="132"/>
      <c r="G272" s="132"/>
      <c r="H272" s="132"/>
      <c r="I272" s="132"/>
      <c r="J272" s="132"/>
      <c r="K272" s="132"/>
      <c r="L272" s="132"/>
      <c r="M272" s="1"/>
      <c r="N272" s="1"/>
      <c r="O272" s="132"/>
      <c r="P272" s="132"/>
      <c r="Q272" s="132"/>
      <c r="R272" s="132"/>
      <c r="S272" s="132"/>
      <c r="T272" s="132"/>
      <c r="U272" s="132"/>
      <c r="V272" s="132"/>
      <c r="W272" s="132"/>
      <c r="X272" s="132"/>
      <c r="Y272" s="132"/>
      <c r="Z272" s="132"/>
      <c r="AA272" s="132"/>
      <c r="AB272" s="132"/>
      <c r="AC272" s="132"/>
      <c r="AD272" s="132"/>
      <c r="AE272" s="1"/>
      <c r="AG272" s="132"/>
      <c r="AH272" s="132"/>
      <c r="AI272" s="132"/>
      <c r="AJ272" s="132"/>
      <c r="AK272" s="132"/>
      <c r="AL272" s="132"/>
      <c r="AM272" s="132"/>
      <c r="AN272" s="132"/>
      <c r="AO272" s="132"/>
      <c r="AP272" s="132"/>
      <c r="AQ272" s="132"/>
      <c r="AR272" s="132"/>
      <c r="AS272" s="132"/>
      <c r="AT272" s="132"/>
      <c r="AU272" s="132"/>
      <c r="AV272" s="132"/>
    </row>
    <row r="273" spans="1:48" ht="15.75" customHeight="1">
      <c r="A273" s="132"/>
      <c r="B273" s="132"/>
      <c r="C273" s="132"/>
      <c r="D273" s="132"/>
      <c r="E273" s="132"/>
      <c r="F273" s="132"/>
      <c r="G273" s="132"/>
      <c r="H273" s="132"/>
      <c r="I273" s="132"/>
      <c r="J273" s="132"/>
      <c r="K273" s="132"/>
      <c r="L273" s="132"/>
      <c r="M273" s="1"/>
      <c r="N273" s="1"/>
      <c r="O273" s="132"/>
      <c r="P273" s="132"/>
      <c r="Q273" s="132"/>
      <c r="R273" s="132"/>
      <c r="S273" s="132"/>
      <c r="T273" s="132"/>
      <c r="U273" s="132"/>
      <c r="V273" s="132"/>
      <c r="W273" s="132"/>
      <c r="X273" s="132"/>
      <c r="Y273" s="132"/>
      <c r="Z273" s="132"/>
      <c r="AA273" s="132"/>
      <c r="AB273" s="132"/>
      <c r="AC273" s="132"/>
      <c r="AD273" s="132"/>
      <c r="AE273" s="1"/>
      <c r="AG273" s="132"/>
      <c r="AH273" s="132"/>
      <c r="AI273" s="132"/>
      <c r="AJ273" s="132"/>
      <c r="AK273" s="132"/>
      <c r="AL273" s="132"/>
      <c r="AM273" s="132"/>
      <c r="AN273" s="132"/>
      <c r="AO273" s="132"/>
      <c r="AP273" s="132"/>
      <c r="AQ273" s="132"/>
      <c r="AR273" s="132"/>
      <c r="AS273" s="132"/>
      <c r="AT273" s="132"/>
      <c r="AU273" s="132"/>
      <c r="AV273" s="132"/>
    </row>
    <row r="274" spans="1:48" ht="15.75" customHeight="1">
      <c r="A274" s="132"/>
      <c r="B274" s="132"/>
      <c r="C274" s="132"/>
      <c r="D274" s="132"/>
      <c r="E274" s="132"/>
      <c r="F274" s="132"/>
      <c r="G274" s="132"/>
      <c r="H274" s="132"/>
      <c r="I274" s="132"/>
      <c r="J274" s="132"/>
      <c r="K274" s="132"/>
      <c r="L274" s="132"/>
      <c r="M274" s="1"/>
      <c r="N274" s="1"/>
      <c r="O274" s="132"/>
      <c r="P274" s="132"/>
      <c r="Q274" s="132"/>
      <c r="R274" s="132"/>
      <c r="S274" s="132"/>
      <c r="T274" s="132"/>
      <c r="U274" s="132"/>
      <c r="V274" s="132"/>
      <c r="W274" s="132"/>
      <c r="X274" s="132"/>
      <c r="Y274" s="132"/>
      <c r="Z274" s="132"/>
      <c r="AA274" s="132"/>
      <c r="AB274" s="132"/>
      <c r="AC274" s="132"/>
      <c r="AD274" s="132"/>
      <c r="AE274" s="1"/>
      <c r="AG274" s="132"/>
      <c r="AH274" s="132"/>
      <c r="AI274" s="132"/>
      <c r="AJ274" s="132"/>
      <c r="AK274" s="132"/>
      <c r="AL274" s="132"/>
      <c r="AM274" s="132"/>
      <c r="AN274" s="132"/>
      <c r="AO274" s="132"/>
      <c r="AP274" s="132"/>
      <c r="AQ274" s="132"/>
      <c r="AR274" s="132"/>
      <c r="AS274" s="132"/>
      <c r="AT274" s="132"/>
      <c r="AU274" s="132"/>
      <c r="AV274" s="132"/>
    </row>
    <row r="275" spans="1:48" ht="15.75" customHeight="1">
      <c r="A275" s="132"/>
      <c r="B275" s="132"/>
      <c r="C275" s="132"/>
      <c r="D275" s="132"/>
      <c r="E275" s="132"/>
      <c r="F275" s="132"/>
      <c r="G275" s="132"/>
      <c r="H275" s="132"/>
      <c r="I275" s="132"/>
      <c r="J275" s="132"/>
      <c r="K275" s="132"/>
      <c r="L275" s="132"/>
      <c r="M275" s="1"/>
      <c r="N275" s="1"/>
      <c r="O275" s="132"/>
      <c r="P275" s="132"/>
      <c r="Q275" s="132"/>
      <c r="R275" s="132"/>
      <c r="S275" s="132"/>
      <c r="T275" s="132"/>
      <c r="U275" s="132"/>
      <c r="V275" s="132"/>
      <c r="W275" s="132"/>
      <c r="X275" s="132"/>
      <c r="Y275" s="132"/>
      <c r="Z275" s="132"/>
      <c r="AA275" s="132"/>
      <c r="AB275" s="132"/>
      <c r="AC275" s="132"/>
      <c r="AD275" s="132"/>
      <c r="AE275" s="1"/>
      <c r="AG275" s="132"/>
      <c r="AH275" s="132"/>
      <c r="AI275" s="132"/>
      <c r="AJ275" s="132"/>
      <c r="AK275" s="132"/>
      <c r="AL275" s="132"/>
      <c r="AM275" s="132"/>
      <c r="AN275" s="132"/>
      <c r="AO275" s="132"/>
      <c r="AP275" s="132"/>
      <c r="AQ275" s="132"/>
      <c r="AR275" s="132"/>
      <c r="AS275" s="132"/>
      <c r="AT275" s="132"/>
      <c r="AU275" s="132"/>
      <c r="AV275" s="132"/>
    </row>
    <row r="276" spans="1:48" ht="15.75" customHeight="1">
      <c r="A276" s="132"/>
      <c r="B276" s="132"/>
      <c r="C276" s="132"/>
      <c r="D276" s="132"/>
      <c r="E276" s="132"/>
      <c r="F276" s="132"/>
      <c r="G276" s="132"/>
      <c r="H276" s="132"/>
      <c r="I276" s="132"/>
      <c r="J276" s="132"/>
      <c r="K276" s="132"/>
      <c r="L276" s="132"/>
      <c r="M276" s="1"/>
      <c r="N276" s="1"/>
      <c r="O276" s="132"/>
      <c r="P276" s="132"/>
      <c r="Q276" s="132"/>
      <c r="R276" s="132"/>
      <c r="S276" s="132"/>
      <c r="T276" s="132"/>
      <c r="U276" s="132"/>
      <c r="V276" s="132"/>
      <c r="W276" s="132"/>
      <c r="X276" s="132"/>
      <c r="Y276" s="132"/>
      <c r="Z276" s="132"/>
      <c r="AA276" s="132"/>
      <c r="AB276" s="132"/>
      <c r="AC276" s="132"/>
      <c r="AD276" s="132"/>
      <c r="AE276" s="1"/>
      <c r="AG276" s="132"/>
      <c r="AH276" s="132"/>
      <c r="AI276" s="132"/>
      <c r="AJ276" s="132"/>
      <c r="AK276" s="132"/>
      <c r="AL276" s="132"/>
      <c r="AM276" s="132"/>
      <c r="AN276" s="132"/>
      <c r="AO276" s="132"/>
      <c r="AP276" s="132"/>
      <c r="AQ276" s="132"/>
      <c r="AR276" s="132"/>
      <c r="AS276" s="132"/>
      <c r="AT276" s="132"/>
      <c r="AU276" s="132"/>
      <c r="AV276" s="132"/>
    </row>
    <row r="277" spans="1:48" ht="15.75" customHeight="1">
      <c r="A277" s="132"/>
      <c r="B277" s="132"/>
      <c r="C277" s="132"/>
      <c r="D277" s="132"/>
      <c r="E277" s="132"/>
      <c r="F277" s="132"/>
      <c r="G277" s="132"/>
      <c r="H277" s="132"/>
      <c r="I277" s="132"/>
      <c r="J277" s="132"/>
      <c r="K277" s="132"/>
      <c r="L277" s="132"/>
      <c r="M277" s="1"/>
      <c r="N277" s="1"/>
      <c r="O277" s="132"/>
      <c r="P277" s="132"/>
      <c r="Q277" s="132"/>
      <c r="R277" s="132"/>
      <c r="S277" s="132"/>
      <c r="T277" s="132"/>
      <c r="U277" s="132"/>
      <c r="V277" s="132"/>
      <c r="W277" s="132"/>
      <c r="X277" s="132"/>
      <c r="Y277" s="132"/>
      <c r="Z277" s="132"/>
      <c r="AA277" s="132"/>
      <c r="AB277" s="132"/>
      <c r="AC277" s="132"/>
      <c r="AD277" s="132"/>
      <c r="AE277" s="1"/>
      <c r="AG277" s="132"/>
      <c r="AH277" s="132"/>
      <c r="AI277" s="132"/>
      <c r="AJ277" s="132"/>
      <c r="AK277" s="132"/>
      <c r="AL277" s="132"/>
      <c r="AM277" s="132"/>
      <c r="AN277" s="132"/>
      <c r="AO277" s="132"/>
      <c r="AP277" s="132"/>
      <c r="AQ277" s="132"/>
      <c r="AR277" s="132"/>
      <c r="AS277" s="132"/>
      <c r="AT277" s="132"/>
      <c r="AU277" s="132"/>
      <c r="AV277" s="132"/>
    </row>
    <row r="278" spans="1:48" ht="15.75" customHeight="1">
      <c r="A278" s="132"/>
      <c r="B278" s="132"/>
      <c r="C278" s="132"/>
      <c r="D278" s="132"/>
      <c r="E278" s="132"/>
      <c r="F278" s="132"/>
      <c r="G278" s="132"/>
      <c r="H278" s="132"/>
      <c r="I278" s="132"/>
      <c r="J278" s="132"/>
      <c r="K278" s="132"/>
      <c r="L278" s="132"/>
      <c r="M278" s="1"/>
      <c r="N278" s="1"/>
      <c r="O278" s="132"/>
      <c r="P278" s="132"/>
      <c r="Q278" s="132"/>
      <c r="R278" s="132"/>
      <c r="S278" s="132"/>
      <c r="T278" s="132"/>
      <c r="U278" s="132"/>
      <c r="V278" s="132"/>
      <c r="W278" s="132"/>
      <c r="X278" s="132"/>
      <c r="Y278" s="132"/>
      <c r="Z278" s="132"/>
      <c r="AA278" s="132"/>
      <c r="AB278" s="132"/>
      <c r="AC278" s="132"/>
      <c r="AD278" s="132"/>
      <c r="AE278" s="1"/>
      <c r="AG278" s="132"/>
      <c r="AH278" s="132"/>
      <c r="AI278" s="132"/>
      <c r="AJ278" s="132"/>
      <c r="AK278" s="132"/>
      <c r="AL278" s="132"/>
      <c r="AM278" s="132"/>
      <c r="AN278" s="132"/>
      <c r="AO278" s="132"/>
      <c r="AP278" s="132"/>
      <c r="AQ278" s="132"/>
      <c r="AR278" s="132"/>
      <c r="AS278" s="132"/>
      <c r="AT278" s="132"/>
      <c r="AU278" s="132"/>
      <c r="AV278" s="132"/>
    </row>
    <row r="279" spans="1:48" ht="15.75" customHeight="1">
      <c r="A279" s="132"/>
      <c r="B279" s="132"/>
      <c r="C279" s="132"/>
      <c r="D279" s="132"/>
      <c r="E279" s="132"/>
      <c r="F279" s="132"/>
      <c r="G279" s="132"/>
      <c r="H279" s="132"/>
      <c r="I279" s="132"/>
      <c r="J279" s="132"/>
      <c r="K279" s="132"/>
      <c r="L279" s="132"/>
      <c r="M279" s="1"/>
      <c r="N279" s="1"/>
      <c r="O279" s="132"/>
      <c r="P279" s="132"/>
      <c r="Q279" s="132"/>
      <c r="R279" s="132"/>
      <c r="S279" s="132"/>
      <c r="T279" s="132"/>
      <c r="U279" s="132"/>
      <c r="V279" s="132"/>
      <c r="W279" s="132"/>
      <c r="X279" s="132"/>
      <c r="Y279" s="132"/>
      <c r="Z279" s="132"/>
      <c r="AA279" s="132"/>
      <c r="AB279" s="132"/>
      <c r="AC279" s="132"/>
      <c r="AD279" s="132"/>
      <c r="AE279" s="1"/>
      <c r="AG279" s="132"/>
      <c r="AH279" s="132"/>
      <c r="AI279" s="132"/>
      <c r="AJ279" s="132"/>
      <c r="AK279" s="132"/>
      <c r="AL279" s="132"/>
      <c r="AM279" s="132"/>
      <c r="AN279" s="132"/>
      <c r="AO279" s="132"/>
      <c r="AP279" s="132"/>
      <c r="AQ279" s="132"/>
      <c r="AR279" s="132"/>
      <c r="AS279" s="132"/>
      <c r="AT279" s="132"/>
      <c r="AU279" s="132"/>
      <c r="AV279" s="132"/>
    </row>
    <row r="280" spans="1:48" ht="15.75" customHeight="1">
      <c r="A280" s="132"/>
      <c r="B280" s="132"/>
      <c r="C280" s="132"/>
      <c r="D280" s="132"/>
      <c r="E280" s="132"/>
      <c r="F280" s="132"/>
      <c r="G280" s="132"/>
      <c r="H280" s="132"/>
      <c r="I280" s="132"/>
      <c r="J280" s="132"/>
      <c r="K280" s="132"/>
      <c r="L280" s="132"/>
      <c r="M280" s="1"/>
      <c r="N280" s="1"/>
      <c r="O280" s="132"/>
      <c r="P280" s="132"/>
      <c r="Q280" s="132"/>
      <c r="R280" s="132"/>
      <c r="S280" s="132"/>
      <c r="T280" s="132"/>
      <c r="U280" s="132"/>
      <c r="V280" s="132"/>
      <c r="W280" s="132"/>
      <c r="X280" s="132"/>
      <c r="Y280" s="132"/>
      <c r="Z280" s="132"/>
      <c r="AA280" s="132"/>
      <c r="AB280" s="132"/>
      <c r="AC280" s="132"/>
      <c r="AD280" s="132"/>
      <c r="AE280" s="1"/>
      <c r="AG280" s="132"/>
      <c r="AH280" s="132"/>
      <c r="AI280" s="132"/>
      <c r="AJ280" s="132"/>
      <c r="AK280" s="132"/>
      <c r="AL280" s="132"/>
      <c r="AM280" s="132"/>
      <c r="AN280" s="132"/>
      <c r="AO280" s="132"/>
      <c r="AP280" s="132"/>
      <c r="AQ280" s="132"/>
      <c r="AR280" s="132"/>
      <c r="AS280" s="132"/>
      <c r="AT280" s="132"/>
      <c r="AU280" s="132"/>
      <c r="AV280" s="132"/>
    </row>
    <row r="281" spans="1:48" ht="15.75" customHeight="1">
      <c r="A281" s="132"/>
      <c r="B281" s="132"/>
      <c r="C281" s="132"/>
      <c r="D281" s="132"/>
      <c r="E281" s="132"/>
      <c r="F281" s="132"/>
      <c r="G281" s="132"/>
      <c r="H281" s="132"/>
      <c r="I281" s="132"/>
      <c r="J281" s="132"/>
      <c r="K281" s="132"/>
      <c r="L281" s="132"/>
      <c r="M281" s="1"/>
      <c r="N281" s="1"/>
      <c r="O281" s="132"/>
      <c r="P281" s="132"/>
      <c r="Q281" s="132"/>
      <c r="R281" s="132"/>
      <c r="S281" s="132"/>
      <c r="T281" s="132"/>
      <c r="U281" s="132"/>
      <c r="V281" s="132"/>
      <c r="W281" s="132"/>
      <c r="X281" s="132"/>
      <c r="Y281" s="132"/>
      <c r="Z281" s="132"/>
      <c r="AA281" s="132"/>
      <c r="AB281" s="132"/>
      <c r="AC281" s="132"/>
      <c r="AD281" s="132"/>
      <c r="AE281" s="1"/>
      <c r="AG281" s="132"/>
      <c r="AH281" s="132"/>
      <c r="AI281" s="132"/>
      <c r="AJ281" s="132"/>
      <c r="AK281" s="132"/>
      <c r="AL281" s="132"/>
      <c r="AM281" s="132"/>
      <c r="AN281" s="132"/>
      <c r="AO281" s="132"/>
      <c r="AP281" s="132"/>
      <c r="AQ281" s="132"/>
      <c r="AR281" s="132"/>
      <c r="AS281" s="132"/>
      <c r="AT281" s="132"/>
      <c r="AU281" s="132"/>
      <c r="AV281" s="132"/>
    </row>
    <row r="282" spans="1:48" ht="15.75" customHeight="1">
      <c r="A282" s="132"/>
      <c r="B282" s="132"/>
      <c r="C282" s="132"/>
      <c r="D282" s="132"/>
      <c r="E282" s="132"/>
      <c r="F282" s="132"/>
      <c r="G282" s="132"/>
      <c r="H282" s="132"/>
      <c r="I282" s="132"/>
      <c r="J282" s="132"/>
      <c r="K282" s="132"/>
      <c r="L282" s="132"/>
      <c r="M282" s="1"/>
      <c r="N282" s="1"/>
      <c r="O282" s="132"/>
      <c r="P282" s="132"/>
      <c r="Q282" s="132"/>
      <c r="R282" s="132"/>
      <c r="S282" s="132"/>
      <c r="T282" s="132"/>
      <c r="U282" s="132"/>
      <c r="V282" s="132"/>
      <c r="W282" s="132"/>
      <c r="X282" s="132"/>
      <c r="Y282" s="132"/>
      <c r="Z282" s="132"/>
      <c r="AA282" s="132"/>
      <c r="AB282" s="132"/>
      <c r="AC282" s="132"/>
      <c r="AD282" s="132"/>
      <c r="AE282" s="1"/>
      <c r="AG282" s="132"/>
      <c r="AH282" s="132"/>
      <c r="AI282" s="132"/>
      <c r="AJ282" s="132"/>
      <c r="AK282" s="132"/>
      <c r="AL282" s="132"/>
      <c r="AM282" s="132"/>
      <c r="AN282" s="132"/>
      <c r="AO282" s="132"/>
      <c r="AP282" s="132"/>
      <c r="AQ282" s="132"/>
      <c r="AR282" s="132"/>
      <c r="AS282" s="132"/>
      <c r="AT282" s="132"/>
      <c r="AU282" s="132"/>
      <c r="AV282" s="132"/>
    </row>
    <row r="283" spans="1:48" ht="15.75" customHeight="1">
      <c r="A283" s="132"/>
      <c r="B283" s="132"/>
      <c r="C283" s="132"/>
      <c r="D283" s="132"/>
      <c r="E283" s="132"/>
      <c r="F283" s="132"/>
      <c r="G283" s="132"/>
      <c r="H283" s="132"/>
      <c r="I283" s="132"/>
      <c r="J283" s="132"/>
      <c r="K283" s="132"/>
      <c r="L283" s="132"/>
      <c r="M283" s="1"/>
      <c r="N283" s="1"/>
      <c r="O283" s="132"/>
      <c r="P283" s="132"/>
      <c r="Q283" s="132"/>
      <c r="R283" s="132"/>
      <c r="S283" s="132"/>
      <c r="T283" s="132"/>
      <c r="U283" s="132"/>
      <c r="V283" s="132"/>
      <c r="W283" s="132"/>
      <c r="X283" s="132"/>
      <c r="Y283" s="132"/>
      <c r="Z283" s="132"/>
      <c r="AA283" s="132"/>
      <c r="AB283" s="132"/>
      <c r="AC283" s="132"/>
      <c r="AD283" s="132"/>
      <c r="AE283" s="1"/>
      <c r="AG283" s="132"/>
      <c r="AH283" s="132"/>
      <c r="AI283" s="132"/>
      <c r="AJ283" s="132"/>
      <c r="AK283" s="132"/>
      <c r="AL283" s="132"/>
      <c r="AM283" s="132"/>
      <c r="AN283" s="132"/>
      <c r="AO283" s="132"/>
      <c r="AP283" s="132"/>
      <c r="AQ283" s="132"/>
      <c r="AR283" s="132"/>
      <c r="AS283" s="132"/>
      <c r="AT283" s="132"/>
      <c r="AU283" s="132"/>
      <c r="AV283" s="132"/>
    </row>
    <row r="284" spans="1:48" ht="15.75" customHeight="1">
      <c r="A284" s="132"/>
      <c r="B284" s="132"/>
      <c r="C284" s="132"/>
      <c r="D284" s="132"/>
      <c r="E284" s="132"/>
      <c r="F284" s="132"/>
      <c r="G284" s="132"/>
      <c r="H284" s="132"/>
      <c r="I284" s="132"/>
      <c r="J284" s="132"/>
      <c r="K284" s="132"/>
      <c r="L284" s="132"/>
      <c r="M284" s="1"/>
      <c r="N284" s="1"/>
      <c r="O284" s="132"/>
      <c r="P284" s="132"/>
      <c r="Q284" s="132"/>
      <c r="R284" s="132"/>
      <c r="S284" s="132"/>
      <c r="T284" s="132"/>
      <c r="U284" s="132"/>
      <c r="V284" s="132"/>
      <c r="W284" s="132"/>
      <c r="X284" s="132"/>
      <c r="Y284" s="132"/>
      <c r="Z284" s="132"/>
      <c r="AA284" s="132"/>
      <c r="AB284" s="132"/>
      <c r="AC284" s="132"/>
      <c r="AD284" s="132"/>
      <c r="AE284" s="1"/>
      <c r="AG284" s="132"/>
      <c r="AH284" s="132"/>
      <c r="AI284" s="132"/>
      <c r="AJ284" s="132"/>
      <c r="AK284" s="132"/>
      <c r="AL284" s="132"/>
      <c r="AM284" s="132"/>
      <c r="AN284" s="132"/>
      <c r="AO284" s="132"/>
      <c r="AP284" s="132"/>
      <c r="AQ284" s="132"/>
      <c r="AR284" s="132"/>
      <c r="AS284" s="132"/>
      <c r="AT284" s="132"/>
      <c r="AU284" s="132"/>
      <c r="AV284" s="132"/>
    </row>
    <row r="285" spans="1:48" ht="15.75" customHeight="1">
      <c r="A285" s="132"/>
      <c r="B285" s="132"/>
      <c r="C285" s="132"/>
      <c r="D285" s="132"/>
      <c r="E285" s="132"/>
      <c r="F285" s="132"/>
      <c r="G285" s="132"/>
      <c r="H285" s="132"/>
      <c r="I285" s="132"/>
      <c r="J285" s="132"/>
      <c r="K285" s="132"/>
      <c r="L285" s="132"/>
      <c r="M285" s="1"/>
      <c r="N285" s="1"/>
      <c r="O285" s="132"/>
      <c r="P285" s="132"/>
      <c r="Q285" s="132"/>
      <c r="R285" s="132"/>
      <c r="S285" s="132"/>
      <c r="T285" s="132"/>
      <c r="U285" s="132"/>
      <c r="V285" s="132"/>
      <c r="W285" s="132"/>
      <c r="X285" s="132"/>
      <c r="Y285" s="132"/>
      <c r="Z285" s="132"/>
      <c r="AA285" s="132"/>
      <c r="AB285" s="132"/>
      <c r="AC285" s="132"/>
      <c r="AD285" s="132"/>
      <c r="AE285" s="1"/>
      <c r="AG285" s="132"/>
      <c r="AH285" s="132"/>
      <c r="AI285" s="132"/>
      <c r="AJ285" s="132"/>
      <c r="AK285" s="132"/>
      <c r="AL285" s="132"/>
      <c r="AM285" s="132"/>
      <c r="AN285" s="132"/>
      <c r="AO285" s="132"/>
      <c r="AP285" s="132"/>
      <c r="AQ285" s="132"/>
      <c r="AR285" s="132"/>
      <c r="AS285" s="132"/>
      <c r="AT285" s="132"/>
      <c r="AU285" s="132"/>
      <c r="AV285" s="132"/>
    </row>
    <row r="286" spans="1:48" ht="15.75" customHeight="1">
      <c r="A286" s="132"/>
      <c r="B286" s="132"/>
      <c r="C286" s="132"/>
      <c r="D286" s="132"/>
      <c r="E286" s="132"/>
      <c r="F286" s="132"/>
      <c r="G286" s="132"/>
      <c r="H286" s="132"/>
      <c r="I286" s="132"/>
      <c r="J286" s="132"/>
      <c r="K286" s="132"/>
      <c r="L286" s="132"/>
      <c r="M286" s="1"/>
      <c r="N286" s="1"/>
      <c r="O286" s="132"/>
      <c r="P286" s="132"/>
      <c r="Q286" s="132"/>
      <c r="R286" s="132"/>
      <c r="S286" s="132"/>
      <c r="T286" s="132"/>
      <c r="U286" s="132"/>
      <c r="V286" s="132"/>
      <c r="W286" s="132"/>
      <c r="X286" s="132"/>
      <c r="Y286" s="132"/>
      <c r="Z286" s="132"/>
      <c r="AA286" s="132"/>
      <c r="AB286" s="132"/>
      <c r="AC286" s="132"/>
      <c r="AD286" s="132"/>
      <c r="AE286" s="1"/>
      <c r="AG286" s="132"/>
      <c r="AH286" s="132"/>
      <c r="AI286" s="132"/>
      <c r="AJ286" s="132"/>
      <c r="AK286" s="132"/>
      <c r="AL286" s="132"/>
      <c r="AM286" s="132"/>
      <c r="AN286" s="132"/>
      <c r="AO286" s="132"/>
      <c r="AP286" s="132"/>
      <c r="AQ286" s="132"/>
      <c r="AR286" s="132"/>
      <c r="AS286" s="132"/>
      <c r="AT286" s="132"/>
      <c r="AU286" s="132"/>
      <c r="AV286" s="132"/>
    </row>
    <row r="287" spans="1:48" ht="15.75" customHeight="1">
      <c r="A287" s="132"/>
      <c r="B287" s="132"/>
      <c r="C287" s="132"/>
      <c r="D287" s="132"/>
      <c r="E287" s="132"/>
      <c r="F287" s="132"/>
      <c r="G287" s="132"/>
      <c r="H287" s="132"/>
      <c r="I287" s="132"/>
      <c r="J287" s="132"/>
      <c r="K287" s="132"/>
      <c r="L287" s="132"/>
      <c r="M287" s="1"/>
      <c r="N287" s="1"/>
      <c r="O287" s="132"/>
      <c r="P287" s="132"/>
      <c r="Q287" s="132"/>
      <c r="R287" s="132"/>
      <c r="S287" s="132"/>
      <c r="T287" s="132"/>
      <c r="U287" s="132"/>
      <c r="V287" s="132"/>
      <c r="W287" s="132"/>
      <c r="X287" s="132"/>
      <c r="Y287" s="132"/>
      <c r="Z287" s="132"/>
      <c r="AA287" s="132"/>
      <c r="AB287" s="132"/>
      <c r="AC287" s="132"/>
      <c r="AD287" s="132"/>
      <c r="AE287" s="1"/>
      <c r="AG287" s="132"/>
      <c r="AH287" s="132"/>
      <c r="AI287" s="132"/>
      <c r="AJ287" s="132"/>
      <c r="AK287" s="132"/>
      <c r="AL287" s="132"/>
      <c r="AM287" s="132"/>
      <c r="AN287" s="132"/>
      <c r="AO287" s="132"/>
      <c r="AP287" s="132"/>
      <c r="AQ287" s="132"/>
      <c r="AR287" s="132"/>
      <c r="AS287" s="132"/>
      <c r="AT287" s="132"/>
      <c r="AU287" s="132"/>
      <c r="AV287" s="132"/>
    </row>
    <row r="288" spans="1:48" ht="15.75" customHeight="1">
      <c r="A288" s="132"/>
      <c r="B288" s="132"/>
      <c r="C288" s="132"/>
      <c r="D288" s="132"/>
      <c r="E288" s="132"/>
      <c r="F288" s="132"/>
      <c r="G288" s="132"/>
      <c r="H288" s="132"/>
      <c r="I288" s="132"/>
      <c r="J288" s="132"/>
      <c r="K288" s="132"/>
      <c r="L288" s="132"/>
      <c r="M288" s="1"/>
      <c r="N288" s="1"/>
      <c r="O288" s="132"/>
      <c r="P288" s="132"/>
      <c r="Q288" s="132"/>
      <c r="R288" s="132"/>
      <c r="S288" s="132"/>
      <c r="T288" s="132"/>
      <c r="U288" s="132"/>
      <c r="V288" s="132"/>
      <c r="W288" s="132"/>
      <c r="X288" s="132"/>
      <c r="Y288" s="132"/>
      <c r="Z288" s="132"/>
      <c r="AA288" s="132"/>
      <c r="AB288" s="132"/>
      <c r="AC288" s="132"/>
      <c r="AD288" s="132"/>
      <c r="AE288" s="1"/>
      <c r="AG288" s="132"/>
      <c r="AH288" s="132"/>
      <c r="AI288" s="132"/>
      <c r="AJ288" s="132"/>
      <c r="AK288" s="132"/>
      <c r="AL288" s="132"/>
      <c r="AM288" s="132"/>
      <c r="AN288" s="132"/>
      <c r="AO288" s="132"/>
      <c r="AP288" s="132"/>
      <c r="AQ288" s="132"/>
      <c r="AR288" s="132"/>
      <c r="AS288" s="132"/>
      <c r="AT288" s="132"/>
      <c r="AU288" s="132"/>
      <c r="AV288" s="132"/>
    </row>
    <row r="289" spans="1:48" ht="15.75" customHeight="1">
      <c r="A289" s="132"/>
      <c r="B289" s="132"/>
      <c r="C289" s="132"/>
      <c r="D289" s="132"/>
      <c r="E289" s="132"/>
      <c r="F289" s="132"/>
      <c r="G289" s="132"/>
      <c r="H289" s="132"/>
      <c r="I289" s="132"/>
      <c r="J289" s="132"/>
      <c r="K289" s="132"/>
      <c r="L289" s="132"/>
      <c r="M289" s="1"/>
      <c r="N289" s="1"/>
      <c r="O289" s="132"/>
      <c r="P289" s="132"/>
      <c r="Q289" s="132"/>
      <c r="R289" s="132"/>
      <c r="S289" s="132"/>
      <c r="T289" s="132"/>
      <c r="U289" s="132"/>
      <c r="V289" s="132"/>
      <c r="W289" s="132"/>
      <c r="X289" s="132"/>
      <c r="Y289" s="132"/>
      <c r="Z289" s="132"/>
      <c r="AA289" s="132"/>
      <c r="AB289" s="132"/>
      <c r="AC289" s="132"/>
      <c r="AD289" s="132"/>
      <c r="AE289" s="1"/>
      <c r="AG289" s="132"/>
      <c r="AH289" s="132"/>
      <c r="AI289" s="132"/>
      <c r="AJ289" s="132"/>
      <c r="AK289" s="132"/>
      <c r="AL289" s="132"/>
      <c r="AM289" s="132"/>
      <c r="AN289" s="132"/>
      <c r="AO289" s="132"/>
      <c r="AP289" s="132"/>
      <c r="AQ289" s="132"/>
      <c r="AR289" s="132"/>
      <c r="AS289" s="132"/>
      <c r="AT289" s="132"/>
      <c r="AU289" s="132"/>
      <c r="AV289" s="132"/>
    </row>
    <row r="290" spans="1:48" ht="15.75" customHeight="1">
      <c r="A290" s="132"/>
      <c r="B290" s="132"/>
      <c r="C290" s="132"/>
      <c r="D290" s="132"/>
      <c r="E290" s="132"/>
      <c r="F290" s="132"/>
      <c r="G290" s="132"/>
      <c r="H290" s="132"/>
      <c r="I290" s="132"/>
      <c r="J290" s="132"/>
      <c r="K290" s="132"/>
      <c r="L290" s="132"/>
      <c r="M290" s="1"/>
      <c r="N290" s="1"/>
      <c r="O290" s="132"/>
      <c r="P290" s="132"/>
      <c r="Q290" s="132"/>
      <c r="R290" s="132"/>
      <c r="S290" s="132"/>
      <c r="T290" s="132"/>
      <c r="U290" s="132"/>
      <c r="V290" s="132"/>
      <c r="W290" s="132"/>
      <c r="X290" s="132"/>
      <c r="Y290" s="132"/>
      <c r="Z290" s="132"/>
      <c r="AA290" s="132"/>
      <c r="AB290" s="132"/>
      <c r="AC290" s="132"/>
      <c r="AD290" s="132"/>
      <c r="AE290" s="1"/>
      <c r="AG290" s="132"/>
      <c r="AH290" s="132"/>
      <c r="AI290" s="132"/>
      <c r="AJ290" s="132"/>
      <c r="AK290" s="132"/>
      <c r="AL290" s="132"/>
      <c r="AM290" s="132"/>
      <c r="AN290" s="132"/>
      <c r="AO290" s="132"/>
      <c r="AP290" s="132"/>
      <c r="AQ290" s="132"/>
      <c r="AR290" s="132"/>
      <c r="AS290" s="132"/>
      <c r="AT290" s="132"/>
      <c r="AU290" s="132"/>
      <c r="AV290" s="132"/>
    </row>
    <row r="291" spans="1:48" ht="15.75" customHeight="1">
      <c r="A291" s="132"/>
      <c r="B291" s="132"/>
      <c r="C291" s="132"/>
      <c r="D291" s="132"/>
      <c r="E291" s="132"/>
      <c r="F291" s="132"/>
      <c r="G291" s="132"/>
      <c r="H291" s="132"/>
      <c r="I291" s="132"/>
      <c r="J291" s="132"/>
      <c r="K291" s="132"/>
      <c r="L291" s="132"/>
      <c r="M291" s="1"/>
      <c r="N291" s="1"/>
      <c r="O291" s="132"/>
      <c r="P291" s="132"/>
      <c r="Q291" s="132"/>
      <c r="R291" s="132"/>
      <c r="S291" s="132"/>
      <c r="T291" s="132"/>
      <c r="U291" s="132"/>
      <c r="V291" s="132"/>
      <c r="W291" s="132"/>
      <c r="X291" s="132"/>
      <c r="Y291" s="132"/>
      <c r="Z291" s="132"/>
      <c r="AA291" s="132"/>
      <c r="AB291" s="132"/>
      <c r="AC291" s="132"/>
      <c r="AD291" s="132"/>
      <c r="AE291" s="1"/>
      <c r="AG291" s="132"/>
      <c r="AH291" s="132"/>
      <c r="AI291" s="132"/>
      <c r="AJ291" s="132"/>
      <c r="AK291" s="132"/>
      <c r="AL291" s="132"/>
      <c r="AM291" s="132"/>
      <c r="AN291" s="132"/>
      <c r="AO291" s="132"/>
      <c r="AP291" s="132"/>
      <c r="AQ291" s="132"/>
      <c r="AR291" s="132"/>
      <c r="AS291" s="132"/>
      <c r="AT291" s="132"/>
      <c r="AU291" s="132"/>
      <c r="AV291" s="132"/>
    </row>
    <row r="292" spans="1:48" ht="15.75" customHeight="1">
      <c r="A292" s="132"/>
      <c r="B292" s="132"/>
      <c r="C292" s="132"/>
      <c r="D292" s="132"/>
      <c r="E292" s="132"/>
      <c r="F292" s="132"/>
      <c r="G292" s="132"/>
      <c r="H292" s="132"/>
      <c r="I292" s="132"/>
      <c r="J292" s="132"/>
      <c r="K292" s="132"/>
      <c r="L292" s="132"/>
      <c r="M292" s="1"/>
      <c r="N292" s="1"/>
      <c r="O292" s="132"/>
      <c r="P292" s="132"/>
      <c r="Q292" s="132"/>
      <c r="R292" s="132"/>
      <c r="S292" s="132"/>
      <c r="T292" s="132"/>
      <c r="U292" s="132"/>
      <c r="V292" s="132"/>
      <c r="W292" s="132"/>
      <c r="X292" s="132"/>
      <c r="Y292" s="132"/>
      <c r="Z292" s="132"/>
      <c r="AA292" s="132"/>
      <c r="AB292" s="132"/>
      <c r="AC292" s="132"/>
      <c r="AD292" s="132"/>
      <c r="AE292" s="1"/>
      <c r="AG292" s="132"/>
      <c r="AH292" s="132"/>
      <c r="AI292" s="132"/>
      <c r="AJ292" s="132"/>
      <c r="AK292" s="132"/>
      <c r="AL292" s="132"/>
      <c r="AM292" s="132"/>
      <c r="AN292" s="132"/>
      <c r="AO292" s="132"/>
      <c r="AP292" s="132"/>
      <c r="AQ292" s="132"/>
      <c r="AR292" s="132"/>
      <c r="AS292" s="132"/>
      <c r="AT292" s="132"/>
      <c r="AU292" s="132"/>
      <c r="AV292" s="132"/>
    </row>
    <row r="293" spans="1:48" ht="15.75" customHeight="1">
      <c r="A293" s="132"/>
      <c r="B293" s="132"/>
      <c r="C293" s="132"/>
      <c r="D293" s="132"/>
      <c r="E293" s="132"/>
      <c r="F293" s="132"/>
      <c r="G293" s="132"/>
      <c r="H293" s="132"/>
      <c r="I293" s="132"/>
      <c r="J293" s="132"/>
      <c r="K293" s="132"/>
      <c r="L293" s="132"/>
      <c r="M293" s="1"/>
      <c r="N293" s="1"/>
      <c r="O293" s="132"/>
      <c r="P293" s="132"/>
      <c r="Q293" s="132"/>
      <c r="R293" s="132"/>
      <c r="S293" s="132"/>
      <c r="T293" s="132"/>
      <c r="U293" s="132"/>
      <c r="V293" s="132"/>
      <c r="W293" s="132"/>
      <c r="X293" s="132"/>
      <c r="Y293" s="132"/>
      <c r="Z293" s="132"/>
      <c r="AA293" s="132"/>
      <c r="AB293" s="132"/>
      <c r="AC293" s="132"/>
      <c r="AD293" s="132"/>
      <c r="AE293" s="1"/>
      <c r="AG293" s="132"/>
      <c r="AH293" s="132"/>
      <c r="AI293" s="132"/>
      <c r="AJ293" s="132"/>
      <c r="AK293" s="132"/>
      <c r="AL293" s="132"/>
      <c r="AM293" s="132"/>
      <c r="AN293" s="132"/>
      <c r="AO293" s="132"/>
      <c r="AP293" s="132"/>
      <c r="AQ293" s="132"/>
      <c r="AR293" s="132"/>
      <c r="AS293" s="132"/>
      <c r="AT293" s="132"/>
      <c r="AU293" s="132"/>
      <c r="AV293" s="132"/>
    </row>
    <row r="294" spans="1:48" ht="15.75" customHeight="1">
      <c r="A294" s="132"/>
      <c r="B294" s="132"/>
      <c r="C294" s="132"/>
      <c r="D294" s="132"/>
      <c r="E294" s="132"/>
      <c r="F294" s="132"/>
      <c r="G294" s="132"/>
      <c r="H294" s="132"/>
      <c r="I294" s="132"/>
      <c r="J294" s="132"/>
      <c r="K294" s="132"/>
      <c r="L294" s="132"/>
      <c r="M294" s="1"/>
      <c r="N294" s="1"/>
      <c r="O294" s="132"/>
      <c r="P294" s="132"/>
      <c r="Q294" s="132"/>
      <c r="R294" s="132"/>
      <c r="S294" s="132"/>
      <c r="T294" s="132"/>
      <c r="U294" s="132"/>
      <c r="V294" s="132"/>
      <c r="W294" s="132"/>
      <c r="X294" s="132"/>
      <c r="Y294" s="132"/>
      <c r="Z294" s="132"/>
      <c r="AA294" s="132"/>
      <c r="AB294" s="132"/>
      <c r="AC294" s="132"/>
      <c r="AD294" s="132"/>
      <c r="AE294" s="1"/>
      <c r="AG294" s="132"/>
      <c r="AH294" s="132"/>
      <c r="AI294" s="132"/>
      <c r="AJ294" s="132"/>
      <c r="AK294" s="132"/>
      <c r="AL294" s="132"/>
      <c r="AM294" s="132"/>
      <c r="AN294" s="132"/>
      <c r="AO294" s="132"/>
      <c r="AP294" s="132"/>
      <c r="AQ294" s="132"/>
      <c r="AR294" s="132"/>
      <c r="AS294" s="132"/>
      <c r="AT294" s="132"/>
      <c r="AU294" s="132"/>
      <c r="AV294" s="132"/>
    </row>
    <row r="295" spans="1:48" ht="15.75" customHeight="1">
      <c r="A295" s="132"/>
      <c r="B295" s="132"/>
      <c r="C295" s="132"/>
      <c r="D295" s="132"/>
      <c r="E295" s="132"/>
      <c r="F295" s="132"/>
      <c r="G295" s="132"/>
      <c r="H295" s="132"/>
      <c r="I295" s="132"/>
      <c r="J295" s="132"/>
      <c r="K295" s="132"/>
      <c r="L295" s="132"/>
      <c r="M295" s="1"/>
      <c r="N295" s="1"/>
      <c r="O295" s="132"/>
      <c r="P295" s="132"/>
      <c r="Q295" s="132"/>
      <c r="R295" s="132"/>
      <c r="S295" s="132"/>
      <c r="T295" s="132"/>
      <c r="U295" s="132"/>
      <c r="V295" s="132"/>
      <c r="W295" s="132"/>
      <c r="X295" s="132"/>
      <c r="Y295" s="132"/>
      <c r="Z295" s="132"/>
      <c r="AA295" s="132"/>
      <c r="AB295" s="132"/>
      <c r="AC295" s="132"/>
      <c r="AD295" s="132"/>
      <c r="AE295" s="1"/>
      <c r="AG295" s="132"/>
      <c r="AH295" s="132"/>
      <c r="AI295" s="132"/>
      <c r="AJ295" s="132"/>
      <c r="AK295" s="132"/>
      <c r="AL295" s="132"/>
      <c r="AM295" s="132"/>
      <c r="AN295" s="132"/>
      <c r="AO295" s="132"/>
      <c r="AP295" s="132"/>
      <c r="AQ295" s="132"/>
      <c r="AR295" s="132"/>
      <c r="AS295" s="132"/>
      <c r="AT295" s="132"/>
      <c r="AU295" s="132"/>
      <c r="AV295" s="132"/>
    </row>
    <row r="296" spans="1:48" ht="15.75" customHeight="1">
      <c r="A296" s="132"/>
      <c r="B296" s="132"/>
      <c r="C296" s="132"/>
      <c r="D296" s="132"/>
      <c r="E296" s="132"/>
      <c r="F296" s="132"/>
      <c r="G296" s="132"/>
      <c r="H296" s="132"/>
      <c r="I296" s="132"/>
      <c r="J296" s="132"/>
      <c r="K296" s="132"/>
      <c r="L296" s="132"/>
      <c r="M296" s="1"/>
      <c r="N296" s="1"/>
      <c r="O296" s="132"/>
      <c r="P296" s="132"/>
      <c r="Q296" s="132"/>
      <c r="R296" s="132"/>
      <c r="S296" s="132"/>
      <c r="T296" s="132"/>
      <c r="U296" s="132"/>
      <c r="V296" s="132"/>
      <c r="W296" s="132"/>
      <c r="X296" s="132"/>
      <c r="Y296" s="132"/>
      <c r="Z296" s="132"/>
      <c r="AA296" s="132"/>
      <c r="AB296" s="132"/>
      <c r="AC296" s="132"/>
      <c r="AD296" s="132"/>
      <c r="AE296" s="1"/>
      <c r="AG296" s="132"/>
      <c r="AH296" s="132"/>
      <c r="AI296" s="132"/>
      <c r="AJ296" s="132"/>
      <c r="AK296" s="132"/>
      <c r="AL296" s="132"/>
      <c r="AM296" s="132"/>
      <c r="AN296" s="132"/>
      <c r="AO296" s="132"/>
      <c r="AP296" s="132"/>
      <c r="AQ296" s="132"/>
      <c r="AR296" s="132"/>
      <c r="AS296" s="132"/>
      <c r="AT296" s="132"/>
      <c r="AU296" s="132"/>
      <c r="AV296" s="132"/>
    </row>
    <row r="297" spans="1:48" ht="15.75" customHeight="1">
      <c r="A297" s="132"/>
      <c r="B297" s="132"/>
      <c r="C297" s="132"/>
      <c r="D297" s="132"/>
      <c r="E297" s="132"/>
      <c r="F297" s="132"/>
      <c r="G297" s="132"/>
      <c r="H297" s="132"/>
      <c r="I297" s="132"/>
      <c r="J297" s="132"/>
      <c r="K297" s="132"/>
      <c r="L297" s="132"/>
      <c r="M297" s="1"/>
      <c r="N297" s="1"/>
      <c r="O297" s="132"/>
      <c r="P297" s="132"/>
      <c r="Q297" s="132"/>
      <c r="R297" s="132"/>
      <c r="S297" s="132"/>
      <c r="T297" s="132"/>
      <c r="U297" s="132"/>
      <c r="V297" s="132"/>
      <c r="W297" s="132"/>
      <c r="X297" s="132"/>
      <c r="Y297" s="132"/>
      <c r="Z297" s="132"/>
      <c r="AA297" s="132"/>
      <c r="AB297" s="132"/>
      <c r="AC297" s="132"/>
      <c r="AD297" s="132"/>
      <c r="AE297" s="1"/>
      <c r="AG297" s="132"/>
      <c r="AH297" s="132"/>
      <c r="AI297" s="132"/>
      <c r="AJ297" s="132"/>
      <c r="AK297" s="132"/>
      <c r="AL297" s="132"/>
      <c r="AM297" s="132"/>
      <c r="AN297" s="132"/>
      <c r="AO297" s="132"/>
      <c r="AP297" s="132"/>
      <c r="AQ297" s="132"/>
      <c r="AR297" s="132"/>
      <c r="AS297" s="132"/>
      <c r="AT297" s="132"/>
      <c r="AU297" s="132"/>
      <c r="AV297" s="132"/>
    </row>
    <row r="298" spans="1:48" ht="15.75" customHeight="1">
      <c r="A298" s="132"/>
      <c r="B298" s="132"/>
      <c r="C298" s="132"/>
      <c r="D298" s="132"/>
      <c r="E298" s="132"/>
      <c r="F298" s="132"/>
      <c r="G298" s="132"/>
      <c r="H298" s="132"/>
      <c r="I298" s="132"/>
      <c r="J298" s="132"/>
      <c r="K298" s="132"/>
      <c r="L298" s="132"/>
      <c r="M298" s="1"/>
      <c r="N298" s="1"/>
      <c r="O298" s="132"/>
      <c r="P298" s="132"/>
      <c r="Q298" s="132"/>
      <c r="R298" s="132"/>
      <c r="S298" s="132"/>
      <c r="T298" s="132"/>
      <c r="U298" s="132"/>
      <c r="V298" s="132"/>
      <c r="W298" s="132"/>
      <c r="X298" s="132"/>
      <c r="Y298" s="132"/>
      <c r="Z298" s="132"/>
      <c r="AA298" s="132"/>
      <c r="AB298" s="132"/>
      <c r="AC298" s="132"/>
      <c r="AD298" s="132"/>
      <c r="AE298" s="1"/>
      <c r="AG298" s="132"/>
      <c r="AH298" s="132"/>
      <c r="AI298" s="132"/>
      <c r="AJ298" s="132"/>
      <c r="AK298" s="132"/>
      <c r="AL298" s="132"/>
      <c r="AM298" s="132"/>
      <c r="AN298" s="132"/>
      <c r="AO298" s="132"/>
      <c r="AP298" s="132"/>
      <c r="AQ298" s="132"/>
      <c r="AR298" s="132"/>
      <c r="AS298" s="132"/>
      <c r="AT298" s="132"/>
      <c r="AU298" s="132"/>
      <c r="AV298" s="132"/>
    </row>
    <row r="299" spans="1:48" ht="15.75" customHeight="1">
      <c r="A299" s="132"/>
      <c r="B299" s="132"/>
      <c r="C299" s="132"/>
      <c r="D299" s="132"/>
      <c r="E299" s="132"/>
      <c r="F299" s="132"/>
      <c r="G299" s="132"/>
      <c r="H299" s="132"/>
      <c r="I299" s="132"/>
      <c r="J299" s="132"/>
      <c r="K299" s="132"/>
      <c r="L299" s="132"/>
      <c r="M299" s="1"/>
      <c r="N299" s="1"/>
      <c r="O299" s="132"/>
      <c r="P299" s="132"/>
      <c r="Q299" s="132"/>
      <c r="R299" s="132"/>
      <c r="S299" s="132"/>
      <c r="T299" s="132"/>
      <c r="U299" s="132"/>
      <c r="V299" s="132"/>
      <c r="W299" s="132"/>
      <c r="X299" s="132"/>
      <c r="Y299" s="132"/>
      <c r="Z299" s="132"/>
      <c r="AA299" s="132"/>
      <c r="AB299" s="132"/>
      <c r="AC299" s="132"/>
      <c r="AD299" s="132"/>
      <c r="AE299" s="1"/>
      <c r="AG299" s="132"/>
      <c r="AH299" s="132"/>
      <c r="AI299" s="132"/>
      <c r="AJ299" s="132"/>
      <c r="AK299" s="132"/>
      <c r="AL299" s="132"/>
      <c r="AM299" s="132"/>
      <c r="AN299" s="132"/>
      <c r="AO299" s="132"/>
      <c r="AP299" s="132"/>
      <c r="AQ299" s="132"/>
      <c r="AR299" s="132"/>
      <c r="AS299" s="132"/>
      <c r="AT299" s="132"/>
      <c r="AU299" s="132"/>
      <c r="AV299" s="132"/>
    </row>
    <row r="300" spans="1:48" ht="15.75" customHeight="1">
      <c r="A300" s="132"/>
      <c r="B300" s="132"/>
      <c r="C300" s="132"/>
      <c r="D300" s="132"/>
      <c r="E300" s="132"/>
      <c r="F300" s="132"/>
      <c r="G300" s="132"/>
      <c r="H300" s="132"/>
      <c r="I300" s="132"/>
      <c r="J300" s="132"/>
      <c r="K300" s="132"/>
      <c r="L300" s="132"/>
      <c r="M300" s="1"/>
      <c r="N300" s="1"/>
      <c r="O300" s="132"/>
      <c r="P300" s="132"/>
      <c r="Q300" s="132"/>
      <c r="R300" s="132"/>
      <c r="S300" s="132"/>
      <c r="T300" s="132"/>
      <c r="U300" s="132"/>
      <c r="V300" s="132"/>
      <c r="W300" s="132"/>
      <c r="X300" s="132"/>
      <c r="Y300" s="132"/>
      <c r="Z300" s="132"/>
      <c r="AA300" s="132"/>
      <c r="AB300" s="132"/>
      <c r="AC300" s="132"/>
      <c r="AD300" s="132"/>
      <c r="AE300" s="1"/>
      <c r="AG300" s="132"/>
      <c r="AH300" s="132"/>
      <c r="AI300" s="132"/>
      <c r="AJ300" s="132"/>
      <c r="AK300" s="132"/>
      <c r="AL300" s="132"/>
      <c r="AM300" s="132"/>
      <c r="AN300" s="132"/>
      <c r="AO300" s="132"/>
      <c r="AP300" s="132"/>
      <c r="AQ300" s="132"/>
      <c r="AR300" s="132"/>
      <c r="AS300" s="132"/>
      <c r="AT300" s="132"/>
      <c r="AU300" s="132"/>
      <c r="AV300" s="132"/>
    </row>
    <row r="301" spans="1:48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1"/>
      <c r="AT301" s="1"/>
      <c r="AU301" s="1"/>
      <c r="AV301" s="1"/>
    </row>
    <row r="302" spans="1:48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</row>
    <row r="303" spans="1:48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</row>
    <row r="304" spans="1:48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48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48" ht="15.75" customHeight="1">
      <c r="A306" s="139" t="s">
        <v>54</v>
      </c>
      <c r="B306" s="139"/>
      <c r="C306" s="139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48" ht="15.75" customHeight="1">
      <c r="D307" s="1"/>
      <c r="E307" s="1"/>
      <c r="F307" s="1"/>
      <c r="G307" s="1"/>
      <c r="H307" s="1"/>
      <c r="I307" s="1"/>
      <c r="K307" s="25"/>
      <c r="L307" s="25"/>
      <c r="M307" s="1"/>
      <c r="O307" s="1"/>
      <c r="P307" s="1"/>
      <c r="T307" s="25"/>
      <c r="U307" s="25"/>
      <c r="V307" s="1"/>
      <c r="W307" s="1"/>
      <c r="X307" s="1"/>
      <c r="Y307" s="1"/>
      <c r="Z307" s="1"/>
      <c r="AA307" s="1"/>
      <c r="AB307" s="1"/>
      <c r="AC307" s="1"/>
      <c r="AD307" s="1"/>
    </row>
    <row r="308" spans="1:48" ht="15.75" customHeight="1">
      <c r="A308" s="131" t="s">
        <v>51</v>
      </c>
      <c r="B308" s="131"/>
      <c r="C308" s="13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31" t="s">
        <v>52</v>
      </c>
      <c r="P308" s="131"/>
      <c r="Q308" s="13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G308" s="131" t="s">
        <v>53</v>
      </c>
      <c r="AH308" s="131"/>
      <c r="AI308" s="131"/>
    </row>
    <row r="309" spans="1:48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48" ht="15.75" customHeight="1">
      <c r="A310" s="132"/>
      <c r="B310" s="132"/>
      <c r="C310" s="132"/>
      <c r="D310" s="132"/>
      <c r="E310" s="132"/>
      <c r="F310" s="132"/>
      <c r="G310" s="132"/>
      <c r="H310" s="132"/>
      <c r="I310" s="132"/>
      <c r="J310" s="132"/>
      <c r="K310" s="132"/>
      <c r="L310" s="132"/>
      <c r="M310" s="1"/>
      <c r="N310" s="1"/>
      <c r="O310" s="132"/>
      <c r="P310" s="132"/>
      <c r="Q310" s="132"/>
      <c r="R310" s="132"/>
      <c r="S310" s="132"/>
      <c r="T310" s="132"/>
      <c r="U310" s="132"/>
      <c r="V310" s="132"/>
      <c r="W310" s="132"/>
      <c r="X310" s="132"/>
      <c r="Y310" s="132"/>
      <c r="Z310" s="132"/>
      <c r="AA310" s="132"/>
      <c r="AB310" s="132"/>
      <c r="AC310" s="132"/>
      <c r="AD310" s="132"/>
      <c r="AE310" s="1"/>
      <c r="AG310" s="132"/>
      <c r="AH310" s="132"/>
      <c r="AI310" s="132"/>
      <c r="AJ310" s="132"/>
      <c r="AK310" s="132"/>
      <c r="AL310" s="132"/>
      <c r="AM310" s="132"/>
      <c r="AN310" s="132"/>
      <c r="AO310" s="132"/>
      <c r="AP310" s="132"/>
      <c r="AQ310" s="132"/>
      <c r="AR310" s="132"/>
      <c r="AS310" s="132"/>
      <c r="AT310" s="132"/>
      <c r="AU310" s="132"/>
      <c r="AV310" s="132"/>
    </row>
    <row r="311" spans="1:48" ht="15.75" customHeight="1">
      <c r="A311" s="132"/>
      <c r="B311" s="132"/>
      <c r="C311" s="132"/>
      <c r="D311" s="132"/>
      <c r="E311" s="132"/>
      <c r="F311" s="132"/>
      <c r="G311" s="132"/>
      <c r="H311" s="132"/>
      <c r="I311" s="132"/>
      <c r="J311" s="132"/>
      <c r="K311" s="132"/>
      <c r="L311" s="132"/>
      <c r="M311" s="1"/>
      <c r="N311" s="1"/>
      <c r="O311" s="132"/>
      <c r="P311" s="132"/>
      <c r="Q311" s="132"/>
      <c r="R311" s="132"/>
      <c r="S311" s="132"/>
      <c r="T311" s="132"/>
      <c r="U311" s="132"/>
      <c r="V311" s="132"/>
      <c r="W311" s="132"/>
      <c r="X311" s="132"/>
      <c r="Y311" s="132"/>
      <c r="Z311" s="132"/>
      <c r="AA311" s="132"/>
      <c r="AB311" s="132"/>
      <c r="AC311" s="132"/>
      <c r="AD311" s="132"/>
      <c r="AE311" s="1"/>
      <c r="AG311" s="132"/>
      <c r="AH311" s="132"/>
      <c r="AI311" s="132"/>
      <c r="AJ311" s="132"/>
      <c r="AK311" s="132"/>
      <c r="AL311" s="132"/>
      <c r="AM311" s="132"/>
      <c r="AN311" s="132"/>
      <c r="AO311" s="132"/>
      <c r="AP311" s="132"/>
      <c r="AQ311" s="132"/>
      <c r="AR311" s="132"/>
      <c r="AS311" s="132"/>
      <c r="AT311" s="132"/>
      <c r="AU311" s="132"/>
      <c r="AV311" s="132"/>
    </row>
    <row r="312" spans="1:48" ht="15.75" customHeight="1">
      <c r="A312" s="132"/>
      <c r="B312" s="132"/>
      <c r="C312" s="132"/>
      <c r="D312" s="132"/>
      <c r="E312" s="132"/>
      <c r="F312" s="132"/>
      <c r="G312" s="132"/>
      <c r="H312" s="132"/>
      <c r="I312" s="132"/>
      <c r="J312" s="132"/>
      <c r="K312" s="132"/>
      <c r="L312" s="132"/>
      <c r="M312" s="1"/>
      <c r="N312" s="1"/>
      <c r="O312" s="132"/>
      <c r="P312" s="132"/>
      <c r="Q312" s="132"/>
      <c r="R312" s="132"/>
      <c r="S312" s="132"/>
      <c r="T312" s="132"/>
      <c r="U312" s="132"/>
      <c r="V312" s="132"/>
      <c r="W312" s="132"/>
      <c r="X312" s="132"/>
      <c r="Y312" s="132"/>
      <c r="Z312" s="132"/>
      <c r="AA312" s="132"/>
      <c r="AB312" s="132"/>
      <c r="AC312" s="132"/>
      <c r="AD312" s="132"/>
      <c r="AE312" s="1"/>
      <c r="AG312" s="132"/>
      <c r="AH312" s="132"/>
      <c r="AI312" s="132"/>
      <c r="AJ312" s="132"/>
      <c r="AK312" s="132"/>
      <c r="AL312" s="132"/>
      <c r="AM312" s="132"/>
      <c r="AN312" s="132"/>
      <c r="AO312" s="132"/>
      <c r="AP312" s="132"/>
      <c r="AQ312" s="132"/>
      <c r="AR312" s="132"/>
      <c r="AS312" s="132"/>
      <c r="AT312" s="132"/>
      <c r="AU312" s="132"/>
      <c r="AV312" s="132"/>
    </row>
    <row r="313" spans="1:48" ht="15.75" customHeight="1">
      <c r="A313" s="132"/>
      <c r="B313" s="132"/>
      <c r="C313" s="132"/>
      <c r="D313" s="132"/>
      <c r="E313" s="132"/>
      <c r="F313" s="132"/>
      <c r="G313" s="132"/>
      <c r="H313" s="132"/>
      <c r="I313" s="132"/>
      <c r="J313" s="132"/>
      <c r="K313" s="132"/>
      <c r="L313" s="132"/>
      <c r="M313" s="1"/>
      <c r="N313" s="1"/>
      <c r="O313" s="132"/>
      <c r="P313" s="132"/>
      <c r="Q313" s="132"/>
      <c r="R313" s="132"/>
      <c r="S313" s="132"/>
      <c r="T313" s="132"/>
      <c r="U313" s="132"/>
      <c r="V313" s="132"/>
      <c r="W313" s="132"/>
      <c r="X313" s="132"/>
      <c r="Y313" s="132"/>
      <c r="Z313" s="132"/>
      <c r="AA313" s="132"/>
      <c r="AB313" s="132"/>
      <c r="AC313" s="132"/>
      <c r="AD313" s="132"/>
      <c r="AE313" s="1"/>
      <c r="AG313" s="132"/>
      <c r="AH313" s="132"/>
      <c r="AI313" s="132"/>
      <c r="AJ313" s="132"/>
      <c r="AK313" s="132"/>
      <c r="AL313" s="132"/>
      <c r="AM313" s="132"/>
      <c r="AN313" s="132"/>
      <c r="AO313" s="132"/>
      <c r="AP313" s="132"/>
      <c r="AQ313" s="132"/>
      <c r="AR313" s="132"/>
      <c r="AS313" s="132"/>
      <c r="AT313" s="132"/>
      <c r="AU313" s="132"/>
      <c r="AV313" s="132"/>
    </row>
    <row r="314" spans="1:48" ht="15.75" customHeight="1">
      <c r="A314" s="132"/>
      <c r="B314" s="132"/>
      <c r="C314" s="132"/>
      <c r="D314" s="132"/>
      <c r="E314" s="132"/>
      <c r="F314" s="132"/>
      <c r="G314" s="132"/>
      <c r="H314" s="132"/>
      <c r="I314" s="132"/>
      <c r="J314" s="132"/>
      <c r="K314" s="132"/>
      <c r="L314" s="132"/>
      <c r="M314" s="1"/>
      <c r="N314" s="1"/>
      <c r="O314" s="132"/>
      <c r="P314" s="132"/>
      <c r="Q314" s="132"/>
      <c r="R314" s="132"/>
      <c r="S314" s="132"/>
      <c r="T314" s="132"/>
      <c r="U314" s="132"/>
      <c r="V314" s="132"/>
      <c r="W314" s="132"/>
      <c r="X314" s="132"/>
      <c r="Y314" s="132"/>
      <c r="Z314" s="132"/>
      <c r="AA314" s="132"/>
      <c r="AB314" s="132"/>
      <c r="AC314" s="132"/>
      <c r="AD314" s="132"/>
      <c r="AE314" s="1"/>
      <c r="AG314" s="132"/>
      <c r="AH314" s="132"/>
      <c r="AI314" s="132"/>
      <c r="AJ314" s="132"/>
      <c r="AK314" s="132"/>
      <c r="AL314" s="132"/>
      <c r="AM314" s="132"/>
      <c r="AN314" s="132"/>
      <c r="AO314" s="132"/>
      <c r="AP314" s="132"/>
      <c r="AQ314" s="132"/>
      <c r="AR314" s="132"/>
      <c r="AS314" s="132"/>
      <c r="AT314" s="132"/>
      <c r="AU314" s="132"/>
      <c r="AV314" s="132"/>
    </row>
    <row r="315" spans="1:48" ht="15.75" customHeight="1">
      <c r="A315" s="132"/>
      <c r="B315" s="132"/>
      <c r="C315" s="132"/>
      <c r="D315" s="132"/>
      <c r="E315" s="132"/>
      <c r="F315" s="132"/>
      <c r="G315" s="132"/>
      <c r="H315" s="132"/>
      <c r="I315" s="132"/>
      <c r="J315" s="132"/>
      <c r="K315" s="132"/>
      <c r="L315" s="132"/>
      <c r="M315" s="1"/>
      <c r="N315" s="1"/>
      <c r="O315" s="132"/>
      <c r="P315" s="132"/>
      <c r="Q315" s="132"/>
      <c r="R315" s="132"/>
      <c r="S315" s="132"/>
      <c r="T315" s="132"/>
      <c r="U315" s="132"/>
      <c r="V315" s="132"/>
      <c r="W315" s="132"/>
      <c r="X315" s="132"/>
      <c r="Y315" s="132"/>
      <c r="Z315" s="132"/>
      <c r="AA315" s="132"/>
      <c r="AB315" s="132"/>
      <c r="AC315" s="132"/>
      <c r="AD315" s="132"/>
      <c r="AE315" s="1"/>
      <c r="AG315" s="132"/>
      <c r="AH315" s="132"/>
      <c r="AI315" s="132"/>
      <c r="AJ315" s="132"/>
      <c r="AK315" s="132"/>
      <c r="AL315" s="132"/>
      <c r="AM315" s="132"/>
      <c r="AN315" s="132"/>
      <c r="AO315" s="132"/>
      <c r="AP315" s="132"/>
      <c r="AQ315" s="132"/>
      <c r="AR315" s="132"/>
      <c r="AS315" s="132"/>
      <c r="AT315" s="132"/>
      <c r="AU315" s="132"/>
      <c r="AV315" s="132"/>
    </row>
    <row r="316" spans="1:48" ht="15.75" customHeight="1">
      <c r="A316" s="132"/>
      <c r="B316" s="132"/>
      <c r="C316" s="132"/>
      <c r="D316" s="132"/>
      <c r="E316" s="132"/>
      <c r="F316" s="132"/>
      <c r="G316" s="132"/>
      <c r="H316" s="132"/>
      <c r="I316" s="132"/>
      <c r="J316" s="132"/>
      <c r="K316" s="132"/>
      <c r="L316" s="132"/>
      <c r="M316" s="1"/>
      <c r="N316" s="1"/>
      <c r="O316" s="132"/>
      <c r="P316" s="132"/>
      <c r="Q316" s="132"/>
      <c r="R316" s="132"/>
      <c r="S316" s="132"/>
      <c r="T316" s="132"/>
      <c r="U316" s="132"/>
      <c r="V316" s="132"/>
      <c r="W316" s="132"/>
      <c r="X316" s="132"/>
      <c r="Y316" s="132"/>
      <c r="Z316" s="132"/>
      <c r="AA316" s="132"/>
      <c r="AB316" s="132"/>
      <c r="AC316" s="132"/>
      <c r="AD316" s="132"/>
      <c r="AE316" s="1"/>
      <c r="AG316" s="132"/>
      <c r="AH316" s="132"/>
      <c r="AI316" s="132"/>
      <c r="AJ316" s="132"/>
      <c r="AK316" s="132"/>
      <c r="AL316" s="132"/>
      <c r="AM316" s="132"/>
      <c r="AN316" s="132"/>
      <c r="AO316" s="132"/>
      <c r="AP316" s="132"/>
      <c r="AQ316" s="132"/>
      <c r="AR316" s="132"/>
      <c r="AS316" s="132"/>
      <c r="AT316" s="132"/>
      <c r="AU316" s="132"/>
      <c r="AV316" s="132"/>
    </row>
    <row r="317" spans="1:48" ht="15.75" customHeight="1">
      <c r="A317" s="132"/>
      <c r="B317" s="132"/>
      <c r="C317" s="132"/>
      <c r="D317" s="132"/>
      <c r="E317" s="132"/>
      <c r="F317" s="132"/>
      <c r="G317" s="132"/>
      <c r="H317" s="132"/>
      <c r="I317" s="132"/>
      <c r="J317" s="132"/>
      <c r="K317" s="132"/>
      <c r="L317" s="132"/>
      <c r="M317" s="1"/>
      <c r="N317" s="1"/>
      <c r="O317" s="132"/>
      <c r="P317" s="132"/>
      <c r="Q317" s="132"/>
      <c r="R317" s="132"/>
      <c r="S317" s="132"/>
      <c r="T317" s="132"/>
      <c r="U317" s="132"/>
      <c r="V317" s="132"/>
      <c r="W317" s="132"/>
      <c r="X317" s="132"/>
      <c r="Y317" s="132"/>
      <c r="Z317" s="132"/>
      <c r="AA317" s="132"/>
      <c r="AB317" s="132"/>
      <c r="AC317" s="132"/>
      <c r="AD317" s="132"/>
      <c r="AE317" s="1"/>
      <c r="AG317" s="132"/>
      <c r="AH317" s="132"/>
      <c r="AI317" s="132"/>
      <c r="AJ317" s="132"/>
      <c r="AK317" s="132"/>
      <c r="AL317" s="132"/>
      <c r="AM317" s="132"/>
      <c r="AN317" s="132"/>
      <c r="AO317" s="132"/>
      <c r="AP317" s="132"/>
      <c r="AQ317" s="132"/>
      <c r="AR317" s="132"/>
      <c r="AS317" s="132"/>
      <c r="AT317" s="132"/>
      <c r="AU317" s="132"/>
      <c r="AV317" s="132"/>
    </row>
    <row r="318" spans="1:48" ht="15.75" customHeight="1">
      <c r="A318" s="132"/>
      <c r="B318" s="132"/>
      <c r="C318" s="132"/>
      <c r="D318" s="132"/>
      <c r="E318" s="132"/>
      <c r="F318" s="132"/>
      <c r="G318" s="132"/>
      <c r="H318" s="132"/>
      <c r="I318" s="132"/>
      <c r="J318" s="132"/>
      <c r="K318" s="132"/>
      <c r="L318" s="132"/>
      <c r="M318" s="1"/>
      <c r="N318" s="1"/>
      <c r="O318" s="132"/>
      <c r="P318" s="132"/>
      <c r="Q318" s="132"/>
      <c r="R318" s="132"/>
      <c r="S318" s="132"/>
      <c r="T318" s="132"/>
      <c r="U318" s="132"/>
      <c r="V318" s="132"/>
      <c r="W318" s="132"/>
      <c r="X318" s="132"/>
      <c r="Y318" s="132"/>
      <c r="Z318" s="132"/>
      <c r="AA318" s="132"/>
      <c r="AB318" s="132"/>
      <c r="AC318" s="132"/>
      <c r="AD318" s="132"/>
      <c r="AE318" s="1"/>
      <c r="AG318" s="132"/>
      <c r="AH318" s="132"/>
      <c r="AI318" s="132"/>
      <c r="AJ318" s="132"/>
      <c r="AK318" s="132"/>
      <c r="AL318" s="132"/>
      <c r="AM318" s="132"/>
      <c r="AN318" s="132"/>
      <c r="AO318" s="132"/>
      <c r="AP318" s="132"/>
      <c r="AQ318" s="132"/>
      <c r="AR318" s="132"/>
      <c r="AS318" s="132"/>
      <c r="AT318" s="132"/>
      <c r="AU318" s="132"/>
      <c r="AV318" s="132"/>
    </row>
    <row r="319" spans="1:48" ht="15.75" customHeight="1">
      <c r="A319" s="132"/>
      <c r="B319" s="132"/>
      <c r="C319" s="132"/>
      <c r="D319" s="132"/>
      <c r="E319" s="132"/>
      <c r="F319" s="132"/>
      <c r="G319" s="132"/>
      <c r="H319" s="132"/>
      <c r="I319" s="132"/>
      <c r="J319" s="132"/>
      <c r="K319" s="132"/>
      <c r="L319" s="132"/>
      <c r="M319" s="1"/>
      <c r="N319" s="1"/>
      <c r="O319" s="132"/>
      <c r="P319" s="132"/>
      <c r="Q319" s="132"/>
      <c r="R319" s="132"/>
      <c r="S319" s="132"/>
      <c r="T319" s="132"/>
      <c r="U319" s="132"/>
      <c r="V319" s="132"/>
      <c r="W319" s="132"/>
      <c r="X319" s="132"/>
      <c r="Y319" s="132"/>
      <c r="Z319" s="132"/>
      <c r="AA319" s="132"/>
      <c r="AB319" s="132"/>
      <c r="AC319" s="132"/>
      <c r="AD319" s="132"/>
      <c r="AE319" s="1"/>
      <c r="AG319" s="132"/>
      <c r="AH319" s="132"/>
      <c r="AI319" s="132"/>
      <c r="AJ319" s="132"/>
      <c r="AK319" s="132"/>
      <c r="AL319" s="132"/>
      <c r="AM319" s="132"/>
      <c r="AN319" s="132"/>
      <c r="AO319" s="132"/>
      <c r="AP319" s="132"/>
      <c r="AQ319" s="132"/>
      <c r="AR319" s="132"/>
      <c r="AS319" s="132"/>
      <c r="AT319" s="132"/>
      <c r="AU319" s="132"/>
      <c r="AV319" s="132"/>
    </row>
    <row r="320" spans="1:48" ht="15.75" customHeight="1">
      <c r="A320" s="132"/>
      <c r="B320" s="132"/>
      <c r="C320" s="132"/>
      <c r="D320" s="132"/>
      <c r="E320" s="132"/>
      <c r="F320" s="132"/>
      <c r="G320" s="132"/>
      <c r="H320" s="132"/>
      <c r="I320" s="132"/>
      <c r="J320" s="132"/>
      <c r="K320" s="132"/>
      <c r="L320" s="132"/>
      <c r="M320" s="1"/>
      <c r="N320" s="1"/>
      <c r="O320" s="132"/>
      <c r="P320" s="132"/>
      <c r="Q320" s="132"/>
      <c r="R320" s="132"/>
      <c r="S320" s="132"/>
      <c r="T320" s="132"/>
      <c r="U320" s="132"/>
      <c r="V320" s="132"/>
      <c r="W320" s="132"/>
      <c r="X320" s="132"/>
      <c r="Y320" s="132"/>
      <c r="Z320" s="132"/>
      <c r="AA320" s="132"/>
      <c r="AB320" s="132"/>
      <c r="AC320" s="132"/>
      <c r="AD320" s="132"/>
      <c r="AE320" s="1"/>
      <c r="AG320" s="132"/>
      <c r="AH320" s="132"/>
      <c r="AI320" s="132"/>
      <c r="AJ320" s="132"/>
      <c r="AK320" s="132"/>
      <c r="AL320" s="132"/>
      <c r="AM320" s="132"/>
      <c r="AN320" s="132"/>
      <c r="AO320" s="132"/>
      <c r="AP320" s="132"/>
      <c r="AQ320" s="132"/>
      <c r="AR320" s="132"/>
      <c r="AS320" s="132"/>
      <c r="AT320" s="132"/>
      <c r="AU320" s="132"/>
      <c r="AV320" s="132"/>
    </row>
    <row r="321" spans="1:48" ht="15.75" customHeight="1">
      <c r="A321" s="132"/>
      <c r="B321" s="132"/>
      <c r="C321" s="132"/>
      <c r="D321" s="132"/>
      <c r="E321" s="132"/>
      <c r="F321" s="132"/>
      <c r="G321" s="132"/>
      <c r="H321" s="132"/>
      <c r="I321" s="132"/>
      <c r="J321" s="132"/>
      <c r="K321" s="132"/>
      <c r="L321" s="132"/>
      <c r="M321" s="1"/>
      <c r="N321" s="1"/>
      <c r="O321" s="132"/>
      <c r="P321" s="132"/>
      <c r="Q321" s="132"/>
      <c r="R321" s="132"/>
      <c r="S321" s="132"/>
      <c r="T321" s="132"/>
      <c r="U321" s="132"/>
      <c r="V321" s="132"/>
      <c r="W321" s="132"/>
      <c r="X321" s="132"/>
      <c r="Y321" s="132"/>
      <c r="Z321" s="132"/>
      <c r="AA321" s="132"/>
      <c r="AB321" s="132"/>
      <c r="AC321" s="132"/>
      <c r="AD321" s="132"/>
      <c r="AE321" s="1"/>
      <c r="AG321" s="132"/>
      <c r="AH321" s="132"/>
      <c r="AI321" s="132"/>
      <c r="AJ321" s="132"/>
      <c r="AK321" s="132"/>
      <c r="AL321" s="132"/>
      <c r="AM321" s="132"/>
      <c r="AN321" s="132"/>
      <c r="AO321" s="132"/>
      <c r="AP321" s="132"/>
      <c r="AQ321" s="132"/>
      <c r="AR321" s="132"/>
      <c r="AS321" s="132"/>
      <c r="AT321" s="132"/>
      <c r="AU321" s="132"/>
      <c r="AV321" s="132"/>
    </row>
    <row r="322" spans="1:48" ht="15.75" customHeight="1">
      <c r="A322" s="132"/>
      <c r="B322" s="132"/>
      <c r="C322" s="132"/>
      <c r="D322" s="132"/>
      <c r="E322" s="132"/>
      <c r="F322" s="132"/>
      <c r="G322" s="132"/>
      <c r="H322" s="132"/>
      <c r="I322" s="132"/>
      <c r="J322" s="132"/>
      <c r="K322" s="132"/>
      <c r="L322" s="132"/>
      <c r="M322" s="1"/>
      <c r="N322" s="1"/>
      <c r="O322" s="132"/>
      <c r="P322" s="132"/>
      <c r="Q322" s="132"/>
      <c r="R322" s="132"/>
      <c r="S322" s="132"/>
      <c r="T322" s="132"/>
      <c r="U322" s="132"/>
      <c r="V322" s="132"/>
      <c r="W322" s="132"/>
      <c r="X322" s="132"/>
      <c r="Y322" s="132"/>
      <c r="Z322" s="132"/>
      <c r="AA322" s="132"/>
      <c r="AB322" s="132"/>
      <c r="AC322" s="132"/>
      <c r="AD322" s="132"/>
      <c r="AE322" s="1"/>
      <c r="AG322" s="132"/>
      <c r="AH322" s="132"/>
      <c r="AI322" s="132"/>
      <c r="AJ322" s="132"/>
      <c r="AK322" s="132"/>
      <c r="AL322" s="132"/>
      <c r="AM322" s="132"/>
      <c r="AN322" s="132"/>
      <c r="AO322" s="132"/>
      <c r="AP322" s="132"/>
      <c r="AQ322" s="132"/>
      <c r="AR322" s="132"/>
      <c r="AS322" s="132"/>
      <c r="AT322" s="132"/>
      <c r="AU322" s="132"/>
      <c r="AV322" s="132"/>
    </row>
    <row r="323" spans="1:48" ht="15.75" customHeight="1">
      <c r="A323" s="132"/>
      <c r="B323" s="132"/>
      <c r="C323" s="132"/>
      <c r="D323" s="132"/>
      <c r="E323" s="132"/>
      <c r="F323" s="132"/>
      <c r="G323" s="132"/>
      <c r="H323" s="132"/>
      <c r="I323" s="132"/>
      <c r="J323" s="132"/>
      <c r="K323" s="132"/>
      <c r="L323" s="132"/>
      <c r="M323" s="1"/>
      <c r="N323" s="1"/>
      <c r="O323" s="132"/>
      <c r="P323" s="132"/>
      <c r="Q323" s="132"/>
      <c r="R323" s="132"/>
      <c r="S323" s="132"/>
      <c r="T323" s="132"/>
      <c r="U323" s="132"/>
      <c r="V323" s="132"/>
      <c r="W323" s="132"/>
      <c r="X323" s="132"/>
      <c r="Y323" s="132"/>
      <c r="Z323" s="132"/>
      <c r="AA323" s="132"/>
      <c r="AB323" s="132"/>
      <c r="AC323" s="132"/>
      <c r="AD323" s="132"/>
      <c r="AE323" s="1"/>
      <c r="AG323" s="132"/>
      <c r="AH323" s="132"/>
      <c r="AI323" s="132"/>
      <c r="AJ323" s="132"/>
      <c r="AK323" s="132"/>
      <c r="AL323" s="132"/>
      <c r="AM323" s="132"/>
      <c r="AN323" s="132"/>
      <c r="AO323" s="132"/>
      <c r="AP323" s="132"/>
      <c r="AQ323" s="132"/>
      <c r="AR323" s="132"/>
      <c r="AS323" s="132"/>
      <c r="AT323" s="132"/>
      <c r="AU323" s="132"/>
      <c r="AV323" s="132"/>
    </row>
    <row r="324" spans="1:48" ht="15.75" customHeight="1">
      <c r="A324" s="132"/>
      <c r="B324" s="132"/>
      <c r="C324" s="132"/>
      <c r="D324" s="132"/>
      <c r="E324" s="132"/>
      <c r="F324" s="132"/>
      <c r="G324" s="132"/>
      <c r="H324" s="132"/>
      <c r="I324" s="132"/>
      <c r="J324" s="132"/>
      <c r="K324" s="132"/>
      <c r="L324" s="132"/>
      <c r="M324" s="1"/>
      <c r="N324" s="1"/>
      <c r="O324" s="132"/>
      <c r="P324" s="132"/>
      <c r="Q324" s="132"/>
      <c r="R324" s="132"/>
      <c r="S324" s="132"/>
      <c r="T324" s="132"/>
      <c r="U324" s="132"/>
      <c r="V324" s="132"/>
      <c r="W324" s="132"/>
      <c r="X324" s="132"/>
      <c r="Y324" s="132"/>
      <c r="Z324" s="132"/>
      <c r="AA324" s="132"/>
      <c r="AB324" s="132"/>
      <c r="AC324" s="132"/>
      <c r="AD324" s="132"/>
      <c r="AE324" s="1"/>
      <c r="AG324" s="132"/>
      <c r="AH324" s="132"/>
      <c r="AI324" s="132"/>
      <c r="AJ324" s="132"/>
      <c r="AK324" s="132"/>
      <c r="AL324" s="132"/>
      <c r="AM324" s="132"/>
      <c r="AN324" s="132"/>
      <c r="AO324" s="132"/>
      <c r="AP324" s="132"/>
      <c r="AQ324" s="132"/>
      <c r="AR324" s="132"/>
      <c r="AS324" s="132"/>
      <c r="AT324" s="132"/>
      <c r="AU324" s="132"/>
      <c r="AV324" s="132"/>
    </row>
    <row r="325" spans="1:48" ht="15.75" customHeight="1">
      <c r="A325" s="132"/>
      <c r="B325" s="132"/>
      <c r="C325" s="132"/>
      <c r="D325" s="132"/>
      <c r="E325" s="132"/>
      <c r="F325" s="132"/>
      <c r="G325" s="132"/>
      <c r="H325" s="132"/>
      <c r="I325" s="132"/>
      <c r="J325" s="132"/>
      <c r="K325" s="132"/>
      <c r="L325" s="132"/>
      <c r="M325" s="1"/>
      <c r="N325" s="1"/>
      <c r="O325" s="132"/>
      <c r="P325" s="132"/>
      <c r="Q325" s="132"/>
      <c r="R325" s="132"/>
      <c r="S325" s="132"/>
      <c r="T325" s="132"/>
      <c r="U325" s="132"/>
      <c r="V325" s="132"/>
      <c r="W325" s="132"/>
      <c r="X325" s="132"/>
      <c r="Y325" s="132"/>
      <c r="Z325" s="132"/>
      <c r="AA325" s="132"/>
      <c r="AB325" s="132"/>
      <c r="AC325" s="132"/>
      <c r="AD325" s="132"/>
      <c r="AE325" s="1"/>
      <c r="AG325" s="132"/>
      <c r="AH325" s="132"/>
      <c r="AI325" s="132"/>
      <c r="AJ325" s="132"/>
      <c r="AK325" s="132"/>
      <c r="AL325" s="132"/>
      <c r="AM325" s="132"/>
      <c r="AN325" s="132"/>
      <c r="AO325" s="132"/>
      <c r="AP325" s="132"/>
      <c r="AQ325" s="132"/>
      <c r="AR325" s="132"/>
      <c r="AS325" s="132"/>
      <c r="AT325" s="132"/>
      <c r="AU325" s="132"/>
      <c r="AV325" s="132"/>
    </row>
    <row r="326" spans="1:48" ht="15.75" customHeight="1">
      <c r="A326" s="132"/>
      <c r="B326" s="132"/>
      <c r="C326" s="132"/>
      <c r="D326" s="132"/>
      <c r="E326" s="132"/>
      <c r="F326" s="132"/>
      <c r="G326" s="132"/>
      <c r="H326" s="132"/>
      <c r="I326" s="132"/>
      <c r="J326" s="132"/>
      <c r="K326" s="132"/>
      <c r="L326" s="132"/>
      <c r="M326" s="1"/>
      <c r="N326" s="1"/>
      <c r="O326" s="132"/>
      <c r="P326" s="132"/>
      <c r="Q326" s="132"/>
      <c r="R326" s="132"/>
      <c r="S326" s="132"/>
      <c r="T326" s="132"/>
      <c r="U326" s="132"/>
      <c r="V326" s="132"/>
      <c r="W326" s="132"/>
      <c r="X326" s="132"/>
      <c r="Y326" s="132"/>
      <c r="Z326" s="132"/>
      <c r="AA326" s="132"/>
      <c r="AB326" s="132"/>
      <c r="AC326" s="132"/>
      <c r="AD326" s="132"/>
      <c r="AE326" s="1"/>
      <c r="AG326" s="132"/>
      <c r="AH326" s="132"/>
      <c r="AI326" s="132"/>
      <c r="AJ326" s="132"/>
      <c r="AK326" s="132"/>
      <c r="AL326" s="132"/>
      <c r="AM326" s="132"/>
      <c r="AN326" s="132"/>
      <c r="AO326" s="132"/>
      <c r="AP326" s="132"/>
      <c r="AQ326" s="132"/>
      <c r="AR326" s="132"/>
      <c r="AS326" s="132"/>
      <c r="AT326" s="132"/>
      <c r="AU326" s="132"/>
      <c r="AV326" s="132"/>
    </row>
    <row r="327" spans="1:48" ht="15.75" customHeight="1">
      <c r="A327" s="132"/>
      <c r="B327" s="132"/>
      <c r="C327" s="132"/>
      <c r="D327" s="132"/>
      <c r="E327" s="132"/>
      <c r="F327" s="132"/>
      <c r="G327" s="132"/>
      <c r="H327" s="132"/>
      <c r="I327" s="132"/>
      <c r="J327" s="132"/>
      <c r="K327" s="132"/>
      <c r="L327" s="132"/>
      <c r="M327" s="1"/>
      <c r="N327" s="1"/>
      <c r="O327" s="132"/>
      <c r="P327" s="132"/>
      <c r="Q327" s="132"/>
      <c r="R327" s="132"/>
      <c r="S327" s="132"/>
      <c r="T327" s="132"/>
      <c r="U327" s="132"/>
      <c r="V327" s="132"/>
      <c r="W327" s="132"/>
      <c r="X327" s="132"/>
      <c r="Y327" s="132"/>
      <c r="Z327" s="132"/>
      <c r="AA327" s="132"/>
      <c r="AB327" s="132"/>
      <c r="AC327" s="132"/>
      <c r="AD327" s="132"/>
      <c r="AE327" s="1"/>
      <c r="AG327" s="132"/>
      <c r="AH327" s="132"/>
      <c r="AI327" s="132"/>
      <c r="AJ327" s="132"/>
      <c r="AK327" s="132"/>
      <c r="AL327" s="132"/>
      <c r="AM327" s="132"/>
      <c r="AN327" s="132"/>
      <c r="AO327" s="132"/>
      <c r="AP327" s="132"/>
      <c r="AQ327" s="132"/>
      <c r="AR327" s="132"/>
      <c r="AS327" s="132"/>
      <c r="AT327" s="132"/>
      <c r="AU327" s="132"/>
      <c r="AV327" s="132"/>
    </row>
    <row r="328" spans="1:48" ht="15.75" customHeight="1">
      <c r="A328" s="132"/>
      <c r="B328" s="132"/>
      <c r="C328" s="132"/>
      <c r="D328" s="132"/>
      <c r="E328" s="132"/>
      <c r="F328" s="132"/>
      <c r="G328" s="132"/>
      <c r="H328" s="132"/>
      <c r="I328" s="132"/>
      <c r="J328" s="132"/>
      <c r="K328" s="132"/>
      <c r="L328" s="132"/>
      <c r="M328" s="1"/>
      <c r="N328" s="1"/>
      <c r="O328" s="132"/>
      <c r="P328" s="132"/>
      <c r="Q328" s="132"/>
      <c r="R328" s="132"/>
      <c r="S328" s="132"/>
      <c r="T328" s="132"/>
      <c r="U328" s="132"/>
      <c r="V328" s="132"/>
      <c r="W328" s="132"/>
      <c r="X328" s="132"/>
      <c r="Y328" s="132"/>
      <c r="Z328" s="132"/>
      <c r="AA328" s="132"/>
      <c r="AB328" s="132"/>
      <c r="AC328" s="132"/>
      <c r="AD328" s="132"/>
      <c r="AE328" s="1"/>
      <c r="AG328" s="132"/>
      <c r="AH328" s="132"/>
      <c r="AI328" s="132"/>
      <c r="AJ328" s="132"/>
      <c r="AK328" s="132"/>
      <c r="AL328" s="132"/>
      <c r="AM328" s="132"/>
      <c r="AN328" s="132"/>
      <c r="AO328" s="132"/>
      <c r="AP328" s="132"/>
      <c r="AQ328" s="132"/>
      <c r="AR328" s="132"/>
      <c r="AS328" s="132"/>
      <c r="AT328" s="132"/>
      <c r="AU328" s="132"/>
      <c r="AV328" s="132"/>
    </row>
    <row r="329" spans="1:48" ht="15.75" customHeight="1">
      <c r="A329" s="132"/>
      <c r="B329" s="132"/>
      <c r="C329" s="132"/>
      <c r="D329" s="132"/>
      <c r="E329" s="132"/>
      <c r="F329" s="132"/>
      <c r="G329" s="132"/>
      <c r="H329" s="132"/>
      <c r="I329" s="132"/>
      <c r="J329" s="132"/>
      <c r="K329" s="132"/>
      <c r="L329" s="132"/>
      <c r="M329" s="1"/>
      <c r="N329" s="1"/>
      <c r="O329" s="132"/>
      <c r="P329" s="132"/>
      <c r="Q329" s="132"/>
      <c r="R329" s="132"/>
      <c r="S329" s="132"/>
      <c r="T329" s="132"/>
      <c r="U329" s="132"/>
      <c r="V329" s="132"/>
      <c r="W329" s="132"/>
      <c r="X329" s="132"/>
      <c r="Y329" s="132"/>
      <c r="Z329" s="132"/>
      <c r="AA329" s="132"/>
      <c r="AB329" s="132"/>
      <c r="AC329" s="132"/>
      <c r="AD329" s="132"/>
      <c r="AE329" s="1"/>
      <c r="AG329" s="132"/>
      <c r="AH329" s="132"/>
      <c r="AI329" s="132"/>
      <c r="AJ329" s="132"/>
      <c r="AK329" s="132"/>
      <c r="AL329" s="132"/>
      <c r="AM329" s="132"/>
      <c r="AN329" s="132"/>
      <c r="AO329" s="132"/>
      <c r="AP329" s="132"/>
      <c r="AQ329" s="132"/>
      <c r="AR329" s="132"/>
      <c r="AS329" s="132"/>
      <c r="AT329" s="132"/>
      <c r="AU329" s="132"/>
      <c r="AV329" s="132"/>
    </row>
    <row r="330" spans="1:48" ht="15.75" customHeight="1">
      <c r="A330" s="132"/>
      <c r="B330" s="132"/>
      <c r="C330" s="132"/>
      <c r="D330" s="132"/>
      <c r="E330" s="132"/>
      <c r="F330" s="132"/>
      <c r="G330" s="132"/>
      <c r="H330" s="132"/>
      <c r="I330" s="132"/>
      <c r="J330" s="132"/>
      <c r="K330" s="132"/>
      <c r="L330" s="132"/>
      <c r="M330" s="1"/>
      <c r="N330" s="1"/>
      <c r="O330" s="132"/>
      <c r="P330" s="132"/>
      <c r="Q330" s="132"/>
      <c r="R330" s="132"/>
      <c r="S330" s="132"/>
      <c r="T330" s="132"/>
      <c r="U330" s="132"/>
      <c r="V330" s="132"/>
      <c r="W330" s="132"/>
      <c r="X330" s="132"/>
      <c r="Y330" s="132"/>
      <c r="Z330" s="132"/>
      <c r="AA330" s="132"/>
      <c r="AB330" s="132"/>
      <c r="AC330" s="132"/>
      <c r="AD330" s="132"/>
      <c r="AE330" s="1"/>
      <c r="AG330" s="132"/>
      <c r="AH330" s="132"/>
      <c r="AI330" s="132"/>
      <c r="AJ330" s="132"/>
      <c r="AK330" s="132"/>
      <c r="AL330" s="132"/>
      <c r="AM330" s="132"/>
      <c r="AN330" s="132"/>
      <c r="AO330" s="132"/>
      <c r="AP330" s="132"/>
      <c r="AQ330" s="132"/>
      <c r="AR330" s="132"/>
      <c r="AS330" s="132"/>
      <c r="AT330" s="132"/>
      <c r="AU330" s="132"/>
      <c r="AV330" s="132"/>
    </row>
    <row r="331" spans="1:48" ht="15.75" customHeight="1">
      <c r="A331" s="132"/>
      <c r="B331" s="132"/>
      <c r="C331" s="132"/>
      <c r="D331" s="132"/>
      <c r="E331" s="132"/>
      <c r="F331" s="132"/>
      <c r="G331" s="132"/>
      <c r="H331" s="132"/>
      <c r="I331" s="132"/>
      <c r="J331" s="132"/>
      <c r="K331" s="132"/>
      <c r="L331" s="132"/>
      <c r="M331" s="1"/>
      <c r="N331" s="1"/>
      <c r="O331" s="132"/>
      <c r="P331" s="132"/>
      <c r="Q331" s="132"/>
      <c r="R331" s="132"/>
      <c r="S331" s="132"/>
      <c r="T331" s="132"/>
      <c r="U331" s="132"/>
      <c r="V331" s="132"/>
      <c r="W331" s="132"/>
      <c r="X331" s="132"/>
      <c r="Y331" s="132"/>
      <c r="Z331" s="132"/>
      <c r="AA331" s="132"/>
      <c r="AB331" s="132"/>
      <c r="AC331" s="132"/>
      <c r="AD331" s="132"/>
      <c r="AE331" s="1"/>
      <c r="AG331" s="132"/>
      <c r="AH331" s="132"/>
      <c r="AI331" s="132"/>
      <c r="AJ331" s="132"/>
      <c r="AK331" s="132"/>
      <c r="AL331" s="132"/>
      <c r="AM331" s="132"/>
      <c r="AN331" s="132"/>
      <c r="AO331" s="132"/>
      <c r="AP331" s="132"/>
      <c r="AQ331" s="132"/>
      <c r="AR331" s="132"/>
      <c r="AS331" s="132"/>
      <c r="AT331" s="132"/>
      <c r="AU331" s="132"/>
      <c r="AV331" s="132"/>
    </row>
    <row r="332" spans="1:48" ht="15.75" customHeight="1">
      <c r="A332" s="132"/>
      <c r="B332" s="132"/>
      <c r="C332" s="132"/>
      <c r="D332" s="132"/>
      <c r="E332" s="132"/>
      <c r="F332" s="132"/>
      <c r="G332" s="132"/>
      <c r="H332" s="132"/>
      <c r="I332" s="132"/>
      <c r="J332" s="132"/>
      <c r="K332" s="132"/>
      <c r="L332" s="132"/>
      <c r="M332" s="1"/>
      <c r="N332" s="1"/>
      <c r="O332" s="132"/>
      <c r="P332" s="132"/>
      <c r="Q332" s="132"/>
      <c r="R332" s="132"/>
      <c r="S332" s="132"/>
      <c r="T332" s="132"/>
      <c r="U332" s="132"/>
      <c r="V332" s="132"/>
      <c r="W332" s="132"/>
      <c r="X332" s="132"/>
      <c r="Y332" s="132"/>
      <c r="Z332" s="132"/>
      <c r="AA332" s="132"/>
      <c r="AB332" s="132"/>
      <c r="AC332" s="132"/>
      <c r="AD332" s="132"/>
      <c r="AE332" s="1"/>
      <c r="AG332" s="132"/>
      <c r="AH332" s="132"/>
      <c r="AI332" s="132"/>
      <c r="AJ332" s="132"/>
      <c r="AK332" s="132"/>
      <c r="AL332" s="132"/>
      <c r="AM332" s="132"/>
      <c r="AN332" s="132"/>
      <c r="AO332" s="132"/>
      <c r="AP332" s="132"/>
      <c r="AQ332" s="132"/>
      <c r="AR332" s="132"/>
      <c r="AS332" s="132"/>
      <c r="AT332" s="132"/>
      <c r="AU332" s="132"/>
      <c r="AV332" s="132"/>
    </row>
    <row r="333" spans="1:48" ht="15.75" customHeight="1">
      <c r="A333" s="132"/>
      <c r="B333" s="132"/>
      <c r="C333" s="132"/>
      <c r="D333" s="132"/>
      <c r="E333" s="132"/>
      <c r="F333" s="132"/>
      <c r="G333" s="132"/>
      <c r="H333" s="132"/>
      <c r="I333" s="132"/>
      <c r="J333" s="132"/>
      <c r="K333" s="132"/>
      <c r="L333" s="132"/>
      <c r="M333" s="1"/>
      <c r="N333" s="1"/>
      <c r="O333" s="132"/>
      <c r="P333" s="132"/>
      <c r="Q333" s="132"/>
      <c r="R333" s="132"/>
      <c r="S333" s="132"/>
      <c r="T333" s="132"/>
      <c r="U333" s="132"/>
      <c r="V333" s="132"/>
      <c r="W333" s="132"/>
      <c r="X333" s="132"/>
      <c r="Y333" s="132"/>
      <c r="Z333" s="132"/>
      <c r="AA333" s="132"/>
      <c r="AB333" s="132"/>
      <c r="AC333" s="132"/>
      <c r="AD333" s="132"/>
      <c r="AE333" s="1"/>
      <c r="AG333" s="132"/>
      <c r="AH333" s="132"/>
      <c r="AI333" s="132"/>
      <c r="AJ333" s="132"/>
      <c r="AK333" s="132"/>
      <c r="AL333" s="132"/>
      <c r="AM333" s="132"/>
      <c r="AN333" s="132"/>
      <c r="AO333" s="132"/>
      <c r="AP333" s="132"/>
      <c r="AQ333" s="132"/>
      <c r="AR333" s="132"/>
      <c r="AS333" s="132"/>
      <c r="AT333" s="132"/>
      <c r="AU333" s="132"/>
      <c r="AV333" s="132"/>
    </row>
    <row r="334" spans="1:48" ht="15.75" customHeight="1">
      <c r="A334" s="132"/>
      <c r="B334" s="132"/>
      <c r="C334" s="132"/>
      <c r="D334" s="132"/>
      <c r="E334" s="132"/>
      <c r="F334" s="132"/>
      <c r="G334" s="132"/>
      <c r="H334" s="132"/>
      <c r="I334" s="132"/>
      <c r="J334" s="132"/>
      <c r="K334" s="132"/>
      <c r="L334" s="132"/>
      <c r="M334" s="1"/>
      <c r="N334" s="1"/>
      <c r="O334" s="132"/>
      <c r="P334" s="132"/>
      <c r="Q334" s="132"/>
      <c r="R334" s="132"/>
      <c r="S334" s="132"/>
      <c r="T334" s="132"/>
      <c r="U334" s="132"/>
      <c r="V334" s="132"/>
      <c r="W334" s="132"/>
      <c r="X334" s="132"/>
      <c r="Y334" s="132"/>
      <c r="Z334" s="132"/>
      <c r="AA334" s="132"/>
      <c r="AB334" s="132"/>
      <c r="AC334" s="132"/>
      <c r="AD334" s="132"/>
      <c r="AE334" s="1"/>
      <c r="AG334" s="132"/>
      <c r="AH334" s="132"/>
      <c r="AI334" s="132"/>
      <c r="AJ334" s="132"/>
      <c r="AK334" s="132"/>
      <c r="AL334" s="132"/>
      <c r="AM334" s="132"/>
      <c r="AN334" s="132"/>
      <c r="AO334" s="132"/>
      <c r="AP334" s="132"/>
      <c r="AQ334" s="132"/>
      <c r="AR334" s="132"/>
      <c r="AS334" s="132"/>
      <c r="AT334" s="132"/>
      <c r="AU334" s="132"/>
      <c r="AV334" s="132"/>
    </row>
    <row r="335" spans="1:48" ht="15.75" customHeight="1">
      <c r="A335" s="132"/>
      <c r="B335" s="132"/>
      <c r="C335" s="132"/>
      <c r="D335" s="132"/>
      <c r="E335" s="132"/>
      <c r="F335" s="132"/>
      <c r="G335" s="132"/>
      <c r="H335" s="132"/>
      <c r="I335" s="132"/>
      <c r="J335" s="132"/>
      <c r="K335" s="132"/>
      <c r="L335" s="132"/>
      <c r="M335" s="1"/>
      <c r="N335" s="1"/>
      <c r="O335" s="132"/>
      <c r="P335" s="132"/>
      <c r="Q335" s="132"/>
      <c r="R335" s="132"/>
      <c r="S335" s="132"/>
      <c r="T335" s="132"/>
      <c r="U335" s="132"/>
      <c r="V335" s="132"/>
      <c r="W335" s="132"/>
      <c r="X335" s="132"/>
      <c r="Y335" s="132"/>
      <c r="Z335" s="132"/>
      <c r="AA335" s="132"/>
      <c r="AB335" s="132"/>
      <c r="AC335" s="132"/>
      <c r="AD335" s="132"/>
      <c r="AE335" s="1"/>
      <c r="AG335" s="132"/>
      <c r="AH335" s="132"/>
      <c r="AI335" s="132"/>
      <c r="AJ335" s="132"/>
      <c r="AK335" s="132"/>
      <c r="AL335" s="132"/>
      <c r="AM335" s="132"/>
      <c r="AN335" s="132"/>
      <c r="AO335" s="132"/>
      <c r="AP335" s="132"/>
      <c r="AQ335" s="132"/>
      <c r="AR335" s="132"/>
      <c r="AS335" s="132"/>
      <c r="AT335" s="132"/>
      <c r="AU335" s="132"/>
      <c r="AV335" s="132"/>
    </row>
    <row r="336" spans="1:48" ht="15.75" customHeight="1">
      <c r="A336" s="132"/>
      <c r="B336" s="132"/>
      <c r="C336" s="132"/>
      <c r="D336" s="132"/>
      <c r="E336" s="132"/>
      <c r="F336" s="132"/>
      <c r="G336" s="132"/>
      <c r="H336" s="132"/>
      <c r="I336" s="132"/>
      <c r="J336" s="132"/>
      <c r="K336" s="132"/>
      <c r="L336" s="132"/>
      <c r="M336" s="1"/>
      <c r="N336" s="1"/>
      <c r="O336" s="132"/>
      <c r="P336" s="132"/>
      <c r="Q336" s="132"/>
      <c r="R336" s="132"/>
      <c r="S336" s="132"/>
      <c r="T336" s="132"/>
      <c r="U336" s="132"/>
      <c r="V336" s="132"/>
      <c r="W336" s="132"/>
      <c r="X336" s="132"/>
      <c r="Y336" s="132"/>
      <c r="Z336" s="132"/>
      <c r="AA336" s="132"/>
      <c r="AB336" s="132"/>
      <c r="AC336" s="132"/>
      <c r="AD336" s="132"/>
      <c r="AE336" s="1"/>
      <c r="AG336" s="132"/>
      <c r="AH336" s="132"/>
      <c r="AI336" s="132"/>
      <c r="AJ336" s="132"/>
      <c r="AK336" s="132"/>
      <c r="AL336" s="132"/>
      <c r="AM336" s="132"/>
      <c r="AN336" s="132"/>
      <c r="AO336" s="132"/>
      <c r="AP336" s="132"/>
      <c r="AQ336" s="132"/>
      <c r="AR336" s="132"/>
      <c r="AS336" s="132"/>
      <c r="AT336" s="132"/>
      <c r="AU336" s="132"/>
      <c r="AV336" s="132"/>
    </row>
    <row r="337" spans="1:48" ht="15.75" customHeight="1">
      <c r="A337" s="132"/>
      <c r="B337" s="132"/>
      <c r="C337" s="132"/>
      <c r="D337" s="132"/>
      <c r="E337" s="132"/>
      <c r="F337" s="132"/>
      <c r="G337" s="132"/>
      <c r="H337" s="132"/>
      <c r="I337" s="132"/>
      <c r="J337" s="132"/>
      <c r="K337" s="132"/>
      <c r="L337" s="132"/>
      <c r="M337" s="1"/>
      <c r="N337" s="1"/>
      <c r="O337" s="132"/>
      <c r="P337" s="132"/>
      <c r="Q337" s="132"/>
      <c r="R337" s="132"/>
      <c r="S337" s="132"/>
      <c r="T337" s="132"/>
      <c r="U337" s="132"/>
      <c r="V337" s="132"/>
      <c r="W337" s="132"/>
      <c r="X337" s="132"/>
      <c r="Y337" s="132"/>
      <c r="Z337" s="132"/>
      <c r="AA337" s="132"/>
      <c r="AB337" s="132"/>
      <c r="AC337" s="132"/>
      <c r="AD337" s="132"/>
      <c r="AE337" s="1"/>
      <c r="AG337" s="132"/>
      <c r="AH337" s="132"/>
      <c r="AI337" s="132"/>
      <c r="AJ337" s="132"/>
      <c r="AK337" s="132"/>
      <c r="AL337" s="132"/>
      <c r="AM337" s="132"/>
      <c r="AN337" s="132"/>
      <c r="AO337" s="132"/>
      <c r="AP337" s="132"/>
      <c r="AQ337" s="132"/>
      <c r="AR337" s="132"/>
      <c r="AS337" s="132"/>
      <c r="AT337" s="132"/>
      <c r="AU337" s="132"/>
      <c r="AV337" s="132"/>
    </row>
    <row r="338" spans="1:48" ht="15.75" customHeight="1">
      <c r="A338" s="132"/>
      <c r="B338" s="132"/>
      <c r="C338" s="132"/>
      <c r="D338" s="132"/>
      <c r="E338" s="132"/>
      <c r="F338" s="132"/>
      <c r="G338" s="132"/>
      <c r="H338" s="132"/>
      <c r="I338" s="132"/>
      <c r="J338" s="132"/>
      <c r="K338" s="132"/>
      <c r="L338" s="132"/>
      <c r="M338" s="1"/>
      <c r="N338" s="1"/>
      <c r="O338" s="132"/>
      <c r="P338" s="132"/>
      <c r="Q338" s="132"/>
      <c r="R338" s="132"/>
      <c r="S338" s="132"/>
      <c r="T338" s="132"/>
      <c r="U338" s="132"/>
      <c r="V338" s="132"/>
      <c r="W338" s="132"/>
      <c r="X338" s="132"/>
      <c r="Y338" s="132"/>
      <c r="Z338" s="132"/>
      <c r="AA338" s="132"/>
      <c r="AB338" s="132"/>
      <c r="AC338" s="132"/>
      <c r="AD338" s="132"/>
      <c r="AE338" s="1"/>
      <c r="AG338" s="132"/>
      <c r="AH338" s="132"/>
      <c r="AI338" s="132"/>
      <c r="AJ338" s="132"/>
      <c r="AK338" s="132"/>
      <c r="AL338" s="132"/>
      <c r="AM338" s="132"/>
      <c r="AN338" s="132"/>
      <c r="AO338" s="132"/>
      <c r="AP338" s="132"/>
      <c r="AQ338" s="132"/>
      <c r="AR338" s="132"/>
      <c r="AS338" s="132"/>
      <c r="AT338" s="132"/>
      <c r="AU338" s="132"/>
      <c r="AV338" s="132"/>
    </row>
    <row r="339" spans="1:48" ht="15.75" customHeight="1">
      <c r="A339" s="132"/>
      <c r="B339" s="132"/>
      <c r="C339" s="132"/>
      <c r="D339" s="132"/>
      <c r="E339" s="132"/>
      <c r="F339" s="132"/>
      <c r="G339" s="132"/>
      <c r="H339" s="132"/>
      <c r="I339" s="132"/>
      <c r="J339" s="132"/>
      <c r="K339" s="132"/>
      <c r="L339" s="132"/>
      <c r="M339" s="1"/>
      <c r="N339" s="1"/>
      <c r="O339" s="132"/>
      <c r="P339" s="132"/>
      <c r="Q339" s="132"/>
      <c r="R339" s="132"/>
      <c r="S339" s="132"/>
      <c r="T339" s="132"/>
      <c r="U339" s="132"/>
      <c r="V339" s="132"/>
      <c r="W339" s="132"/>
      <c r="X339" s="132"/>
      <c r="Y339" s="132"/>
      <c r="Z339" s="132"/>
      <c r="AA339" s="132"/>
      <c r="AB339" s="132"/>
      <c r="AC339" s="132"/>
      <c r="AD339" s="132"/>
      <c r="AE339" s="1"/>
      <c r="AG339" s="132"/>
      <c r="AH339" s="132"/>
      <c r="AI339" s="132"/>
      <c r="AJ339" s="132"/>
      <c r="AK339" s="132"/>
      <c r="AL339" s="132"/>
      <c r="AM339" s="132"/>
      <c r="AN339" s="132"/>
      <c r="AO339" s="132"/>
      <c r="AP339" s="132"/>
      <c r="AQ339" s="132"/>
      <c r="AR339" s="132"/>
      <c r="AS339" s="132"/>
      <c r="AT339" s="132"/>
      <c r="AU339" s="132"/>
      <c r="AV339" s="132"/>
    </row>
    <row r="340" spans="1:48" ht="15.75" customHeight="1">
      <c r="A340" s="132"/>
      <c r="B340" s="132"/>
      <c r="C340" s="132"/>
      <c r="D340" s="132"/>
      <c r="E340" s="132"/>
      <c r="F340" s="132"/>
      <c r="G340" s="132"/>
      <c r="H340" s="132"/>
      <c r="I340" s="132"/>
      <c r="J340" s="132"/>
      <c r="K340" s="132"/>
      <c r="L340" s="132"/>
      <c r="M340" s="1"/>
      <c r="N340" s="1"/>
      <c r="O340" s="132"/>
      <c r="P340" s="132"/>
      <c r="Q340" s="132"/>
      <c r="R340" s="132"/>
      <c r="S340" s="132"/>
      <c r="T340" s="132"/>
      <c r="U340" s="132"/>
      <c r="V340" s="132"/>
      <c r="W340" s="132"/>
      <c r="X340" s="132"/>
      <c r="Y340" s="132"/>
      <c r="Z340" s="132"/>
      <c r="AA340" s="132"/>
      <c r="AB340" s="132"/>
      <c r="AC340" s="132"/>
      <c r="AD340" s="132"/>
      <c r="AE340" s="1"/>
      <c r="AG340" s="132"/>
      <c r="AH340" s="132"/>
      <c r="AI340" s="132"/>
      <c r="AJ340" s="132"/>
      <c r="AK340" s="132"/>
      <c r="AL340" s="132"/>
      <c r="AM340" s="132"/>
      <c r="AN340" s="132"/>
      <c r="AO340" s="132"/>
      <c r="AP340" s="132"/>
      <c r="AQ340" s="132"/>
      <c r="AR340" s="132"/>
      <c r="AS340" s="132"/>
      <c r="AT340" s="132"/>
      <c r="AU340" s="132"/>
      <c r="AV340" s="132"/>
    </row>
    <row r="341" spans="1:48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</row>
    <row r="342" spans="1:48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1:48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1:48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1:48" ht="15.75" customHeight="1" thickBot="1">
      <c r="A345" s="140" t="s">
        <v>55</v>
      </c>
      <c r="B345" s="140"/>
      <c r="C345" s="140"/>
      <c r="D345" s="140"/>
      <c r="E345" s="140"/>
      <c r="F345" s="4"/>
      <c r="G345" s="5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1"/>
      <c r="Z345" s="1"/>
      <c r="AA345" s="1"/>
      <c r="AB345" s="1"/>
      <c r="AC345" s="1"/>
      <c r="AD345" s="1"/>
      <c r="AE345" s="1"/>
    </row>
    <row r="346" spans="1:48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1:48" ht="15.75" customHeight="1">
      <c r="A347" s="139" t="s">
        <v>56</v>
      </c>
      <c r="B347" s="139"/>
      <c r="C347" s="139"/>
      <c r="D347" s="25"/>
      <c r="E347" s="25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1:48" ht="15.75" customHeight="1">
      <c r="A348" s="141" t="s">
        <v>57</v>
      </c>
      <c r="B348" s="141"/>
      <c r="C348" s="141"/>
      <c r="D348" s="25"/>
      <c r="E348" s="25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1:48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1:48" s="31" customFormat="1" ht="15.75" customHeight="1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8" ht="15.75" customHeight="1">
      <c r="A351" s="138" t="s">
        <v>112</v>
      </c>
      <c r="B351" s="138"/>
      <c r="C351" s="138"/>
      <c r="D351" s="38" t="s">
        <v>94</v>
      </c>
      <c r="E351" s="38" t="s">
        <v>92</v>
      </c>
      <c r="F351" s="39" t="s">
        <v>96</v>
      </c>
      <c r="G351" s="39" t="s">
        <v>97</v>
      </c>
      <c r="H351" s="39" t="s">
        <v>98</v>
      </c>
      <c r="I351" s="39" t="s">
        <v>99</v>
      </c>
      <c r="J351" s="39" t="s">
        <v>106</v>
      </c>
      <c r="K351" s="39" t="s">
        <v>107</v>
      </c>
      <c r="L351" s="52" t="s">
        <v>210</v>
      </c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48" ht="15.75" customHeight="1">
      <c r="A352" s="138" t="s">
        <v>92</v>
      </c>
      <c r="B352" s="138"/>
      <c r="C352" s="138"/>
      <c r="D352" s="34"/>
      <c r="E352" s="34"/>
      <c r="F352" s="42">
        <f>DUT_VIN*0.95</f>
        <v>0</v>
      </c>
      <c r="G352" s="42">
        <f>DUT_VIN*1.05</f>
        <v>0</v>
      </c>
      <c r="H352" s="39">
        <f>E352-F352</f>
        <v>0</v>
      </c>
      <c r="I352" s="39">
        <f>G352-D352</f>
        <v>0</v>
      </c>
      <c r="J352" s="44" t="e">
        <f t="shared" ref="J352:K355" si="24">H352/DUT_VIN*100</f>
        <v>#DIV/0!</v>
      </c>
      <c r="K352" s="44" t="e">
        <f t="shared" si="24"/>
        <v>#DIV/0!</v>
      </c>
      <c r="L352" s="44" t="e">
        <f>(ABS(D352-E352)/DUT_VIN)*100</f>
        <v>#DIV/0!</v>
      </c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</row>
    <row r="353" spans="1:60" ht="15.75" customHeight="1">
      <c r="A353" s="138" t="s">
        <v>93</v>
      </c>
      <c r="B353" s="138"/>
      <c r="C353" s="138"/>
      <c r="D353" s="34"/>
      <c r="E353" s="34"/>
      <c r="F353" s="42">
        <f>DUT_VIN*0.95</f>
        <v>0</v>
      </c>
      <c r="G353" s="42">
        <f>DUT_VIN*1.05</f>
        <v>0</v>
      </c>
      <c r="H353" s="39">
        <f t="shared" ref="H353:H355" si="25">E353-F353</f>
        <v>0</v>
      </c>
      <c r="I353" s="39">
        <f t="shared" ref="I353:I355" si="26">G353-D353</f>
        <v>0</v>
      </c>
      <c r="J353" s="44" t="e">
        <f t="shared" si="24"/>
        <v>#DIV/0!</v>
      </c>
      <c r="K353" s="44" t="e">
        <f t="shared" si="24"/>
        <v>#DIV/0!</v>
      </c>
      <c r="L353" s="44" t="e">
        <f>(ABS(D353-E353)/DUT_VIN)*100</f>
        <v>#DIV/0!</v>
      </c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60" ht="15.75" customHeight="1">
      <c r="A354" s="138" t="s">
        <v>94</v>
      </c>
      <c r="B354" s="138"/>
      <c r="C354" s="138"/>
      <c r="D354" s="34"/>
      <c r="E354" s="34"/>
      <c r="F354" s="42">
        <f>DUT_VIN*0.95</f>
        <v>0</v>
      </c>
      <c r="G354" s="42">
        <f>DUT_VIN*1.05</f>
        <v>0</v>
      </c>
      <c r="H354" s="39">
        <f t="shared" si="25"/>
        <v>0</v>
      </c>
      <c r="I354" s="39">
        <f t="shared" si="26"/>
        <v>0</v>
      </c>
      <c r="J354" s="44" t="e">
        <f t="shared" si="24"/>
        <v>#DIV/0!</v>
      </c>
      <c r="K354" s="44" t="e">
        <f t="shared" si="24"/>
        <v>#DIV/0!</v>
      </c>
      <c r="L354" s="44" t="e">
        <f>(ABS(D354-E354)/DUT_VIN)*100</f>
        <v>#DIV/0!</v>
      </c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60" ht="15.75" customHeight="1">
      <c r="A355" s="138" t="s">
        <v>113</v>
      </c>
      <c r="B355" s="138"/>
      <c r="C355" s="138"/>
      <c r="D355" s="34"/>
      <c r="E355" s="34"/>
      <c r="F355" s="42">
        <f>DUT_VIN*0.95</f>
        <v>0</v>
      </c>
      <c r="G355" s="42">
        <f>DUT_VIN*1.05</f>
        <v>0</v>
      </c>
      <c r="H355" s="39">
        <f t="shared" si="25"/>
        <v>0</v>
      </c>
      <c r="I355" s="39">
        <f t="shared" si="26"/>
        <v>0</v>
      </c>
      <c r="J355" s="44" t="e">
        <f t="shared" si="24"/>
        <v>#DIV/0!</v>
      </c>
      <c r="K355" s="44" t="e">
        <f t="shared" si="24"/>
        <v>#DIV/0!</v>
      </c>
      <c r="L355" s="44" t="e">
        <f>(ABS(D355-E355)/DUT_VIN)*100</f>
        <v>#DIV/0!</v>
      </c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1:60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1:60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1:60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1:60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1: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1:60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1:60" ht="15.75" customHeight="1">
      <c r="A362" s="131" t="s">
        <v>46</v>
      </c>
      <c r="B362" s="131"/>
      <c r="C362" s="131"/>
      <c r="D362" s="1"/>
      <c r="E362" s="1"/>
      <c r="F362" s="1"/>
      <c r="G362" s="1"/>
      <c r="H362" s="1"/>
      <c r="I362" s="1"/>
      <c r="K362" s="25"/>
      <c r="L362" s="25"/>
      <c r="M362" s="1"/>
      <c r="O362" s="131" t="s">
        <v>47</v>
      </c>
      <c r="P362" s="131"/>
      <c r="Q362" s="13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G362" s="131" t="s">
        <v>88</v>
      </c>
      <c r="AH362" s="131"/>
      <c r="AI362" s="131"/>
      <c r="AS362" s="1"/>
      <c r="AT362" s="1"/>
      <c r="AU362" s="1"/>
      <c r="AV362" s="131" t="s">
        <v>58</v>
      </c>
      <c r="AW362" s="131"/>
      <c r="AX362" s="131"/>
    </row>
    <row r="363" spans="1:60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S363" s="1"/>
      <c r="AT363" s="1"/>
      <c r="AU363" s="1"/>
      <c r="AV363" s="1"/>
    </row>
    <row r="364" spans="1:60" ht="15.75" customHeight="1">
      <c r="A364" s="132"/>
      <c r="B364" s="132"/>
      <c r="C364" s="132"/>
      <c r="D364" s="132"/>
      <c r="E364" s="132"/>
      <c r="F364" s="132"/>
      <c r="G364" s="132"/>
      <c r="H364" s="132"/>
      <c r="I364" s="132"/>
      <c r="J364" s="132"/>
      <c r="K364" s="132"/>
      <c r="L364" s="132"/>
      <c r="M364" s="1"/>
      <c r="N364" s="1"/>
      <c r="O364" s="132"/>
      <c r="P364" s="132"/>
      <c r="Q364" s="132"/>
      <c r="R364" s="132"/>
      <c r="S364" s="132"/>
      <c r="T364" s="132"/>
      <c r="U364" s="132"/>
      <c r="V364" s="132"/>
      <c r="W364" s="132"/>
      <c r="X364" s="132"/>
      <c r="Y364" s="132"/>
      <c r="Z364" s="132"/>
      <c r="AA364" s="132"/>
      <c r="AB364" s="132"/>
      <c r="AC364" s="132"/>
      <c r="AD364" s="132"/>
      <c r="AE364" s="1"/>
      <c r="AG364" s="132"/>
      <c r="AH364" s="132"/>
      <c r="AI364" s="132"/>
      <c r="AJ364" s="132"/>
      <c r="AK364" s="132"/>
      <c r="AL364" s="132"/>
      <c r="AM364" s="132"/>
      <c r="AN364" s="132"/>
      <c r="AO364" s="132"/>
      <c r="AP364" s="132"/>
      <c r="AQ364" s="132"/>
      <c r="AR364" s="132"/>
      <c r="AS364" s="132"/>
      <c r="AT364" s="1"/>
      <c r="AU364" s="1"/>
      <c r="AV364" s="132"/>
      <c r="AW364" s="132"/>
      <c r="AX364" s="132"/>
      <c r="AY364" s="132"/>
      <c r="AZ364" s="132"/>
      <c r="BA364" s="132"/>
      <c r="BB364" s="132"/>
      <c r="BC364" s="132"/>
      <c r="BD364" s="132"/>
      <c r="BE364" s="132"/>
      <c r="BF364" s="132"/>
      <c r="BG364" s="132"/>
      <c r="BH364" s="132"/>
    </row>
    <row r="365" spans="1:60" ht="15.75" customHeight="1">
      <c r="A365" s="132"/>
      <c r="B365" s="132"/>
      <c r="C365" s="132"/>
      <c r="D365" s="132"/>
      <c r="E365" s="132"/>
      <c r="F365" s="132"/>
      <c r="G365" s="132"/>
      <c r="H365" s="132"/>
      <c r="I365" s="132"/>
      <c r="J365" s="132"/>
      <c r="K365" s="132"/>
      <c r="L365" s="132"/>
      <c r="M365" s="1"/>
      <c r="N365" s="1"/>
      <c r="O365" s="132"/>
      <c r="P365" s="132"/>
      <c r="Q365" s="132"/>
      <c r="R365" s="132"/>
      <c r="S365" s="132"/>
      <c r="T365" s="132"/>
      <c r="U365" s="132"/>
      <c r="V365" s="132"/>
      <c r="W365" s="132"/>
      <c r="X365" s="132"/>
      <c r="Y365" s="132"/>
      <c r="Z365" s="132"/>
      <c r="AA365" s="132"/>
      <c r="AB365" s="132"/>
      <c r="AC365" s="132"/>
      <c r="AD365" s="132"/>
      <c r="AE365" s="1"/>
      <c r="AG365" s="132"/>
      <c r="AH365" s="132"/>
      <c r="AI365" s="132"/>
      <c r="AJ365" s="132"/>
      <c r="AK365" s="132"/>
      <c r="AL365" s="132"/>
      <c r="AM365" s="132"/>
      <c r="AN365" s="132"/>
      <c r="AO365" s="132"/>
      <c r="AP365" s="132"/>
      <c r="AQ365" s="132"/>
      <c r="AR365" s="132"/>
      <c r="AS365" s="132"/>
      <c r="AT365" s="1"/>
      <c r="AU365" s="1"/>
      <c r="AV365" s="132"/>
      <c r="AW365" s="132"/>
      <c r="AX365" s="132"/>
      <c r="AY365" s="132"/>
      <c r="AZ365" s="132"/>
      <c r="BA365" s="132"/>
      <c r="BB365" s="132"/>
      <c r="BC365" s="132"/>
      <c r="BD365" s="132"/>
      <c r="BE365" s="132"/>
      <c r="BF365" s="132"/>
      <c r="BG365" s="132"/>
      <c r="BH365" s="132"/>
    </row>
    <row r="366" spans="1:60" ht="15.75" customHeight="1">
      <c r="A366" s="132"/>
      <c r="B366" s="132"/>
      <c r="C366" s="132"/>
      <c r="D366" s="132"/>
      <c r="E366" s="132"/>
      <c r="F366" s="132"/>
      <c r="G366" s="132"/>
      <c r="H366" s="132"/>
      <c r="I366" s="132"/>
      <c r="J366" s="132"/>
      <c r="K366" s="132"/>
      <c r="L366" s="132"/>
      <c r="M366" s="1"/>
      <c r="N366" s="1"/>
      <c r="O366" s="132"/>
      <c r="P366" s="132"/>
      <c r="Q366" s="132"/>
      <c r="R366" s="132"/>
      <c r="S366" s="132"/>
      <c r="T366" s="132"/>
      <c r="U366" s="132"/>
      <c r="V366" s="132"/>
      <c r="W366" s="132"/>
      <c r="X366" s="132"/>
      <c r="Y366" s="132"/>
      <c r="Z366" s="132"/>
      <c r="AA366" s="132"/>
      <c r="AB366" s="132"/>
      <c r="AC366" s="132"/>
      <c r="AD366" s="132"/>
      <c r="AE366" s="1"/>
      <c r="AG366" s="132"/>
      <c r="AH366" s="132"/>
      <c r="AI366" s="132"/>
      <c r="AJ366" s="132"/>
      <c r="AK366" s="132"/>
      <c r="AL366" s="132"/>
      <c r="AM366" s="132"/>
      <c r="AN366" s="132"/>
      <c r="AO366" s="132"/>
      <c r="AP366" s="132"/>
      <c r="AQ366" s="132"/>
      <c r="AR366" s="132"/>
      <c r="AS366" s="132"/>
      <c r="AT366" s="1"/>
      <c r="AU366" s="1"/>
      <c r="AV366" s="132"/>
      <c r="AW366" s="132"/>
      <c r="AX366" s="132"/>
      <c r="AY366" s="132"/>
      <c r="AZ366" s="132"/>
      <c r="BA366" s="132"/>
      <c r="BB366" s="132"/>
      <c r="BC366" s="132"/>
      <c r="BD366" s="132"/>
      <c r="BE366" s="132"/>
      <c r="BF366" s="132"/>
      <c r="BG366" s="132"/>
      <c r="BH366" s="132"/>
    </row>
    <row r="367" spans="1:60" ht="15.75" customHeight="1">
      <c r="A367" s="132"/>
      <c r="B367" s="132"/>
      <c r="C367" s="132"/>
      <c r="D367" s="132"/>
      <c r="E367" s="132"/>
      <c r="F367" s="132"/>
      <c r="G367" s="132"/>
      <c r="H367" s="132"/>
      <c r="I367" s="132"/>
      <c r="J367" s="132"/>
      <c r="K367" s="132"/>
      <c r="L367" s="132"/>
      <c r="M367" s="1"/>
      <c r="N367" s="1"/>
      <c r="O367" s="132"/>
      <c r="P367" s="132"/>
      <c r="Q367" s="132"/>
      <c r="R367" s="132"/>
      <c r="S367" s="132"/>
      <c r="T367" s="132"/>
      <c r="U367" s="132"/>
      <c r="V367" s="132"/>
      <c r="W367" s="132"/>
      <c r="X367" s="132"/>
      <c r="Y367" s="132"/>
      <c r="Z367" s="132"/>
      <c r="AA367" s="132"/>
      <c r="AB367" s="132"/>
      <c r="AC367" s="132"/>
      <c r="AD367" s="132"/>
      <c r="AE367" s="1"/>
      <c r="AG367" s="132"/>
      <c r="AH367" s="132"/>
      <c r="AI367" s="132"/>
      <c r="AJ367" s="132"/>
      <c r="AK367" s="132"/>
      <c r="AL367" s="132"/>
      <c r="AM367" s="132"/>
      <c r="AN367" s="132"/>
      <c r="AO367" s="132"/>
      <c r="AP367" s="132"/>
      <c r="AQ367" s="132"/>
      <c r="AR367" s="132"/>
      <c r="AS367" s="132"/>
      <c r="AT367" s="1"/>
      <c r="AU367" s="1"/>
      <c r="AV367" s="132"/>
      <c r="AW367" s="132"/>
      <c r="AX367" s="132"/>
      <c r="AY367" s="132"/>
      <c r="AZ367" s="132"/>
      <c r="BA367" s="132"/>
      <c r="BB367" s="132"/>
      <c r="BC367" s="132"/>
      <c r="BD367" s="132"/>
      <c r="BE367" s="132"/>
      <c r="BF367" s="132"/>
      <c r="BG367" s="132"/>
      <c r="BH367" s="132"/>
    </row>
    <row r="368" spans="1:60" ht="15.75" customHeight="1">
      <c r="A368" s="132"/>
      <c r="B368" s="132"/>
      <c r="C368" s="132"/>
      <c r="D368" s="132"/>
      <c r="E368" s="132"/>
      <c r="F368" s="132"/>
      <c r="G368" s="132"/>
      <c r="H368" s="132"/>
      <c r="I368" s="132"/>
      <c r="J368" s="132"/>
      <c r="K368" s="132"/>
      <c r="L368" s="132"/>
      <c r="M368" s="1"/>
      <c r="N368" s="1"/>
      <c r="O368" s="132"/>
      <c r="P368" s="132"/>
      <c r="Q368" s="132"/>
      <c r="R368" s="132"/>
      <c r="S368" s="132"/>
      <c r="T368" s="132"/>
      <c r="U368" s="132"/>
      <c r="V368" s="132"/>
      <c r="W368" s="132"/>
      <c r="X368" s="132"/>
      <c r="Y368" s="132"/>
      <c r="Z368" s="132"/>
      <c r="AA368" s="132"/>
      <c r="AB368" s="132"/>
      <c r="AC368" s="132"/>
      <c r="AD368" s="132"/>
      <c r="AE368" s="1"/>
      <c r="AG368" s="132"/>
      <c r="AH368" s="132"/>
      <c r="AI368" s="132"/>
      <c r="AJ368" s="132"/>
      <c r="AK368" s="132"/>
      <c r="AL368" s="132"/>
      <c r="AM368" s="132"/>
      <c r="AN368" s="132"/>
      <c r="AO368" s="132"/>
      <c r="AP368" s="132"/>
      <c r="AQ368" s="132"/>
      <c r="AR368" s="132"/>
      <c r="AS368" s="132"/>
      <c r="AT368" s="1"/>
      <c r="AU368" s="1"/>
      <c r="AV368" s="132"/>
      <c r="AW368" s="132"/>
      <c r="AX368" s="132"/>
      <c r="AY368" s="132"/>
      <c r="AZ368" s="132"/>
      <c r="BA368" s="132"/>
      <c r="BB368" s="132"/>
      <c r="BC368" s="132"/>
      <c r="BD368" s="132"/>
      <c r="BE368" s="132"/>
      <c r="BF368" s="132"/>
      <c r="BG368" s="132"/>
      <c r="BH368" s="132"/>
    </row>
    <row r="369" spans="1:60" ht="15.75" customHeight="1">
      <c r="A369" s="132"/>
      <c r="B369" s="132"/>
      <c r="C369" s="132"/>
      <c r="D369" s="132"/>
      <c r="E369" s="132"/>
      <c r="F369" s="132"/>
      <c r="G369" s="132"/>
      <c r="H369" s="132"/>
      <c r="I369" s="132"/>
      <c r="J369" s="132"/>
      <c r="K369" s="132"/>
      <c r="L369" s="132"/>
      <c r="M369" s="1"/>
      <c r="N369" s="1"/>
      <c r="O369" s="132"/>
      <c r="P369" s="132"/>
      <c r="Q369" s="132"/>
      <c r="R369" s="132"/>
      <c r="S369" s="132"/>
      <c r="T369" s="132"/>
      <c r="U369" s="132"/>
      <c r="V369" s="132"/>
      <c r="W369" s="132"/>
      <c r="X369" s="132"/>
      <c r="Y369" s="132"/>
      <c r="Z369" s="132"/>
      <c r="AA369" s="132"/>
      <c r="AB369" s="132"/>
      <c r="AC369" s="132"/>
      <c r="AD369" s="132"/>
      <c r="AE369" s="1"/>
      <c r="AG369" s="132"/>
      <c r="AH369" s="132"/>
      <c r="AI369" s="132"/>
      <c r="AJ369" s="132"/>
      <c r="AK369" s="132"/>
      <c r="AL369" s="132"/>
      <c r="AM369" s="132"/>
      <c r="AN369" s="132"/>
      <c r="AO369" s="132"/>
      <c r="AP369" s="132"/>
      <c r="AQ369" s="132"/>
      <c r="AR369" s="132"/>
      <c r="AS369" s="132"/>
      <c r="AT369" s="1"/>
      <c r="AU369" s="1"/>
      <c r="AV369" s="132"/>
      <c r="AW369" s="132"/>
      <c r="AX369" s="132"/>
      <c r="AY369" s="132"/>
      <c r="AZ369" s="132"/>
      <c r="BA369" s="132"/>
      <c r="BB369" s="132"/>
      <c r="BC369" s="132"/>
      <c r="BD369" s="132"/>
      <c r="BE369" s="132"/>
      <c r="BF369" s="132"/>
      <c r="BG369" s="132"/>
      <c r="BH369" s="132"/>
    </row>
    <row r="370" spans="1:60" ht="15.75" customHeight="1">
      <c r="A370" s="132"/>
      <c r="B370" s="132"/>
      <c r="C370" s="132"/>
      <c r="D370" s="132"/>
      <c r="E370" s="132"/>
      <c r="F370" s="132"/>
      <c r="G370" s="132"/>
      <c r="H370" s="132"/>
      <c r="I370" s="132"/>
      <c r="J370" s="132"/>
      <c r="K370" s="132"/>
      <c r="L370" s="132"/>
      <c r="M370" s="1"/>
      <c r="N370" s="1"/>
      <c r="O370" s="132"/>
      <c r="P370" s="132"/>
      <c r="Q370" s="132"/>
      <c r="R370" s="132"/>
      <c r="S370" s="132"/>
      <c r="T370" s="132"/>
      <c r="U370" s="132"/>
      <c r="V370" s="132"/>
      <c r="W370" s="132"/>
      <c r="X370" s="132"/>
      <c r="Y370" s="132"/>
      <c r="Z370" s="132"/>
      <c r="AA370" s="132"/>
      <c r="AB370" s="132"/>
      <c r="AC370" s="132"/>
      <c r="AD370" s="132"/>
      <c r="AE370" s="1"/>
      <c r="AG370" s="132"/>
      <c r="AH370" s="132"/>
      <c r="AI370" s="132"/>
      <c r="AJ370" s="132"/>
      <c r="AK370" s="132"/>
      <c r="AL370" s="132"/>
      <c r="AM370" s="132"/>
      <c r="AN370" s="132"/>
      <c r="AO370" s="132"/>
      <c r="AP370" s="132"/>
      <c r="AQ370" s="132"/>
      <c r="AR370" s="132"/>
      <c r="AS370" s="132"/>
      <c r="AT370" s="1"/>
      <c r="AU370" s="1"/>
      <c r="AV370" s="132"/>
      <c r="AW370" s="132"/>
      <c r="AX370" s="132"/>
      <c r="AY370" s="132"/>
      <c r="AZ370" s="132"/>
      <c r="BA370" s="132"/>
      <c r="BB370" s="132"/>
      <c r="BC370" s="132"/>
      <c r="BD370" s="132"/>
      <c r="BE370" s="132"/>
      <c r="BF370" s="132"/>
      <c r="BG370" s="132"/>
      <c r="BH370" s="132"/>
    </row>
    <row r="371" spans="1:60" ht="15.75" customHeight="1">
      <c r="A371" s="132"/>
      <c r="B371" s="132"/>
      <c r="C371" s="132"/>
      <c r="D371" s="132"/>
      <c r="E371" s="132"/>
      <c r="F371" s="132"/>
      <c r="G371" s="132"/>
      <c r="H371" s="132"/>
      <c r="I371" s="132"/>
      <c r="J371" s="132"/>
      <c r="K371" s="132"/>
      <c r="L371" s="132"/>
      <c r="M371" s="1"/>
      <c r="N371" s="1"/>
      <c r="O371" s="132"/>
      <c r="P371" s="132"/>
      <c r="Q371" s="132"/>
      <c r="R371" s="132"/>
      <c r="S371" s="132"/>
      <c r="T371" s="132"/>
      <c r="U371" s="132"/>
      <c r="V371" s="132"/>
      <c r="W371" s="132"/>
      <c r="X371" s="132"/>
      <c r="Y371" s="132"/>
      <c r="Z371" s="132"/>
      <c r="AA371" s="132"/>
      <c r="AB371" s="132"/>
      <c r="AC371" s="132"/>
      <c r="AD371" s="132"/>
      <c r="AE371" s="1"/>
      <c r="AG371" s="132"/>
      <c r="AH371" s="132"/>
      <c r="AI371" s="132"/>
      <c r="AJ371" s="132"/>
      <c r="AK371" s="132"/>
      <c r="AL371" s="132"/>
      <c r="AM371" s="132"/>
      <c r="AN371" s="132"/>
      <c r="AO371" s="132"/>
      <c r="AP371" s="132"/>
      <c r="AQ371" s="132"/>
      <c r="AR371" s="132"/>
      <c r="AS371" s="132"/>
      <c r="AT371" s="1"/>
      <c r="AU371" s="1"/>
      <c r="AV371" s="132"/>
      <c r="AW371" s="132"/>
      <c r="AX371" s="132"/>
      <c r="AY371" s="132"/>
      <c r="AZ371" s="132"/>
      <c r="BA371" s="132"/>
      <c r="BB371" s="132"/>
      <c r="BC371" s="132"/>
      <c r="BD371" s="132"/>
      <c r="BE371" s="132"/>
      <c r="BF371" s="132"/>
      <c r="BG371" s="132"/>
      <c r="BH371" s="132"/>
    </row>
    <row r="372" spans="1:60" ht="15.75" customHeight="1">
      <c r="A372" s="132"/>
      <c r="B372" s="132"/>
      <c r="C372" s="132"/>
      <c r="D372" s="132"/>
      <c r="E372" s="132"/>
      <c r="F372" s="132"/>
      <c r="G372" s="132"/>
      <c r="H372" s="132"/>
      <c r="I372" s="132"/>
      <c r="J372" s="132"/>
      <c r="K372" s="132"/>
      <c r="L372" s="132"/>
      <c r="M372" s="1"/>
      <c r="N372" s="1"/>
      <c r="O372" s="132"/>
      <c r="P372" s="132"/>
      <c r="Q372" s="132"/>
      <c r="R372" s="132"/>
      <c r="S372" s="132"/>
      <c r="T372" s="132"/>
      <c r="U372" s="132"/>
      <c r="V372" s="132"/>
      <c r="W372" s="132"/>
      <c r="X372" s="132"/>
      <c r="Y372" s="132"/>
      <c r="Z372" s="132"/>
      <c r="AA372" s="132"/>
      <c r="AB372" s="132"/>
      <c r="AC372" s="132"/>
      <c r="AD372" s="132"/>
      <c r="AE372" s="1"/>
      <c r="AG372" s="132"/>
      <c r="AH372" s="132"/>
      <c r="AI372" s="132"/>
      <c r="AJ372" s="132"/>
      <c r="AK372" s="132"/>
      <c r="AL372" s="132"/>
      <c r="AM372" s="132"/>
      <c r="AN372" s="132"/>
      <c r="AO372" s="132"/>
      <c r="AP372" s="132"/>
      <c r="AQ372" s="132"/>
      <c r="AR372" s="132"/>
      <c r="AS372" s="132"/>
      <c r="AT372" s="1"/>
      <c r="AU372" s="1"/>
      <c r="AV372" s="132"/>
      <c r="AW372" s="132"/>
      <c r="AX372" s="132"/>
      <c r="AY372" s="132"/>
      <c r="AZ372" s="132"/>
      <c r="BA372" s="132"/>
      <c r="BB372" s="132"/>
      <c r="BC372" s="132"/>
      <c r="BD372" s="132"/>
      <c r="BE372" s="132"/>
      <c r="BF372" s="132"/>
      <c r="BG372" s="132"/>
      <c r="BH372" s="132"/>
    </row>
    <row r="373" spans="1:60" ht="15.75" customHeight="1">
      <c r="A373" s="132"/>
      <c r="B373" s="132"/>
      <c r="C373" s="132"/>
      <c r="D373" s="132"/>
      <c r="E373" s="132"/>
      <c r="F373" s="132"/>
      <c r="G373" s="132"/>
      <c r="H373" s="132"/>
      <c r="I373" s="132"/>
      <c r="J373" s="132"/>
      <c r="K373" s="132"/>
      <c r="L373" s="132"/>
      <c r="M373" s="1"/>
      <c r="N373" s="1"/>
      <c r="O373" s="132"/>
      <c r="P373" s="132"/>
      <c r="Q373" s="132"/>
      <c r="R373" s="132"/>
      <c r="S373" s="132"/>
      <c r="T373" s="132"/>
      <c r="U373" s="132"/>
      <c r="V373" s="132"/>
      <c r="W373" s="132"/>
      <c r="X373" s="132"/>
      <c r="Y373" s="132"/>
      <c r="Z373" s="132"/>
      <c r="AA373" s="132"/>
      <c r="AB373" s="132"/>
      <c r="AC373" s="132"/>
      <c r="AD373" s="132"/>
      <c r="AE373" s="1"/>
      <c r="AG373" s="132"/>
      <c r="AH373" s="132"/>
      <c r="AI373" s="132"/>
      <c r="AJ373" s="132"/>
      <c r="AK373" s="132"/>
      <c r="AL373" s="132"/>
      <c r="AM373" s="132"/>
      <c r="AN373" s="132"/>
      <c r="AO373" s="132"/>
      <c r="AP373" s="132"/>
      <c r="AQ373" s="132"/>
      <c r="AR373" s="132"/>
      <c r="AS373" s="132"/>
      <c r="AT373" s="1"/>
      <c r="AU373" s="1"/>
      <c r="AV373" s="132"/>
      <c r="AW373" s="132"/>
      <c r="AX373" s="132"/>
      <c r="AY373" s="132"/>
      <c r="AZ373" s="132"/>
      <c r="BA373" s="132"/>
      <c r="BB373" s="132"/>
      <c r="BC373" s="132"/>
      <c r="BD373" s="132"/>
      <c r="BE373" s="132"/>
      <c r="BF373" s="132"/>
      <c r="BG373" s="132"/>
      <c r="BH373" s="132"/>
    </row>
    <row r="374" spans="1:60" ht="15.75" customHeight="1">
      <c r="A374" s="132"/>
      <c r="B374" s="132"/>
      <c r="C374" s="132"/>
      <c r="D374" s="132"/>
      <c r="E374" s="132"/>
      <c r="F374" s="132"/>
      <c r="G374" s="132"/>
      <c r="H374" s="132"/>
      <c r="I374" s="132"/>
      <c r="J374" s="132"/>
      <c r="K374" s="132"/>
      <c r="L374" s="132"/>
      <c r="M374" s="1"/>
      <c r="N374" s="1"/>
      <c r="O374" s="132"/>
      <c r="P374" s="132"/>
      <c r="Q374" s="132"/>
      <c r="R374" s="132"/>
      <c r="S374" s="132"/>
      <c r="T374" s="132"/>
      <c r="U374" s="132"/>
      <c r="V374" s="132"/>
      <c r="W374" s="132"/>
      <c r="X374" s="132"/>
      <c r="Y374" s="132"/>
      <c r="Z374" s="132"/>
      <c r="AA374" s="132"/>
      <c r="AB374" s="132"/>
      <c r="AC374" s="132"/>
      <c r="AD374" s="132"/>
      <c r="AE374" s="1"/>
      <c r="AG374" s="132"/>
      <c r="AH374" s="132"/>
      <c r="AI374" s="132"/>
      <c r="AJ374" s="132"/>
      <c r="AK374" s="132"/>
      <c r="AL374" s="132"/>
      <c r="AM374" s="132"/>
      <c r="AN374" s="132"/>
      <c r="AO374" s="132"/>
      <c r="AP374" s="132"/>
      <c r="AQ374" s="132"/>
      <c r="AR374" s="132"/>
      <c r="AS374" s="132"/>
      <c r="AT374" s="1"/>
      <c r="AU374" s="1"/>
      <c r="AV374" s="132"/>
      <c r="AW374" s="132"/>
      <c r="AX374" s="132"/>
      <c r="AY374" s="132"/>
      <c r="AZ374" s="132"/>
      <c r="BA374" s="132"/>
      <c r="BB374" s="132"/>
      <c r="BC374" s="132"/>
      <c r="BD374" s="132"/>
      <c r="BE374" s="132"/>
      <c r="BF374" s="132"/>
      <c r="BG374" s="132"/>
      <c r="BH374" s="132"/>
    </row>
    <row r="375" spans="1:60" ht="15.75" customHeight="1">
      <c r="A375" s="132"/>
      <c r="B375" s="132"/>
      <c r="C375" s="132"/>
      <c r="D375" s="132"/>
      <c r="E375" s="132"/>
      <c r="F375" s="132"/>
      <c r="G375" s="132"/>
      <c r="H375" s="132"/>
      <c r="I375" s="132"/>
      <c r="J375" s="132"/>
      <c r="K375" s="132"/>
      <c r="L375" s="132"/>
      <c r="M375" s="1"/>
      <c r="N375" s="1"/>
      <c r="O375" s="132"/>
      <c r="P375" s="132"/>
      <c r="Q375" s="132"/>
      <c r="R375" s="132"/>
      <c r="S375" s="132"/>
      <c r="T375" s="132"/>
      <c r="U375" s="132"/>
      <c r="V375" s="132"/>
      <c r="W375" s="132"/>
      <c r="X375" s="132"/>
      <c r="Y375" s="132"/>
      <c r="Z375" s="132"/>
      <c r="AA375" s="132"/>
      <c r="AB375" s="132"/>
      <c r="AC375" s="132"/>
      <c r="AD375" s="132"/>
      <c r="AE375" s="1"/>
      <c r="AG375" s="132"/>
      <c r="AH375" s="132"/>
      <c r="AI375" s="132"/>
      <c r="AJ375" s="132"/>
      <c r="AK375" s="132"/>
      <c r="AL375" s="132"/>
      <c r="AM375" s="132"/>
      <c r="AN375" s="132"/>
      <c r="AO375" s="132"/>
      <c r="AP375" s="132"/>
      <c r="AQ375" s="132"/>
      <c r="AR375" s="132"/>
      <c r="AS375" s="132"/>
      <c r="AT375" s="1"/>
      <c r="AU375" s="1"/>
      <c r="AV375" s="132"/>
      <c r="AW375" s="132"/>
      <c r="AX375" s="132"/>
      <c r="AY375" s="132"/>
      <c r="AZ375" s="132"/>
      <c r="BA375" s="132"/>
      <c r="BB375" s="132"/>
      <c r="BC375" s="132"/>
      <c r="BD375" s="132"/>
      <c r="BE375" s="132"/>
      <c r="BF375" s="132"/>
      <c r="BG375" s="132"/>
      <c r="BH375" s="132"/>
    </row>
    <row r="376" spans="1:60" ht="15.75" customHeight="1">
      <c r="A376" s="132"/>
      <c r="B376" s="132"/>
      <c r="C376" s="132"/>
      <c r="D376" s="132"/>
      <c r="E376" s="132"/>
      <c r="F376" s="132"/>
      <c r="G376" s="132"/>
      <c r="H376" s="132"/>
      <c r="I376" s="132"/>
      <c r="J376" s="132"/>
      <c r="K376" s="132"/>
      <c r="L376" s="132"/>
      <c r="M376" s="1"/>
      <c r="N376" s="1"/>
      <c r="O376" s="132"/>
      <c r="P376" s="132"/>
      <c r="Q376" s="132"/>
      <c r="R376" s="132"/>
      <c r="S376" s="132"/>
      <c r="T376" s="132"/>
      <c r="U376" s="132"/>
      <c r="V376" s="132"/>
      <c r="W376" s="132"/>
      <c r="X376" s="132"/>
      <c r="Y376" s="132"/>
      <c r="Z376" s="132"/>
      <c r="AA376" s="132"/>
      <c r="AB376" s="132"/>
      <c r="AC376" s="132"/>
      <c r="AD376" s="132"/>
      <c r="AE376" s="1"/>
      <c r="AG376" s="132"/>
      <c r="AH376" s="132"/>
      <c r="AI376" s="132"/>
      <c r="AJ376" s="132"/>
      <c r="AK376" s="132"/>
      <c r="AL376" s="132"/>
      <c r="AM376" s="132"/>
      <c r="AN376" s="132"/>
      <c r="AO376" s="132"/>
      <c r="AP376" s="132"/>
      <c r="AQ376" s="132"/>
      <c r="AR376" s="132"/>
      <c r="AS376" s="132"/>
      <c r="AT376" s="1"/>
      <c r="AU376" s="1"/>
      <c r="AV376" s="132"/>
      <c r="AW376" s="132"/>
      <c r="AX376" s="132"/>
      <c r="AY376" s="132"/>
      <c r="AZ376" s="132"/>
      <c r="BA376" s="132"/>
      <c r="BB376" s="132"/>
      <c r="BC376" s="132"/>
      <c r="BD376" s="132"/>
      <c r="BE376" s="132"/>
      <c r="BF376" s="132"/>
      <c r="BG376" s="132"/>
      <c r="BH376" s="132"/>
    </row>
    <row r="377" spans="1:60" ht="15.75" customHeight="1">
      <c r="A377" s="132"/>
      <c r="B377" s="132"/>
      <c r="C377" s="132"/>
      <c r="D377" s="132"/>
      <c r="E377" s="132"/>
      <c r="F377" s="132"/>
      <c r="G377" s="132"/>
      <c r="H377" s="132"/>
      <c r="I377" s="132"/>
      <c r="J377" s="132"/>
      <c r="K377" s="132"/>
      <c r="L377" s="132"/>
      <c r="M377" s="1"/>
      <c r="N377" s="1"/>
      <c r="O377" s="132"/>
      <c r="P377" s="132"/>
      <c r="Q377" s="132"/>
      <c r="R377" s="132"/>
      <c r="S377" s="132"/>
      <c r="T377" s="132"/>
      <c r="U377" s="132"/>
      <c r="V377" s="132"/>
      <c r="W377" s="132"/>
      <c r="X377" s="132"/>
      <c r="Y377" s="132"/>
      <c r="Z377" s="132"/>
      <c r="AA377" s="132"/>
      <c r="AB377" s="132"/>
      <c r="AC377" s="132"/>
      <c r="AD377" s="132"/>
      <c r="AE377" s="1"/>
      <c r="AG377" s="132"/>
      <c r="AH377" s="132"/>
      <c r="AI377" s="132"/>
      <c r="AJ377" s="132"/>
      <c r="AK377" s="132"/>
      <c r="AL377" s="132"/>
      <c r="AM377" s="132"/>
      <c r="AN377" s="132"/>
      <c r="AO377" s="132"/>
      <c r="AP377" s="132"/>
      <c r="AQ377" s="132"/>
      <c r="AR377" s="132"/>
      <c r="AS377" s="132"/>
      <c r="AT377" s="1"/>
      <c r="AU377" s="1"/>
      <c r="AV377" s="132"/>
      <c r="AW377" s="132"/>
      <c r="AX377" s="132"/>
      <c r="AY377" s="132"/>
      <c r="AZ377" s="132"/>
      <c r="BA377" s="132"/>
      <c r="BB377" s="132"/>
      <c r="BC377" s="132"/>
      <c r="BD377" s="132"/>
      <c r="BE377" s="132"/>
      <c r="BF377" s="132"/>
      <c r="BG377" s="132"/>
      <c r="BH377" s="132"/>
    </row>
    <row r="378" spans="1:60" ht="15.75" customHeight="1">
      <c r="A378" s="132"/>
      <c r="B378" s="132"/>
      <c r="C378" s="132"/>
      <c r="D378" s="132"/>
      <c r="E378" s="132"/>
      <c r="F378" s="132"/>
      <c r="G378" s="132"/>
      <c r="H378" s="132"/>
      <c r="I378" s="132"/>
      <c r="J378" s="132"/>
      <c r="K378" s="132"/>
      <c r="L378" s="132"/>
      <c r="M378" s="1"/>
      <c r="N378" s="1"/>
      <c r="O378" s="132"/>
      <c r="P378" s="132"/>
      <c r="Q378" s="132"/>
      <c r="R378" s="132"/>
      <c r="S378" s="132"/>
      <c r="T378" s="132"/>
      <c r="U378" s="132"/>
      <c r="V378" s="132"/>
      <c r="W378" s="132"/>
      <c r="X378" s="132"/>
      <c r="Y378" s="132"/>
      <c r="Z378" s="132"/>
      <c r="AA378" s="132"/>
      <c r="AB378" s="132"/>
      <c r="AC378" s="132"/>
      <c r="AD378" s="132"/>
      <c r="AE378" s="1"/>
      <c r="AG378" s="132"/>
      <c r="AH378" s="132"/>
      <c r="AI378" s="132"/>
      <c r="AJ378" s="132"/>
      <c r="AK378" s="132"/>
      <c r="AL378" s="132"/>
      <c r="AM378" s="132"/>
      <c r="AN378" s="132"/>
      <c r="AO378" s="132"/>
      <c r="AP378" s="132"/>
      <c r="AQ378" s="132"/>
      <c r="AR378" s="132"/>
      <c r="AS378" s="132"/>
      <c r="AT378" s="1"/>
      <c r="AU378" s="1"/>
      <c r="AV378" s="132"/>
      <c r="AW378" s="132"/>
      <c r="AX378" s="132"/>
      <c r="AY378" s="132"/>
      <c r="AZ378" s="132"/>
      <c r="BA378" s="132"/>
      <c r="BB378" s="132"/>
      <c r="BC378" s="132"/>
      <c r="BD378" s="132"/>
      <c r="BE378" s="132"/>
      <c r="BF378" s="132"/>
      <c r="BG378" s="132"/>
      <c r="BH378" s="132"/>
    </row>
    <row r="379" spans="1:60" ht="15.75" customHeight="1">
      <c r="A379" s="132"/>
      <c r="B379" s="132"/>
      <c r="C379" s="132"/>
      <c r="D379" s="132"/>
      <c r="E379" s="132"/>
      <c r="F379" s="132"/>
      <c r="G379" s="132"/>
      <c r="H379" s="132"/>
      <c r="I379" s="132"/>
      <c r="J379" s="132"/>
      <c r="K379" s="132"/>
      <c r="L379" s="132"/>
      <c r="M379" s="1"/>
      <c r="N379" s="1"/>
      <c r="O379" s="132"/>
      <c r="P379" s="132"/>
      <c r="Q379" s="132"/>
      <c r="R379" s="132"/>
      <c r="S379" s="132"/>
      <c r="T379" s="132"/>
      <c r="U379" s="132"/>
      <c r="V379" s="132"/>
      <c r="W379" s="132"/>
      <c r="X379" s="132"/>
      <c r="Y379" s="132"/>
      <c r="Z379" s="132"/>
      <c r="AA379" s="132"/>
      <c r="AB379" s="132"/>
      <c r="AC379" s="132"/>
      <c r="AD379" s="132"/>
      <c r="AE379" s="1"/>
      <c r="AG379" s="132"/>
      <c r="AH379" s="132"/>
      <c r="AI379" s="132"/>
      <c r="AJ379" s="132"/>
      <c r="AK379" s="132"/>
      <c r="AL379" s="132"/>
      <c r="AM379" s="132"/>
      <c r="AN379" s="132"/>
      <c r="AO379" s="132"/>
      <c r="AP379" s="132"/>
      <c r="AQ379" s="132"/>
      <c r="AR379" s="132"/>
      <c r="AS379" s="132"/>
      <c r="AT379" s="1"/>
      <c r="AU379" s="1"/>
      <c r="AV379" s="132"/>
      <c r="AW379" s="132"/>
      <c r="AX379" s="132"/>
      <c r="AY379" s="132"/>
      <c r="AZ379" s="132"/>
      <c r="BA379" s="132"/>
      <c r="BB379" s="132"/>
      <c r="BC379" s="132"/>
      <c r="BD379" s="132"/>
      <c r="BE379" s="132"/>
      <c r="BF379" s="132"/>
      <c r="BG379" s="132"/>
      <c r="BH379" s="132"/>
    </row>
    <row r="380" spans="1:60" ht="15.75" customHeight="1">
      <c r="A380" s="132"/>
      <c r="B380" s="132"/>
      <c r="C380" s="132"/>
      <c r="D380" s="132"/>
      <c r="E380" s="132"/>
      <c r="F380" s="132"/>
      <c r="G380" s="132"/>
      <c r="H380" s="132"/>
      <c r="I380" s="132"/>
      <c r="J380" s="132"/>
      <c r="K380" s="132"/>
      <c r="L380" s="132"/>
      <c r="M380" s="1"/>
      <c r="N380" s="1"/>
      <c r="O380" s="132"/>
      <c r="P380" s="132"/>
      <c r="Q380" s="132"/>
      <c r="R380" s="132"/>
      <c r="S380" s="132"/>
      <c r="T380" s="132"/>
      <c r="U380" s="132"/>
      <c r="V380" s="132"/>
      <c r="W380" s="132"/>
      <c r="X380" s="132"/>
      <c r="Y380" s="132"/>
      <c r="Z380" s="132"/>
      <c r="AA380" s="132"/>
      <c r="AB380" s="132"/>
      <c r="AC380" s="132"/>
      <c r="AD380" s="132"/>
      <c r="AE380" s="1"/>
      <c r="AG380" s="132"/>
      <c r="AH380" s="132"/>
      <c r="AI380" s="132"/>
      <c r="AJ380" s="132"/>
      <c r="AK380" s="132"/>
      <c r="AL380" s="132"/>
      <c r="AM380" s="132"/>
      <c r="AN380" s="132"/>
      <c r="AO380" s="132"/>
      <c r="AP380" s="132"/>
      <c r="AQ380" s="132"/>
      <c r="AR380" s="132"/>
      <c r="AS380" s="132"/>
      <c r="AT380" s="1"/>
      <c r="AU380" s="1"/>
      <c r="AV380" s="132"/>
      <c r="AW380" s="132"/>
      <c r="AX380" s="132"/>
      <c r="AY380" s="132"/>
      <c r="AZ380" s="132"/>
      <c r="BA380" s="132"/>
      <c r="BB380" s="132"/>
      <c r="BC380" s="132"/>
      <c r="BD380" s="132"/>
      <c r="BE380" s="132"/>
      <c r="BF380" s="132"/>
      <c r="BG380" s="132"/>
      <c r="BH380" s="132"/>
    </row>
    <row r="381" spans="1:60" ht="15.75" customHeight="1">
      <c r="A381" s="132"/>
      <c r="B381" s="132"/>
      <c r="C381" s="132"/>
      <c r="D381" s="132"/>
      <c r="E381" s="132"/>
      <c r="F381" s="132"/>
      <c r="G381" s="132"/>
      <c r="H381" s="132"/>
      <c r="I381" s="132"/>
      <c r="J381" s="132"/>
      <c r="K381" s="132"/>
      <c r="L381" s="132"/>
      <c r="M381" s="1"/>
      <c r="N381" s="1"/>
      <c r="O381" s="132"/>
      <c r="P381" s="132"/>
      <c r="Q381" s="132"/>
      <c r="R381" s="132"/>
      <c r="S381" s="132"/>
      <c r="T381" s="132"/>
      <c r="U381" s="132"/>
      <c r="V381" s="132"/>
      <c r="W381" s="132"/>
      <c r="X381" s="132"/>
      <c r="Y381" s="132"/>
      <c r="Z381" s="132"/>
      <c r="AA381" s="132"/>
      <c r="AB381" s="132"/>
      <c r="AC381" s="132"/>
      <c r="AD381" s="132"/>
      <c r="AE381" s="1"/>
      <c r="AG381" s="132"/>
      <c r="AH381" s="132"/>
      <c r="AI381" s="132"/>
      <c r="AJ381" s="132"/>
      <c r="AK381" s="132"/>
      <c r="AL381" s="132"/>
      <c r="AM381" s="132"/>
      <c r="AN381" s="132"/>
      <c r="AO381" s="132"/>
      <c r="AP381" s="132"/>
      <c r="AQ381" s="132"/>
      <c r="AR381" s="132"/>
      <c r="AS381" s="132"/>
      <c r="AT381" s="1"/>
      <c r="AU381" s="1"/>
      <c r="AV381" s="132"/>
      <c r="AW381" s="132"/>
      <c r="AX381" s="132"/>
      <c r="AY381" s="132"/>
      <c r="AZ381" s="132"/>
      <c r="BA381" s="132"/>
      <c r="BB381" s="132"/>
      <c r="BC381" s="132"/>
      <c r="BD381" s="132"/>
      <c r="BE381" s="132"/>
      <c r="BF381" s="132"/>
      <c r="BG381" s="132"/>
      <c r="BH381" s="132"/>
    </row>
    <row r="382" spans="1:60" ht="15.75" customHeight="1">
      <c r="A382" s="132"/>
      <c r="B382" s="132"/>
      <c r="C382" s="132"/>
      <c r="D382" s="132"/>
      <c r="E382" s="132"/>
      <c r="F382" s="132"/>
      <c r="G382" s="132"/>
      <c r="H382" s="132"/>
      <c r="I382" s="132"/>
      <c r="J382" s="132"/>
      <c r="K382" s="132"/>
      <c r="L382" s="132"/>
      <c r="M382" s="1"/>
      <c r="N382" s="1"/>
      <c r="O382" s="132"/>
      <c r="P382" s="132"/>
      <c r="Q382" s="132"/>
      <c r="R382" s="132"/>
      <c r="S382" s="132"/>
      <c r="T382" s="132"/>
      <c r="U382" s="132"/>
      <c r="V382" s="132"/>
      <c r="W382" s="132"/>
      <c r="X382" s="132"/>
      <c r="Y382" s="132"/>
      <c r="Z382" s="132"/>
      <c r="AA382" s="132"/>
      <c r="AB382" s="132"/>
      <c r="AC382" s="132"/>
      <c r="AD382" s="132"/>
      <c r="AE382" s="1"/>
      <c r="AG382" s="132"/>
      <c r="AH382" s="132"/>
      <c r="AI382" s="132"/>
      <c r="AJ382" s="132"/>
      <c r="AK382" s="132"/>
      <c r="AL382" s="132"/>
      <c r="AM382" s="132"/>
      <c r="AN382" s="132"/>
      <c r="AO382" s="132"/>
      <c r="AP382" s="132"/>
      <c r="AQ382" s="132"/>
      <c r="AR382" s="132"/>
      <c r="AS382" s="132"/>
      <c r="AT382" s="1"/>
      <c r="AU382" s="1"/>
      <c r="AV382" s="132"/>
      <c r="AW382" s="132"/>
      <c r="AX382" s="132"/>
      <c r="AY382" s="132"/>
      <c r="AZ382" s="132"/>
      <c r="BA382" s="132"/>
      <c r="BB382" s="132"/>
      <c r="BC382" s="132"/>
      <c r="BD382" s="132"/>
      <c r="BE382" s="132"/>
      <c r="BF382" s="132"/>
      <c r="BG382" s="132"/>
      <c r="BH382" s="132"/>
    </row>
    <row r="383" spans="1:60" ht="15.75" customHeight="1">
      <c r="A383" s="132"/>
      <c r="B383" s="132"/>
      <c r="C383" s="132"/>
      <c r="D383" s="132"/>
      <c r="E383" s="132"/>
      <c r="F383" s="132"/>
      <c r="G383" s="132"/>
      <c r="H383" s="132"/>
      <c r="I383" s="132"/>
      <c r="J383" s="132"/>
      <c r="K383" s="132"/>
      <c r="L383" s="132"/>
      <c r="M383" s="1"/>
      <c r="N383" s="1"/>
      <c r="O383" s="132"/>
      <c r="P383" s="132"/>
      <c r="Q383" s="132"/>
      <c r="R383" s="132"/>
      <c r="S383" s="132"/>
      <c r="T383" s="132"/>
      <c r="U383" s="132"/>
      <c r="V383" s="132"/>
      <c r="W383" s="132"/>
      <c r="X383" s="132"/>
      <c r="Y383" s="132"/>
      <c r="Z383" s="132"/>
      <c r="AA383" s="132"/>
      <c r="AB383" s="132"/>
      <c r="AC383" s="132"/>
      <c r="AD383" s="132"/>
      <c r="AE383" s="1"/>
      <c r="AG383" s="132"/>
      <c r="AH383" s="132"/>
      <c r="AI383" s="132"/>
      <c r="AJ383" s="132"/>
      <c r="AK383" s="132"/>
      <c r="AL383" s="132"/>
      <c r="AM383" s="132"/>
      <c r="AN383" s="132"/>
      <c r="AO383" s="132"/>
      <c r="AP383" s="132"/>
      <c r="AQ383" s="132"/>
      <c r="AR383" s="132"/>
      <c r="AS383" s="132"/>
      <c r="AT383" s="1"/>
      <c r="AU383" s="1"/>
      <c r="AV383" s="132"/>
      <c r="AW383" s="132"/>
      <c r="AX383" s="132"/>
      <c r="AY383" s="132"/>
      <c r="AZ383" s="132"/>
      <c r="BA383" s="132"/>
      <c r="BB383" s="132"/>
      <c r="BC383" s="132"/>
      <c r="BD383" s="132"/>
      <c r="BE383" s="132"/>
      <c r="BF383" s="132"/>
      <c r="BG383" s="132"/>
      <c r="BH383" s="132"/>
    </row>
    <row r="384" spans="1:60" ht="15.75" customHeight="1">
      <c r="A384" s="132"/>
      <c r="B384" s="132"/>
      <c r="C384" s="132"/>
      <c r="D384" s="132"/>
      <c r="E384" s="132"/>
      <c r="F384" s="132"/>
      <c r="G384" s="132"/>
      <c r="H384" s="132"/>
      <c r="I384" s="132"/>
      <c r="J384" s="132"/>
      <c r="K384" s="132"/>
      <c r="L384" s="132"/>
      <c r="M384" s="1"/>
      <c r="N384" s="1"/>
      <c r="O384" s="132"/>
      <c r="P384" s="132"/>
      <c r="Q384" s="132"/>
      <c r="R384" s="132"/>
      <c r="S384" s="132"/>
      <c r="T384" s="132"/>
      <c r="U384" s="132"/>
      <c r="V384" s="132"/>
      <c r="W384" s="132"/>
      <c r="X384" s="132"/>
      <c r="Y384" s="132"/>
      <c r="Z384" s="132"/>
      <c r="AA384" s="132"/>
      <c r="AB384" s="132"/>
      <c r="AC384" s="132"/>
      <c r="AD384" s="132"/>
      <c r="AE384" s="1"/>
      <c r="AG384" s="132"/>
      <c r="AH384" s="132"/>
      <c r="AI384" s="132"/>
      <c r="AJ384" s="132"/>
      <c r="AK384" s="132"/>
      <c r="AL384" s="132"/>
      <c r="AM384" s="132"/>
      <c r="AN384" s="132"/>
      <c r="AO384" s="132"/>
      <c r="AP384" s="132"/>
      <c r="AQ384" s="132"/>
      <c r="AR384" s="132"/>
      <c r="AS384" s="132"/>
      <c r="AT384" s="1"/>
      <c r="AU384" s="1"/>
      <c r="AV384" s="132"/>
      <c r="AW384" s="132"/>
      <c r="AX384" s="132"/>
      <c r="AY384" s="132"/>
      <c r="AZ384" s="132"/>
      <c r="BA384" s="132"/>
      <c r="BB384" s="132"/>
      <c r="BC384" s="132"/>
      <c r="BD384" s="132"/>
      <c r="BE384" s="132"/>
      <c r="BF384" s="132"/>
      <c r="BG384" s="132"/>
      <c r="BH384" s="132"/>
    </row>
    <row r="385" spans="1:60" ht="15.75" customHeight="1">
      <c r="A385" s="132"/>
      <c r="B385" s="132"/>
      <c r="C385" s="132"/>
      <c r="D385" s="132"/>
      <c r="E385" s="132"/>
      <c r="F385" s="132"/>
      <c r="G385" s="132"/>
      <c r="H385" s="132"/>
      <c r="I385" s="132"/>
      <c r="J385" s="132"/>
      <c r="K385" s="132"/>
      <c r="L385" s="132"/>
      <c r="M385" s="1"/>
      <c r="N385" s="1"/>
      <c r="O385" s="132"/>
      <c r="P385" s="132"/>
      <c r="Q385" s="132"/>
      <c r="R385" s="132"/>
      <c r="S385" s="132"/>
      <c r="T385" s="132"/>
      <c r="U385" s="132"/>
      <c r="V385" s="132"/>
      <c r="W385" s="132"/>
      <c r="X385" s="132"/>
      <c r="Y385" s="132"/>
      <c r="Z385" s="132"/>
      <c r="AA385" s="132"/>
      <c r="AB385" s="132"/>
      <c r="AC385" s="132"/>
      <c r="AD385" s="132"/>
      <c r="AE385" s="1"/>
      <c r="AG385" s="132"/>
      <c r="AH385" s="132"/>
      <c r="AI385" s="132"/>
      <c r="AJ385" s="132"/>
      <c r="AK385" s="132"/>
      <c r="AL385" s="132"/>
      <c r="AM385" s="132"/>
      <c r="AN385" s="132"/>
      <c r="AO385" s="132"/>
      <c r="AP385" s="132"/>
      <c r="AQ385" s="132"/>
      <c r="AR385" s="132"/>
      <c r="AS385" s="132"/>
      <c r="AT385" s="1"/>
      <c r="AU385" s="1"/>
      <c r="AV385" s="132"/>
      <c r="AW385" s="132"/>
      <c r="AX385" s="132"/>
      <c r="AY385" s="132"/>
      <c r="AZ385" s="132"/>
      <c r="BA385" s="132"/>
      <c r="BB385" s="132"/>
      <c r="BC385" s="132"/>
      <c r="BD385" s="132"/>
      <c r="BE385" s="132"/>
      <c r="BF385" s="132"/>
      <c r="BG385" s="132"/>
      <c r="BH385" s="132"/>
    </row>
    <row r="386" spans="1:60" ht="15.75" customHeight="1">
      <c r="A386" s="132"/>
      <c r="B386" s="132"/>
      <c r="C386" s="132"/>
      <c r="D386" s="132"/>
      <c r="E386" s="132"/>
      <c r="F386" s="132"/>
      <c r="G386" s="132"/>
      <c r="H386" s="132"/>
      <c r="I386" s="132"/>
      <c r="J386" s="132"/>
      <c r="K386" s="132"/>
      <c r="L386" s="132"/>
      <c r="M386" s="1"/>
      <c r="N386" s="1"/>
      <c r="O386" s="132"/>
      <c r="P386" s="132"/>
      <c r="Q386" s="132"/>
      <c r="R386" s="132"/>
      <c r="S386" s="132"/>
      <c r="T386" s="132"/>
      <c r="U386" s="132"/>
      <c r="V386" s="132"/>
      <c r="W386" s="132"/>
      <c r="X386" s="132"/>
      <c r="Y386" s="132"/>
      <c r="Z386" s="132"/>
      <c r="AA386" s="132"/>
      <c r="AB386" s="132"/>
      <c r="AC386" s="132"/>
      <c r="AD386" s="132"/>
      <c r="AE386" s="1"/>
      <c r="AG386" s="132"/>
      <c r="AH386" s="132"/>
      <c r="AI386" s="132"/>
      <c r="AJ386" s="132"/>
      <c r="AK386" s="132"/>
      <c r="AL386" s="132"/>
      <c r="AM386" s="132"/>
      <c r="AN386" s="132"/>
      <c r="AO386" s="132"/>
      <c r="AP386" s="132"/>
      <c r="AQ386" s="132"/>
      <c r="AR386" s="132"/>
      <c r="AS386" s="132"/>
      <c r="AT386" s="1"/>
      <c r="AU386" s="1"/>
      <c r="AV386" s="132"/>
      <c r="AW386" s="132"/>
      <c r="AX386" s="132"/>
      <c r="AY386" s="132"/>
      <c r="AZ386" s="132"/>
      <c r="BA386" s="132"/>
      <c r="BB386" s="132"/>
      <c r="BC386" s="132"/>
      <c r="BD386" s="132"/>
      <c r="BE386" s="132"/>
      <c r="BF386" s="132"/>
      <c r="BG386" s="132"/>
      <c r="BH386" s="132"/>
    </row>
    <row r="387" spans="1:60" ht="15.75" customHeight="1">
      <c r="A387" s="132"/>
      <c r="B387" s="132"/>
      <c r="C387" s="132"/>
      <c r="D387" s="132"/>
      <c r="E387" s="132"/>
      <c r="F387" s="132"/>
      <c r="G387" s="132"/>
      <c r="H387" s="132"/>
      <c r="I387" s="132"/>
      <c r="J387" s="132"/>
      <c r="K387" s="132"/>
      <c r="L387" s="132"/>
      <c r="M387" s="1"/>
      <c r="N387" s="1"/>
      <c r="O387" s="132"/>
      <c r="P387" s="132"/>
      <c r="Q387" s="132"/>
      <c r="R387" s="132"/>
      <c r="S387" s="132"/>
      <c r="T387" s="132"/>
      <c r="U387" s="132"/>
      <c r="V387" s="132"/>
      <c r="W387" s="132"/>
      <c r="X387" s="132"/>
      <c r="Y387" s="132"/>
      <c r="Z387" s="132"/>
      <c r="AA387" s="132"/>
      <c r="AB387" s="132"/>
      <c r="AC387" s="132"/>
      <c r="AD387" s="132"/>
      <c r="AE387" s="1"/>
      <c r="AG387" s="132"/>
      <c r="AH387" s="132"/>
      <c r="AI387" s="132"/>
      <c r="AJ387" s="132"/>
      <c r="AK387" s="132"/>
      <c r="AL387" s="132"/>
      <c r="AM387" s="132"/>
      <c r="AN387" s="132"/>
      <c r="AO387" s="132"/>
      <c r="AP387" s="132"/>
      <c r="AQ387" s="132"/>
      <c r="AR387" s="132"/>
      <c r="AS387" s="132"/>
      <c r="AT387" s="1"/>
      <c r="AU387" s="1"/>
      <c r="AV387" s="132"/>
      <c r="AW387" s="132"/>
      <c r="AX387" s="132"/>
      <c r="AY387" s="132"/>
      <c r="AZ387" s="132"/>
      <c r="BA387" s="132"/>
      <c r="BB387" s="132"/>
      <c r="BC387" s="132"/>
      <c r="BD387" s="132"/>
      <c r="BE387" s="132"/>
      <c r="BF387" s="132"/>
      <c r="BG387" s="132"/>
      <c r="BH387" s="132"/>
    </row>
    <row r="388" spans="1:60" ht="15.75" customHeight="1">
      <c r="A388" s="132"/>
      <c r="B388" s="132"/>
      <c r="C388" s="132"/>
      <c r="D388" s="132"/>
      <c r="E388" s="132"/>
      <c r="F388" s="132"/>
      <c r="G388" s="132"/>
      <c r="H388" s="132"/>
      <c r="I388" s="132"/>
      <c r="J388" s="132"/>
      <c r="K388" s="132"/>
      <c r="L388" s="132"/>
      <c r="M388" s="1"/>
      <c r="N388" s="1"/>
      <c r="O388" s="132"/>
      <c r="P388" s="132"/>
      <c r="Q388" s="132"/>
      <c r="R388" s="132"/>
      <c r="S388" s="132"/>
      <c r="T388" s="132"/>
      <c r="U388" s="132"/>
      <c r="V388" s="132"/>
      <c r="W388" s="132"/>
      <c r="X388" s="132"/>
      <c r="Y388" s="132"/>
      <c r="Z388" s="132"/>
      <c r="AA388" s="132"/>
      <c r="AB388" s="132"/>
      <c r="AC388" s="132"/>
      <c r="AD388" s="132"/>
      <c r="AE388" s="1"/>
      <c r="AG388" s="132"/>
      <c r="AH388" s="132"/>
      <c r="AI388" s="132"/>
      <c r="AJ388" s="132"/>
      <c r="AK388" s="132"/>
      <c r="AL388" s="132"/>
      <c r="AM388" s="132"/>
      <c r="AN388" s="132"/>
      <c r="AO388" s="132"/>
      <c r="AP388" s="132"/>
      <c r="AQ388" s="132"/>
      <c r="AR388" s="132"/>
      <c r="AS388" s="132"/>
      <c r="AT388" s="1"/>
      <c r="AU388" s="1"/>
      <c r="AV388" s="132"/>
      <c r="AW388" s="132"/>
      <c r="AX388" s="132"/>
      <c r="AY388" s="132"/>
      <c r="AZ388" s="132"/>
      <c r="BA388" s="132"/>
      <c r="BB388" s="132"/>
      <c r="BC388" s="132"/>
      <c r="BD388" s="132"/>
      <c r="BE388" s="132"/>
      <c r="BF388" s="132"/>
      <c r="BG388" s="132"/>
      <c r="BH388" s="132"/>
    </row>
    <row r="389" spans="1:60" ht="15.75" customHeight="1">
      <c r="A389" s="132"/>
      <c r="B389" s="132"/>
      <c r="C389" s="132"/>
      <c r="D389" s="132"/>
      <c r="E389" s="132"/>
      <c r="F389" s="132"/>
      <c r="G389" s="132"/>
      <c r="H389" s="132"/>
      <c r="I389" s="132"/>
      <c r="J389" s="132"/>
      <c r="K389" s="132"/>
      <c r="L389" s="132"/>
      <c r="M389" s="1"/>
      <c r="N389" s="1"/>
      <c r="O389" s="132"/>
      <c r="P389" s="132"/>
      <c r="Q389" s="132"/>
      <c r="R389" s="132"/>
      <c r="S389" s="132"/>
      <c r="T389" s="132"/>
      <c r="U389" s="132"/>
      <c r="V389" s="132"/>
      <c r="W389" s="132"/>
      <c r="X389" s="132"/>
      <c r="Y389" s="132"/>
      <c r="Z389" s="132"/>
      <c r="AA389" s="132"/>
      <c r="AB389" s="132"/>
      <c r="AC389" s="132"/>
      <c r="AD389" s="132"/>
      <c r="AE389" s="1"/>
      <c r="AG389" s="132"/>
      <c r="AH389" s="132"/>
      <c r="AI389" s="132"/>
      <c r="AJ389" s="132"/>
      <c r="AK389" s="132"/>
      <c r="AL389" s="132"/>
      <c r="AM389" s="132"/>
      <c r="AN389" s="132"/>
      <c r="AO389" s="132"/>
      <c r="AP389" s="132"/>
      <c r="AQ389" s="132"/>
      <c r="AR389" s="132"/>
      <c r="AS389" s="132"/>
      <c r="AT389" s="1"/>
      <c r="AU389" s="1"/>
      <c r="AV389" s="132"/>
      <c r="AW389" s="132"/>
      <c r="AX389" s="132"/>
      <c r="AY389" s="132"/>
      <c r="AZ389" s="132"/>
      <c r="BA389" s="132"/>
      <c r="BB389" s="132"/>
      <c r="BC389" s="132"/>
      <c r="BD389" s="132"/>
      <c r="BE389" s="132"/>
      <c r="BF389" s="132"/>
      <c r="BG389" s="132"/>
      <c r="BH389" s="132"/>
    </row>
    <row r="390" spans="1:60" ht="15.75" customHeight="1">
      <c r="A390" s="132"/>
      <c r="B390" s="132"/>
      <c r="C390" s="132"/>
      <c r="D390" s="132"/>
      <c r="E390" s="132"/>
      <c r="F390" s="132"/>
      <c r="G390" s="132"/>
      <c r="H390" s="132"/>
      <c r="I390" s="132"/>
      <c r="J390" s="132"/>
      <c r="K390" s="132"/>
      <c r="L390" s="132"/>
      <c r="M390" s="1"/>
      <c r="N390" s="1"/>
      <c r="O390" s="132"/>
      <c r="P390" s="132"/>
      <c r="Q390" s="132"/>
      <c r="R390" s="132"/>
      <c r="S390" s="132"/>
      <c r="T390" s="132"/>
      <c r="U390" s="132"/>
      <c r="V390" s="132"/>
      <c r="W390" s="132"/>
      <c r="X390" s="132"/>
      <c r="Y390" s="132"/>
      <c r="Z390" s="132"/>
      <c r="AA390" s="132"/>
      <c r="AB390" s="132"/>
      <c r="AC390" s="132"/>
      <c r="AD390" s="132"/>
      <c r="AE390" s="1"/>
      <c r="AG390" s="132"/>
      <c r="AH390" s="132"/>
      <c r="AI390" s="132"/>
      <c r="AJ390" s="132"/>
      <c r="AK390" s="132"/>
      <c r="AL390" s="132"/>
      <c r="AM390" s="132"/>
      <c r="AN390" s="132"/>
      <c r="AO390" s="132"/>
      <c r="AP390" s="132"/>
      <c r="AQ390" s="132"/>
      <c r="AR390" s="132"/>
      <c r="AS390" s="132"/>
      <c r="AT390" s="1"/>
      <c r="AU390" s="1"/>
      <c r="AV390" s="132"/>
      <c r="AW390" s="132"/>
      <c r="AX390" s="132"/>
      <c r="AY390" s="132"/>
      <c r="AZ390" s="132"/>
      <c r="BA390" s="132"/>
      <c r="BB390" s="132"/>
      <c r="BC390" s="132"/>
      <c r="BD390" s="132"/>
      <c r="BE390" s="132"/>
      <c r="BF390" s="132"/>
      <c r="BG390" s="132"/>
      <c r="BH390" s="132"/>
    </row>
    <row r="391" spans="1:60" ht="15.75" customHeight="1">
      <c r="A391" s="132"/>
      <c r="B391" s="132"/>
      <c r="C391" s="132"/>
      <c r="D391" s="132"/>
      <c r="E391" s="132"/>
      <c r="F391" s="132"/>
      <c r="G391" s="132"/>
      <c r="H391" s="132"/>
      <c r="I391" s="132"/>
      <c r="J391" s="132"/>
      <c r="K391" s="132"/>
      <c r="L391" s="132"/>
      <c r="M391" s="1"/>
      <c r="N391" s="1"/>
      <c r="O391" s="132"/>
      <c r="P391" s="132"/>
      <c r="Q391" s="132"/>
      <c r="R391" s="132"/>
      <c r="S391" s="132"/>
      <c r="T391" s="132"/>
      <c r="U391" s="132"/>
      <c r="V391" s="132"/>
      <c r="W391" s="132"/>
      <c r="X391" s="132"/>
      <c r="Y391" s="132"/>
      <c r="Z391" s="132"/>
      <c r="AA391" s="132"/>
      <c r="AB391" s="132"/>
      <c r="AC391" s="132"/>
      <c r="AD391" s="132"/>
      <c r="AE391" s="1"/>
      <c r="AG391" s="132"/>
      <c r="AH391" s="132"/>
      <c r="AI391" s="132"/>
      <c r="AJ391" s="132"/>
      <c r="AK391" s="132"/>
      <c r="AL391" s="132"/>
      <c r="AM391" s="132"/>
      <c r="AN391" s="132"/>
      <c r="AO391" s="132"/>
      <c r="AP391" s="132"/>
      <c r="AQ391" s="132"/>
      <c r="AR391" s="132"/>
      <c r="AS391" s="132"/>
      <c r="AT391" s="1"/>
      <c r="AU391" s="1"/>
      <c r="AV391" s="132"/>
      <c r="AW391" s="132"/>
      <c r="AX391" s="132"/>
      <c r="AY391" s="132"/>
      <c r="AZ391" s="132"/>
      <c r="BA391" s="132"/>
      <c r="BB391" s="132"/>
      <c r="BC391" s="132"/>
      <c r="BD391" s="132"/>
      <c r="BE391" s="132"/>
      <c r="BF391" s="132"/>
      <c r="BG391" s="132"/>
      <c r="BH391" s="132"/>
    </row>
    <row r="392" spans="1:60" ht="15.75" customHeight="1">
      <c r="A392" s="132"/>
      <c r="B392" s="132"/>
      <c r="C392" s="132"/>
      <c r="D392" s="132"/>
      <c r="E392" s="132"/>
      <c r="F392" s="132"/>
      <c r="G392" s="132"/>
      <c r="H392" s="132"/>
      <c r="I392" s="132"/>
      <c r="J392" s="132"/>
      <c r="K392" s="132"/>
      <c r="L392" s="132"/>
      <c r="M392" s="1"/>
      <c r="N392" s="1"/>
      <c r="O392" s="132"/>
      <c r="P392" s="132"/>
      <c r="Q392" s="132"/>
      <c r="R392" s="132"/>
      <c r="S392" s="132"/>
      <c r="T392" s="132"/>
      <c r="U392" s="132"/>
      <c r="V392" s="132"/>
      <c r="W392" s="132"/>
      <c r="X392" s="132"/>
      <c r="Y392" s="132"/>
      <c r="Z392" s="132"/>
      <c r="AA392" s="132"/>
      <c r="AB392" s="132"/>
      <c r="AC392" s="132"/>
      <c r="AD392" s="132"/>
      <c r="AE392" s="1"/>
      <c r="AG392" s="132"/>
      <c r="AH392" s="132"/>
      <c r="AI392" s="132"/>
      <c r="AJ392" s="132"/>
      <c r="AK392" s="132"/>
      <c r="AL392" s="132"/>
      <c r="AM392" s="132"/>
      <c r="AN392" s="132"/>
      <c r="AO392" s="132"/>
      <c r="AP392" s="132"/>
      <c r="AQ392" s="132"/>
      <c r="AR392" s="132"/>
      <c r="AS392" s="132"/>
      <c r="AT392" s="1"/>
      <c r="AU392" s="1"/>
      <c r="AV392" s="132"/>
      <c r="AW392" s="132"/>
      <c r="AX392" s="132"/>
      <c r="AY392" s="132"/>
      <c r="AZ392" s="132"/>
      <c r="BA392" s="132"/>
      <c r="BB392" s="132"/>
      <c r="BC392" s="132"/>
      <c r="BD392" s="132"/>
      <c r="BE392" s="132"/>
      <c r="BF392" s="132"/>
      <c r="BG392" s="132"/>
      <c r="BH392" s="132"/>
    </row>
    <row r="393" spans="1:60" ht="15.75" customHeight="1">
      <c r="A393" s="132"/>
      <c r="B393" s="132"/>
      <c r="C393" s="132"/>
      <c r="D393" s="132"/>
      <c r="E393" s="132"/>
      <c r="F393" s="132"/>
      <c r="G393" s="132"/>
      <c r="H393" s="132"/>
      <c r="I393" s="132"/>
      <c r="J393" s="132"/>
      <c r="K393" s="132"/>
      <c r="L393" s="132"/>
      <c r="M393" s="1"/>
      <c r="N393" s="1"/>
      <c r="O393" s="132"/>
      <c r="P393" s="132"/>
      <c r="Q393" s="132"/>
      <c r="R393" s="132"/>
      <c r="S393" s="132"/>
      <c r="T393" s="132"/>
      <c r="U393" s="132"/>
      <c r="V393" s="132"/>
      <c r="W393" s="132"/>
      <c r="X393" s="132"/>
      <c r="Y393" s="132"/>
      <c r="Z393" s="132"/>
      <c r="AA393" s="132"/>
      <c r="AB393" s="132"/>
      <c r="AC393" s="132"/>
      <c r="AD393" s="132"/>
      <c r="AE393" s="1"/>
      <c r="AG393" s="132"/>
      <c r="AH393" s="132"/>
      <c r="AI393" s="132"/>
      <c r="AJ393" s="132"/>
      <c r="AK393" s="132"/>
      <c r="AL393" s="132"/>
      <c r="AM393" s="132"/>
      <c r="AN393" s="132"/>
      <c r="AO393" s="132"/>
      <c r="AP393" s="132"/>
      <c r="AQ393" s="132"/>
      <c r="AR393" s="132"/>
      <c r="AS393" s="132"/>
      <c r="AT393" s="1"/>
      <c r="AU393" s="1"/>
      <c r="AV393" s="132"/>
      <c r="AW393" s="132"/>
      <c r="AX393" s="132"/>
      <c r="AY393" s="132"/>
      <c r="AZ393" s="132"/>
      <c r="BA393" s="132"/>
      <c r="BB393" s="132"/>
      <c r="BC393" s="132"/>
      <c r="BD393" s="132"/>
      <c r="BE393" s="132"/>
      <c r="BF393" s="132"/>
      <c r="BG393" s="132"/>
      <c r="BH393" s="132"/>
    </row>
    <row r="394" spans="1:60" ht="15.75" customHeight="1">
      <c r="A394" s="132"/>
      <c r="B394" s="132"/>
      <c r="C394" s="132"/>
      <c r="D394" s="132"/>
      <c r="E394" s="132"/>
      <c r="F394" s="132"/>
      <c r="G394" s="132"/>
      <c r="H394" s="132"/>
      <c r="I394" s="132"/>
      <c r="J394" s="132"/>
      <c r="K394" s="132"/>
      <c r="L394" s="132"/>
      <c r="M394" s="1"/>
      <c r="N394" s="1"/>
      <c r="O394" s="132"/>
      <c r="P394" s="132"/>
      <c r="Q394" s="132"/>
      <c r="R394" s="132"/>
      <c r="S394" s="132"/>
      <c r="T394" s="132"/>
      <c r="U394" s="132"/>
      <c r="V394" s="132"/>
      <c r="W394" s="132"/>
      <c r="X394" s="132"/>
      <c r="Y394" s="132"/>
      <c r="Z394" s="132"/>
      <c r="AA394" s="132"/>
      <c r="AB394" s="132"/>
      <c r="AC394" s="132"/>
      <c r="AD394" s="132"/>
      <c r="AE394" s="1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1"/>
      <c r="AU394" s="1"/>
      <c r="AV394" s="1"/>
    </row>
    <row r="395" spans="1:60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1"/>
      <c r="AT395" s="1"/>
      <c r="AU395" s="1"/>
      <c r="AV395" s="1"/>
    </row>
    <row r="396" spans="1:60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</row>
    <row r="397" spans="1:60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</row>
    <row r="398" spans="1:60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</row>
    <row r="399" spans="1:60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</row>
    <row r="400" spans="1:6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</row>
    <row r="401" spans="1:48" ht="20.25" customHeight="1" thickBot="1">
      <c r="A401" s="140" t="s">
        <v>14</v>
      </c>
      <c r="B401" s="140"/>
      <c r="C401" s="140"/>
      <c r="D401" s="140"/>
      <c r="E401" s="140"/>
      <c r="F401" s="4"/>
      <c r="G401" s="5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1"/>
      <c r="Z401" s="1"/>
      <c r="AA401" s="1"/>
      <c r="AB401" s="1"/>
      <c r="AC401" s="1"/>
      <c r="AD401" s="1"/>
      <c r="AE401" s="1"/>
    </row>
    <row r="402" spans="1:48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</row>
    <row r="403" spans="1:48" ht="15.75" customHeight="1">
      <c r="A403" s="139" t="s">
        <v>59</v>
      </c>
      <c r="B403" s="139"/>
      <c r="C403" s="139"/>
      <c r="D403" s="25"/>
      <c r="E403" s="25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</row>
    <row r="404" spans="1:48" ht="15.75" customHeight="1">
      <c r="B404" s="25"/>
      <c r="C404" s="25"/>
      <c r="D404" s="25"/>
      <c r="E404" s="25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</row>
    <row r="405" spans="1:48" ht="15.75" customHeight="1">
      <c r="A405" s="30"/>
      <c r="B405" s="30"/>
      <c r="C405" s="30"/>
      <c r="D405" s="138" t="s">
        <v>110</v>
      </c>
      <c r="E405" s="138"/>
      <c r="F405" s="138"/>
      <c r="G405" s="138" t="s">
        <v>111</v>
      </c>
      <c r="H405" s="138"/>
      <c r="I405" s="138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</row>
    <row r="406" spans="1:48" ht="15.75" customHeight="1">
      <c r="A406" s="138" t="s">
        <v>108</v>
      </c>
      <c r="B406" s="138"/>
      <c r="C406" s="138"/>
      <c r="D406" s="38" t="s">
        <v>92</v>
      </c>
      <c r="E406" s="38" t="s">
        <v>95</v>
      </c>
      <c r="F406" s="38" t="s">
        <v>94</v>
      </c>
      <c r="G406" s="38" t="s">
        <v>92</v>
      </c>
      <c r="H406" s="38" t="s">
        <v>94</v>
      </c>
      <c r="I406" s="38" t="s">
        <v>109</v>
      </c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</row>
    <row r="407" spans="1:48" ht="15.75" customHeight="1">
      <c r="A407" s="138" t="s">
        <v>92</v>
      </c>
      <c r="B407" s="138"/>
      <c r="C407" s="138"/>
      <c r="D407" s="34"/>
      <c r="E407" s="34"/>
      <c r="F407" s="34"/>
      <c r="G407" s="34"/>
      <c r="H407" s="34"/>
      <c r="I407" s="34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</row>
    <row r="408" spans="1:48" ht="15.75" customHeight="1">
      <c r="A408" s="138" t="s">
        <v>93</v>
      </c>
      <c r="B408" s="138"/>
      <c r="C408" s="138"/>
      <c r="D408" s="34"/>
      <c r="E408" s="34"/>
      <c r="F408" s="34"/>
      <c r="G408" s="34"/>
      <c r="H408" s="34"/>
      <c r="I408" s="34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</row>
    <row r="409" spans="1:48" ht="15.75" customHeight="1">
      <c r="A409" s="138" t="s">
        <v>94</v>
      </c>
      <c r="B409" s="138"/>
      <c r="C409" s="138"/>
      <c r="D409" s="34"/>
      <c r="E409" s="34"/>
      <c r="F409" s="34"/>
      <c r="G409" s="34"/>
      <c r="H409" s="34"/>
      <c r="I409" s="34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</row>
    <row r="410" spans="1:48" ht="15.75" customHeight="1">
      <c r="B410" s="25"/>
      <c r="C410" s="25"/>
      <c r="D410" s="25"/>
      <c r="E410" s="25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</row>
    <row r="411" spans="1:48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</row>
    <row r="412" spans="1:48" ht="15.75" customHeight="1">
      <c r="A412" s="131" t="s">
        <v>46</v>
      </c>
      <c r="B412" s="131"/>
      <c r="C412" s="131"/>
      <c r="D412" s="1"/>
      <c r="E412" s="1"/>
      <c r="F412" s="1"/>
      <c r="G412" s="1"/>
      <c r="H412" s="1"/>
      <c r="I412" s="1"/>
      <c r="K412" s="25"/>
      <c r="L412" s="25"/>
      <c r="M412" s="1"/>
      <c r="O412" s="131" t="s">
        <v>47</v>
      </c>
      <c r="P412" s="131"/>
      <c r="Q412" s="13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G412" s="131" t="s">
        <v>88</v>
      </c>
      <c r="AH412" s="131"/>
      <c r="AI412" s="131"/>
    </row>
    <row r="413" spans="1:48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48" ht="15.75" customHeight="1">
      <c r="A414" s="132"/>
      <c r="B414" s="132"/>
      <c r="C414" s="132"/>
      <c r="D414" s="132"/>
      <c r="E414" s="132"/>
      <c r="F414" s="132"/>
      <c r="G414" s="132"/>
      <c r="H414" s="132"/>
      <c r="I414" s="132"/>
      <c r="J414" s="132"/>
      <c r="K414" s="132"/>
      <c r="L414" s="132"/>
      <c r="M414" s="1"/>
      <c r="N414" s="1"/>
      <c r="O414" s="132"/>
      <c r="P414" s="132"/>
      <c r="Q414" s="132"/>
      <c r="R414" s="132"/>
      <c r="S414" s="132"/>
      <c r="T414" s="132"/>
      <c r="U414" s="132"/>
      <c r="V414" s="132"/>
      <c r="W414" s="132"/>
      <c r="X414" s="132"/>
      <c r="Y414" s="132"/>
      <c r="Z414" s="132"/>
      <c r="AA414" s="132"/>
      <c r="AB414" s="132"/>
      <c r="AC414" s="132"/>
      <c r="AD414" s="132"/>
      <c r="AE414" s="1"/>
      <c r="AG414" s="132"/>
      <c r="AH414" s="132"/>
      <c r="AI414" s="132"/>
      <c r="AJ414" s="132"/>
      <c r="AK414" s="132"/>
      <c r="AL414" s="132"/>
      <c r="AM414" s="132"/>
      <c r="AN414" s="132"/>
      <c r="AO414" s="132"/>
      <c r="AP414" s="132"/>
      <c r="AQ414" s="132"/>
      <c r="AR414" s="132"/>
      <c r="AS414" s="132"/>
      <c r="AT414" s="132"/>
      <c r="AU414" s="132"/>
      <c r="AV414" s="132"/>
    </row>
    <row r="415" spans="1:48" ht="15.75" customHeight="1">
      <c r="A415" s="132"/>
      <c r="B415" s="132"/>
      <c r="C415" s="132"/>
      <c r="D415" s="132"/>
      <c r="E415" s="132"/>
      <c r="F415" s="132"/>
      <c r="G415" s="132"/>
      <c r="H415" s="132"/>
      <c r="I415" s="132"/>
      <c r="J415" s="132"/>
      <c r="K415" s="132"/>
      <c r="L415" s="132"/>
      <c r="M415" s="1"/>
      <c r="N415" s="1"/>
      <c r="O415" s="132"/>
      <c r="P415" s="132"/>
      <c r="Q415" s="132"/>
      <c r="R415" s="132"/>
      <c r="S415" s="132"/>
      <c r="T415" s="132"/>
      <c r="U415" s="132"/>
      <c r="V415" s="132"/>
      <c r="W415" s="132"/>
      <c r="X415" s="132"/>
      <c r="Y415" s="132"/>
      <c r="Z415" s="132"/>
      <c r="AA415" s="132"/>
      <c r="AB415" s="132"/>
      <c r="AC415" s="132"/>
      <c r="AD415" s="132"/>
      <c r="AE415" s="1"/>
      <c r="AG415" s="132"/>
      <c r="AH415" s="132"/>
      <c r="AI415" s="132"/>
      <c r="AJ415" s="132"/>
      <c r="AK415" s="132"/>
      <c r="AL415" s="132"/>
      <c r="AM415" s="132"/>
      <c r="AN415" s="132"/>
      <c r="AO415" s="132"/>
      <c r="AP415" s="132"/>
      <c r="AQ415" s="132"/>
      <c r="AR415" s="132"/>
      <c r="AS415" s="132"/>
      <c r="AT415" s="132"/>
      <c r="AU415" s="132"/>
      <c r="AV415" s="132"/>
    </row>
    <row r="416" spans="1:48" ht="15.75" customHeight="1">
      <c r="A416" s="132"/>
      <c r="B416" s="132"/>
      <c r="C416" s="132"/>
      <c r="D416" s="132"/>
      <c r="E416" s="132"/>
      <c r="F416" s="132"/>
      <c r="G416" s="132"/>
      <c r="H416" s="132"/>
      <c r="I416" s="132"/>
      <c r="J416" s="132"/>
      <c r="K416" s="132"/>
      <c r="L416" s="132"/>
      <c r="M416" s="1"/>
      <c r="N416" s="1"/>
      <c r="O416" s="132"/>
      <c r="P416" s="132"/>
      <c r="Q416" s="132"/>
      <c r="R416" s="132"/>
      <c r="S416" s="132"/>
      <c r="T416" s="132"/>
      <c r="U416" s="132"/>
      <c r="V416" s="132"/>
      <c r="W416" s="132"/>
      <c r="X416" s="132"/>
      <c r="Y416" s="132"/>
      <c r="Z416" s="132"/>
      <c r="AA416" s="132"/>
      <c r="AB416" s="132"/>
      <c r="AC416" s="132"/>
      <c r="AD416" s="132"/>
      <c r="AE416" s="1"/>
      <c r="AG416" s="132"/>
      <c r="AH416" s="132"/>
      <c r="AI416" s="132"/>
      <c r="AJ416" s="132"/>
      <c r="AK416" s="132"/>
      <c r="AL416" s="132"/>
      <c r="AM416" s="132"/>
      <c r="AN416" s="132"/>
      <c r="AO416" s="132"/>
      <c r="AP416" s="132"/>
      <c r="AQ416" s="132"/>
      <c r="AR416" s="132"/>
      <c r="AS416" s="132"/>
      <c r="AT416" s="132"/>
      <c r="AU416" s="132"/>
      <c r="AV416" s="132"/>
    </row>
    <row r="417" spans="1:48" ht="15.75" customHeight="1">
      <c r="A417" s="132"/>
      <c r="B417" s="132"/>
      <c r="C417" s="132"/>
      <c r="D417" s="132"/>
      <c r="E417" s="132"/>
      <c r="F417" s="132"/>
      <c r="G417" s="132"/>
      <c r="H417" s="132"/>
      <c r="I417" s="132"/>
      <c r="J417" s="132"/>
      <c r="K417" s="132"/>
      <c r="L417" s="132"/>
      <c r="M417" s="1"/>
      <c r="N417" s="1"/>
      <c r="O417" s="132"/>
      <c r="P417" s="132"/>
      <c r="Q417" s="132"/>
      <c r="R417" s="132"/>
      <c r="S417" s="132"/>
      <c r="T417" s="132"/>
      <c r="U417" s="132"/>
      <c r="V417" s="132"/>
      <c r="W417" s="132"/>
      <c r="X417" s="132"/>
      <c r="Y417" s="132"/>
      <c r="Z417" s="132"/>
      <c r="AA417" s="132"/>
      <c r="AB417" s="132"/>
      <c r="AC417" s="132"/>
      <c r="AD417" s="132"/>
      <c r="AE417" s="1"/>
      <c r="AG417" s="132"/>
      <c r="AH417" s="132"/>
      <c r="AI417" s="132"/>
      <c r="AJ417" s="132"/>
      <c r="AK417" s="132"/>
      <c r="AL417" s="132"/>
      <c r="AM417" s="132"/>
      <c r="AN417" s="132"/>
      <c r="AO417" s="132"/>
      <c r="AP417" s="132"/>
      <c r="AQ417" s="132"/>
      <c r="AR417" s="132"/>
      <c r="AS417" s="132"/>
      <c r="AT417" s="132"/>
      <c r="AU417" s="132"/>
      <c r="AV417" s="132"/>
    </row>
    <row r="418" spans="1:48" ht="15.75" customHeight="1">
      <c r="A418" s="132"/>
      <c r="B418" s="132"/>
      <c r="C418" s="132"/>
      <c r="D418" s="132"/>
      <c r="E418" s="132"/>
      <c r="F418" s="132"/>
      <c r="G418" s="132"/>
      <c r="H418" s="132"/>
      <c r="I418" s="132"/>
      <c r="J418" s="132"/>
      <c r="K418" s="132"/>
      <c r="L418" s="132"/>
      <c r="M418" s="1"/>
      <c r="N418" s="1"/>
      <c r="O418" s="132"/>
      <c r="P418" s="132"/>
      <c r="Q418" s="132"/>
      <c r="R418" s="132"/>
      <c r="S418" s="132"/>
      <c r="T418" s="132"/>
      <c r="U418" s="132"/>
      <c r="V418" s="132"/>
      <c r="W418" s="132"/>
      <c r="X418" s="132"/>
      <c r="Y418" s="132"/>
      <c r="Z418" s="132"/>
      <c r="AA418" s="132"/>
      <c r="AB418" s="132"/>
      <c r="AC418" s="132"/>
      <c r="AD418" s="132"/>
      <c r="AE418" s="1"/>
      <c r="AG418" s="132"/>
      <c r="AH418" s="132"/>
      <c r="AI418" s="132"/>
      <c r="AJ418" s="132"/>
      <c r="AK418" s="132"/>
      <c r="AL418" s="132"/>
      <c r="AM418" s="132"/>
      <c r="AN418" s="132"/>
      <c r="AO418" s="132"/>
      <c r="AP418" s="132"/>
      <c r="AQ418" s="132"/>
      <c r="AR418" s="132"/>
      <c r="AS418" s="132"/>
      <c r="AT418" s="132"/>
      <c r="AU418" s="132"/>
      <c r="AV418" s="132"/>
    </row>
    <row r="419" spans="1:48" ht="15.75" customHeight="1">
      <c r="A419" s="132"/>
      <c r="B419" s="132"/>
      <c r="C419" s="132"/>
      <c r="D419" s="132"/>
      <c r="E419" s="132"/>
      <c r="F419" s="132"/>
      <c r="G419" s="132"/>
      <c r="H419" s="132"/>
      <c r="I419" s="132"/>
      <c r="J419" s="132"/>
      <c r="K419" s="132"/>
      <c r="L419" s="132"/>
      <c r="M419" s="1"/>
      <c r="N419" s="1"/>
      <c r="O419" s="132"/>
      <c r="P419" s="132"/>
      <c r="Q419" s="132"/>
      <c r="R419" s="132"/>
      <c r="S419" s="132"/>
      <c r="T419" s="132"/>
      <c r="U419" s="132"/>
      <c r="V419" s="132"/>
      <c r="W419" s="132"/>
      <c r="X419" s="132"/>
      <c r="Y419" s="132"/>
      <c r="Z419" s="132"/>
      <c r="AA419" s="132"/>
      <c r="AB419" s="132"/>
      <c r="AC419" s="132"/>
      <c r="AD419" s="132"/>
      <c r="AE419" s="1"/>
      <c r="AG419" s="132"/>
      <c r="AH419" s="132"/>
      <c r="AI419" s="132"/>
      <c r="AJ419" s="132"/>
      <c r="AK419" s="132"/>
      <c r="AL419" s="132"/>
      <c r="AM419" s="132"/>
      <c r="AN419" s="132"/>
      <c r="AO419" s="132"/>
      <c r="AP419" s="132"/>
      <c r="AQ419" s="132"/>
      <c r="AR419" s="132"/>
      <c r="AS419" s="132"/>
      <c r="AT419" s="132"/>
      <c r="AU419" s="132"/>
      <c r="AV419" s="132"/>
    </row>
    <row r="420" spans="1:48" ht="15.75" customHeight="1">
      <c r="A420" s="132"/>
      <c r="B420" s="132"/>
      <c r="C420" s="132"/>
      <c r="D420" s="132"/>
      <c r="E420" s="132"/>
      <c r="F420" s="132"/>
      <c r="G420" s="132"/>
      <c r="H420" s="132"/>
      <c r="I420" s="132"/>
      <c r="J420" s="132"/>
      <c r="K420" s="132"/>
      <c r="L420" s="132"/>
      <c r="M420" s="1"/>
      <c r="N420" s="1"/>
      <c r="O420" s="132"/>
      <c r="P420" s="132"/>
      <c r="Q420" s="132"/>
      <c r="R420" s="132"/>
      <c r="S420" s="132"/>
      <c r="T420" s="132"/>
      <c r="U420" s="132"/>
      <c r="V420" s="132"/>
      <c r="W420" s="132"/>
      <c r="X420" s="132"/>
      <c r="Y420" s="132"/>
      <c r="Z420" s="132"/>
      <c r="AA420" s="132"/>
      <c r="AB420" s="132"/>
      <c r="AC420" s="132"/>
      <c r="AD420" s="132"/>
      <c r="AE420" s="1"/>
      <c r="AG420" s="132"/>
      <c r="AH420" s="132"/>
      <c r="AI420" s="132"/>
      <c r="AJ420" s="132"/>
      <c r="AK420" s="132"/>
      <c r="AL420" s="132"/>
      <c r="AM420" s="132"/>
      <c r="AN420" s="132"/>
      <c r="AO420" s="132"/>
      <c r="AP420" s="132"/>
      <c r="AQ420" s="132"/>
      <c r="AR420" s="132"/>
      <c r="AS420" s="132"/>
      <c r="AT420" s="132"/>
      <c r="AU420" s="132"/>
      <c r="AV420" s="132"/>
    </row>
    <row r="421" spans="1:48" ht="15.75" customHeight="1">
      <c r="A421" s="132"/>
      <c r="B421" s="132"/>
      <c r="C421" s="132"/>
      <c r="D421" s="132"/>
      <c r="E421" s="132"/>
      <c r="F421" s="132"/>
      <c r="G421" s="132"/>
      <c r="H421" s="132"/>
      <c r="I421" s="132"/>
      <c r="J421" s="132"/>
      <c r="K421" s="132"/>
      <c r="L421" s="132"/>
      <c r="M421" s="1"/>
      <c r="N421" s="1"/>
      <c r="O421" s="132"/>
      <c r="P421" s="132"/>
      <c r="Q421" s="132"/>
      <c r="R421" s="132"/>
      <c r="S421" s="132"/>
      <c r="T421" s="132"/>
      <c r="U421" s="132"/>
      <c r="V421" s="132"/>
      <c r="W421" s="132"/>
      <c r="X421" s="132"/>
      <c r="Y421" s="132"/>
      <c r="Z421" s="132"/>
      <c r="AA421" s="132"/>
      <c r="AB421" s="132"/>
      <c r="AC421" s="132"/>
      <c r="AD421" s="132"/>
      <c r="AE421" s="1"/>
      <c r="AG421" s="132"/>
      <c r="AH421" s="132"/>
      <c r="AI421" s="132"/>
      <c r="AJ421" s="132"/>
      <c r="AK421" s="132"/>
      <c r="AL421" s="132"/>
      <c r="AM421" s="132"/>
      <c r="AN421" s="132"/>
      <c r="AO421" s="132"/>
      <c r="AP421" s="132"/>
      <c r="AQ421" s="132"/>
      <c r="AR421" s="132"/>
      <c r="AS421" s="132"/>
      <c r="AT421" s="132"/>
      <c r="AU421" s="132"/>
      <c r="AV421" s="132"/>
    </row>
    <row r="422" spans="1:48" ht="15.75" customHeight="1">
      <c r="A422" s="132"/>
      <c r="B422" s="132"/>
      <c r="C422" s="132"/>
      <c r="D422" s="132"/>
      <c r="E422" s="132"/>
      <c r="F422" s="132"/>
      <c r="G422" s="132"/>
      <c r="H422" s="132"/>
      <c r="I422" s="132"/>
      <c r="J422" s="132"/>
      <c r="K422" s="132"/>
      <c r="L422" s="132"/>
      <c r="M422" s="1"/>
      <c r="N422" s="1"/>
      <c r="O422" s="132"/>
      <c r="P422" s="132"/>
      <c r="Q422" s="132"/>
      <c r="R422" s="132"/>
      <c r="S422" s="132"/>
      <c r="T422" s="132"/>
      <c r="U422" s="132"/>
      <c r="V422" s="132"/>
      <c r="W422" s="132"/>
      <c r="X422" s="132"/>
      <c r="Y422" s="132"/>
      <c r="Z422" s="132"/>
      <c r="AA422" s="132"/>
      <c r="AB422" s="132"/>
      <c r="AC422" s="132"/>
      <c r="AD422" s="132"/>
      <c r="AE422" s="1"/>
      <c r="AG422" s="132"/>
      <c r="AH422" s="132"/>
      <c r="AI422" s="132"/>
      <c r="AJ422" s="132"/>
      <c r="AK422" s="132"/>
      <c r="AL422" s="132"/>
      <c r="AM422" s="132"/>
      <c r="AN422" s="132"/>
      <c r="AO422" s="132"/>
      <c r="AP422" s="132"/>
      <c r="AQ422" s="132"/>
      <c r="AR422" s="132"/>
      <c r="AS422" s="132"/>
      <c r="AT422" s="132"/>
      <c r="AU422" s="132"/>
      <c r="AV422" s="132"/>
    </row>
    <row r="423" spans="1:48" ht="15.75" customHeight="1">
      <c r="A423" s="132"/>
      <c r="B423" s="132"/>
      <c r="C423" s="132"/>
      <c r="D423" s="132"/>
      <c r="E423" s="132"/>
      <c r="F423" s="132"/>
      <c r="G423" s="132"/>
      <c r="H423" s="132"/>
      <c r="I423" s="132"/>
      <c r="J423" s="132"/>
      <c r="K423" s="132"/>
      <c r="L423" s="132"/>
      <c r="M423" s="1"/>
      <c r="N423" s="1"/>
      <c r="O423" s="132"/>
      <c r="P423" s="132"/>
      <c r="Q423" s="132"/>
      <c r="R423" s="132"/>
      <c r="S423" s="132"/>
      <c r="T423" s="132"/>
      <c r="U423" s="132"/>
      <c r="V423" s="132"/>
      <c r="W423" s="132"/>
      <c r="X423" s="132"/>
      <c r="Y423" s="132"/>
      <c r="Z423" s="132"/>
      <c r="AA423" s="132"/>
      <c r="AB423" s="132"/>
      <c r="AC423" s="132"/>
      <c r="AD423" s="132"/>
      <c r="AE423" s="1"/>
      <c r="AG423" s="132"/>
      <c r="AH423" s="132"/>
      <c r="AI423" s="132"/>
      <c r="AJ423" s="132"/>
      <c r="AK423" s="132"/>
      <c r="AL423" s="132"/>
      <c r="AM423" s="132"/>
      <c r="AN423" s="132"/>
      <c r="AO423" s="132"/>
      <c r="AP423" s="132"/>
      <c r="AQ423" s="132"/>
      <c r="AR423" s="132"/>
      <c r="AS423" s="132"/>
      <c r="AT423" s="132"/>
      <c r="AU423" s="132"/>
      <c r="AV423" s="132"/>
    </row>
    <row r="424" spans="1:48" ht="15.75" customHeight="1">
      <c r="A424" s="132"/>
      <c r="B424" s="132"/>
      <c r="C424" s="132"/>
      <c r="D424" s="132"/>
      <c r="E424" s="132"/>
      <c r="F424" s="132"/>
      <c r="G424" s="132"/>
      <c r="H424" s="132"/>
      <c r="I424" s="132"/>
      <c r="J424" s="132"/>
      <c r="K424" s="132"/>
      <c r="L424" s="132"/>
      <c r="M424" s="1"/>
      <c r="N424" s="1"/>
      <c r="O424" s="132"/>
      <c r="P424" s="132"/>
      <c r="Q424" s="132"/>
      <c r="R424" s="132"/>
      <c r="S424" s="132"/>
      <c r="T424" s="132"/>
      <c r="U424" s="132"/>
      <c r="V424" s="132"/>
      <c r="W424" s="132"/>
      <c r="X424" s="132"/>
      <c r="Y424" s="132"/>
      <c r="Z424" s="132"/>
      <c r="AA424" s="132"/>
      <c r="AB424" s="132"/>
      <c r="AC424" s="132"/>
      <c r="AD424" s="132"/>
      <c r="AE424" s="1"/>
      <c r="AG424" s="132"/>
      <c r="AH424" s="132"/>
      <c r="AI424" s="132"/>
      <c r="AJ424" s="132"/>
      <c r="AK424" s="132"/>
      <c r="AL424" s="132"/>
      <c r="AM424" s="132"/>
      <c r="AN424" s="132"/>
      <c r="AO424" s="132"/>
      <c r="AP424" s="132"/>
      <c r="AQ424" s="132"/>
      <c r="AR424" s="132"/>
      <c r="AS424" s="132"/>
      <c r="AT424" s="132"/>
      <c r="AU424" s="132"/>
      <c r="AV424" s="132"/>
    </row>
    <row r="425" spans="1:48" ht="15.75" customHeight="1">
      <c r="A425" s="132"/>
      <c r="B425" s="132"/>
      <c r="C425" s="132"/>
      <c r="D425" s="132"/>
      <c r="E425" s="132"/>
      <c r="F425" s="132"/>
      <c r="G425" s="132"/>
      <c r="H425" s="132"/>
      <c r="I425" s="132"/>
      <c r="J425" s="132"/>
      <c r="K425" s="132"/>
      <c r="L425" s="132"/>
      <c r="M425" s="1"/>
      <c r="N425" s="1"/>
      <c r="O425" s="132"/>
      <c r="P425" s="132"/>
      <c r="Q425" s="132"/>
      <c r="R425" s="132"/>
      <c r="S425" s="132"/>
      <c r="T425" s="132"/>
      <c r="U425" s="132"/>
      <c r="V425" s="132"/>
      <c r="W425" s="132"/>
      <c r="X425" s="132"/>
      <c r="Y425" s="132"/>
      <c r="Z425" s="132"/>
      <c r="AA425" s="132"/>
      <c r="AB425" s="132"/>
      <c r="AC425" s="132"/>
      <c r="AD425" s="132"/>
      <c r="AE425" s="1"/>
      <c r="AG425" s="132"/>
      <c r="AH425" s="132"/>
      <c r="AI425" s="132"/>
      <c r="AJ425" s="132"/>
      <c r="AK425" s="132"/>
      <c r="AL425" s="132"/>
      <c r="AM425" s="132"/>
      <c r="AN425" s="132"/>
      <c r="AO425" s="132"/>
      <c r="AP425" s="132"/>
      <c r="AQ425" s="132"/>
      <c r="AR425" s="132"/>
      <c r="AS425" s="132"/>
      <c r="AT425" s="132"/>
      <c r="AU425" s="132"/>
      <c r="AV425" s="132"/>
    </row>
    <row r="426" spans="1:48" ht="15.75" customHeight="1">
      <c r="A426" s="132"/>
      <c r="B426" s="132"/>
      <c r="C426" s="132"/>
      <c r="D426" s="132"/>
      <c r="E426" s="132"/>
      <c r="F426" s="132"/>
      <c r="G426" s="132"/>
      <c r="H426" s="132"/>
      <c r="I426" s="132"/>
      <c r="J426" s="132"/>
      <c r="K426" s="132"/>
      <c r="L426" s="132"/>
      <c r="M426" s="1"/>
      <c r="N426" s="1"/>
      <c r="O426" s="132"/>
      <c r="P426" s="132"/>
      <c r="Q426" s="132"/>
      <c r="R426" s="132"/>
      <c r="S426" s="132"/>
      <c r="T426" s="132"/>
      <c r="U426" s="132"/>
      <c r="V426" s="132"/>
      <c r="W426" s="132"/>
      <c r="X426" s="132"/>
      <c r="Y426" s="132"/>
      <c r="Z426" s="132"/>
      <c r="AA426" s="132"/>
      <c r="AB426" s="132"/>
      <c r="AC426" s="132"/>
      <c r="AD426" s="132"/>
      <c r="AE426" s="1"/>
      <c r="AG426" s="132"/>
      <c r="AH426" s="132"/>
      <c r="AI426" s="132"/>
      <c r="AJ426" s="132"/>
      <c r="AK426" s="132"/>
      <c r="AL426" s="132"/>
      <c r="AM426" s="132"/>
      <c r="AN426" s="132"/>
      <c r="AO426" s="132"/>
      <c r="AP426" s="132"/>
      <c r="AQ426" s="132"/>
      <c r="AR426" s="132"/>
      <c r="AS426" s="132"/>
      <c r="AT426" s="132"/>
      <c r="AU426" s="132"/>
      <c r="AV426" s="132"/>
    </row>
    <row r="427" spans="1:48" ht="15.75" customHeight="1">
      <c r="A427" s="132"/>
      <c r="B427" s="132"/>
      <c r="C427" s="132"/>
      <c r="D427" s="132"/>
      <c r="E427" s="132"/>
      <c r="F427" s="132"/>
      <c r="G427" s="132"/>
      <c r="H427" s="132"/>
      <c r="I427" s="132"/>
      <c r="J427" s="132"/>
      <c r="K427" s="132"/>
      <c r="L427" s="132"/>
      <c r="M427" s="1"/>
      <c r="N427" s="1"/>
      <c r="O427" s="132"/>
      <c r="P427" s="132"/>
      <c r="Q427" s="132"/>
      <c r="R427" s="132"/>
      <c r="S427" s="132"/>
      <c r="T427" s="132"/>
      <c r="U427" s="132"/>
      <c r="V427" s="132"/>
      <c r="W427" s="132"/>
      <c r="X427" s="132"/>
      <c r="Y427" s="132"/>
      <c r="Z427" s="132"/>
      <c r="AA427" s="132"/>
      <c r="AB427" s="132"/>
      <c r="AC427" s="132"/>
      <c r="AD427" s="132"/>
      <c r="AE427" s="1"/>
      <c r="AG427" s="132"/>
      <c r="AH427" s="132"/>
      <c r="AI427" s="132"/>
      <c r="AJ427" s="132"/>
      <c r="AK427" s="132"/>
      <c r="AL427" s="132"/>
      <c r="AM427" s="132"/>
      <c r="AN427" s="132"/>
      <c r="AO427" s="132"/>
      <c r="AP427" s="132"/>
      <c r="AQ427" s="132"/>
      <c r="AR427" s="132"/>
      <c r="AS427" s="132"/>
      <c r="AT427" s="132"/>
      <c r="AU427" s="132"/>
      <c r="AV427" s="132"/>
    </row>
    <row r="428" spans="1:48" ht="15.75" customHeight="1">
      <c r="A428" s="132"/>
      <c r="B428" s="132"/>
      <c r="C428" s="132"/>
      <c r="D428" s="132"/>
      <c r="E428" s="132"/>
      <c r="F428" s="132"/>
      <c r="G428" s="132"/>
      <c r="H428" s="132"/>
      <c r="I428" s="132"/>
      <c r="J428" s="132"/>
      <c r="K428" s="132"/>
      <c r="L428" s="132"/>
      <c r="M428" s="1"/>
      <c r="N428" s="1"/>
      <c r="O428" s="132"/>
      <c r="P428" s="132"/>
      <c r="Q428" s="132"/>
      <c r="R428" s="132"/>
      <c r="S428" s="132"/>
      <c r="T428" s="132"/>
      <c r="U428" s="132"/>
      <c r="V428" s="132"/>
      <c r="W428" s="132"/>
      <c r="X428" s="132"/>
      <c r="Y428" s="132"/>
      <c r="Z428" s="132"/>
      <c r="AA428" s="132"/>
      <c r="AB428" s="132"/>
      <c r="AC428" s="132"/>
      <c r="AD428" s="132"/>
      <c r="AE428" s="1"/>
      <c r="AG428" s="132"/>
      <c r="AH428" s="132"/>
      <c r="AI428" s="132"/>
      <c r="AJ428" s="132"/>
      <c r="AK428" s="132"/>
      <c r="AL428" s="132"/>
      <c r="AM428" s="132"/>
      <c r="AN428" s="132"/>
      <c r="AO428" s="132"/>
      <c r="AP428" s="132"/>
      <c r="AQ428" s="132"/>
      <c r="AR428" s="132"/>
      <c r="AS428" s="132"/>
      <c r="AT428" s="132"/>
      <c r="AU428" s="132"/>
      <c r="AV428" s="132"/>
    </row>
    <row r="429" spans="1:48" ht="15.75" customHeight="1">
      <c r="A429" s="132"/>
      <c r="B429" s="132"/>
      <c r="C429" s="132"/>
      <c r="D429" s="132"/>
      <c r="E429" s="132"/>
      <c r="F429" s="132"/>
      <c r="G429" s="132"/>
      <c r="H429" s="132"/>
      <c r="I429" s="132"/>
      <c r="J429" s="132"/>
      <c r="K429" s="132"/>
      <c r="L429" s="132"/>
      <c r="M429" s="1"/>
      <c r="N429" s="1"/>
      <c r="O429" s="132"/>
      <c r="P429" s="132"/>
      <c r="Q429" s="132"/>
      <c r="R429" s="132"/>
      <c r="S429" s="132"/>
      <c r="T429" s="132"/>
      <c r="U429" s="132"/>
      <c r="V429" s="132"/>
      <c r="W429" s="132"/>
      <c r="X429" s="132"/>
      <c r="Y429" s="132"/>
      <c r="Z429" s="132"/>
      <c r="AA429" s="132"/>
      <c r="AB429" s="132"/>
      <c r="AC429" s="132"/>
      <c r="AD429" s="132"/>
      <c r="AE429" s="1"/>
      <c r="AG429" s="132"/>
      <c r="AH429" s="132"/>
      <c r="AI429" s="132"/>
      <c r="AJ429" s="132"/>
      <c r="AK429" s="132"/>
      <c r="AL429" s="132"/>
      <c r="AM429" s="132"/>
      <c r="AN429" s="132"/>
      <c r="AO429" s="132"/>
      <c r="AP429" s="132"/>
      <c r="AQ429" s="132"/>
      <c r="AR429" s="132"/>
      <c r="AS429" s="132"/>
      <c r="AT429" s="132"/>
      <c r="AU429" s="132"/>
      <c r="AV429" s="132"/>
    </row>
    <row r="430" spans="1:48" ht="15.75" customHeight="1">
      <c r="A430" s="132"/>
      <c r="B430" s="132"/>
      <c r="C430" s="132"/>
      <c r="D430" s="132"/>
      <c r="E430" s="132"/>
      <c r="F430" s="132"/>
      <c r="G430" s="132"/>
      <c r="H430" s="132"/>
      <c r="I430" s="132"/>
      <c r="J430" s="132"/>
      <c r="K430" s="132"/>
      <c r="L430" s="132"/>
      <c r="M430" s="1"/>
      <c r="N430" s="1"/>
      <c r="O430" s="132"/>
      <c r="P430" s="132"/>
      <c r="Q430" s="132"/>
      <c r="R430" s="132"/>
      <c r="S430" s="132"/>
      <c r="T430" s="132"/>
      <c r="U430" s="132"/>
      <c r="V430" s="132"/>
      <c r="W430" s="132"/>
      <c r="X430" s="132"/>
      <c r="Y430" s="132"/>
      <c r="Z430" s="132"/>
      <c r="AA430" s="132"/>
      <c r="AB430" s="132"/>
      <c r="AC430" s="132"/>
      <c r="AD430" s="132"/>
      <c r="AE430" s="1"/>
      <c r="AG430" s="132"/>
      <c r="AH430" s="132"/>
      <c r="AI430" s="132"/>
      <c r="AJ430" s="132"/>
      <c r="AK430" s="132"/>
      <c r="AL430" s="132"/>
      <c r="AM430" s="132"/>
      <c r="AN430" s="132"/>
      <c r="AO430" s="132"/>
      <c r="AP430" s="132"/>
      <c r="AQ430" s="132"/>
      <c r="AR430" s="132"/>
      <c r="AS430" s="132"/>
      <c r="AT430" s="132"/>
      <c r="AU430" s="132"/>
      <c r="AV430" s="132"/>
    </row>
    <row r="431" spans="1:48" ht="15.75" customHeight="1">
      <c r="A431" s="132"/>
      <c r="B431" s="132"/>
      <c r="C431" s="132"/>
      <c r="D431" s="132"/>
      <c r="E431" s="132"/>
      <c r="F431" s="132"/>
      <c r="G431" s="132"/>
      <c r="H431" s="132"/>
      <c r="I431" s="132"/>
      <c r="J431" s="132"/>
      <c r="K431" s="132"/>
      <c r="L431" s="132"/>
      <c r="M431" s="1"/>
      <c r="N431" s="1"/>
      <c r="O431" s="132"/>
      <c r="P431" s="132"/>
      <c r="Q431" s="132"/>
      <c r="R431" s="132"/>
      <c r="S431" s="132"/>
      <c r="T431" s="132"/>
      <c r="U431" s="132"/>
      <c r="V431" s="132"/>
      <c r="W431" s="132"/>
      <c r="X431" s="132"/>
      <c r="Y431" s="132"/>
      <c r="Z431" s="132"/>
      <c r="AA431" s="132"/>
      <c r="AB431" s="132"/>
      <c r="AC431" s="132"/>
      <c r="AD431" s="132"/>
      <c r="AE431" s="1"/>
      <c r="AG431" s="132"/>
      <c r="AH431" s="132"/>
      <c r="AI431" s="132"/>
      <c r="AJ431" s="132"/>
      <c r="AK431" s="132"/>
      <c r="AL431" s="132"/>
      <c r="AM431" s="132"/>
      <c r="AN431" s="132"/>
      <c r="AO431" s="132"/>
      <c r="AP431" s="132"/>
      <c r="AQ431" s="132"/>
      <c r="AR431" s="132"/>
      <c r="AS431" s="132"/>
      <c r="AT431" s="132"/>
      <c r="AU431" s="132"/>
      <c r="AV431" s="132"/>
    </row>
    <row r="432" spans="1:48" ht="15.75" customHeight="1">
      <c r="A432" s="132"/>
      <c r="B432" s="132"/>
      <c r="C432" s="132"/>
      <c r="D432" s="132"/>
      <c r="E432" s="132"/>
      <c r="F432" s="132"/>
      <c r="G432" s="132"/>
      <c r="H432" s="132"/>
      <c r="I432" s="132"/>
      <c r="J432" s="132"/>
      <c r="K432" s="132"/>
      <c r="L432" s="132"/>
      <c r="M432" s="1"/>
      <c r="N432" s="1"/>
      <c r="O432" s="132"/>
      <c r="P432" s="132"/>
      <c r="Q432" s="132"/>
      <c r="R432" s="132"/>
      <c r="S432" s="132"/>
      <c r="T432" s="132"/>
      <c r="U432" s="132"/>
      <c r="V432" s="132"/>
      <c r="W432" s="132"/>
      <c r="X432" s="132"/>
      <c r="Y432" s="132"/>
      <c r="Z432" s="132"/>
      <c r="AA432" s="132"/>
      <c r="AB432" s="132"/>
      <c r="AC432" s="132"/>
      <c r="AD432" s="132"/>
      <c r="AE432" s="1"/>
      <c r="AG432" s="132"/>
      <c r="AH432" s="132"/>
      <c r="AI432" s="132"/>
      <c r="AJ432" s="132"/>
      <c r="AK432" s="132"/>
      <c r="AL432" s="132"/>
      <c r="AM432" s="132"/>
      <c r="AN432" s="132"/>
      <c r="AO432" s="132"/>
      <c r="AP432" s="132"/>
      <c r="AQ432" s="132"/>
      <c r="AR432" s="132"/>
      <c r="AS432" s="132"/>
      <c r="AT432" s="132"/>
      <c r="AU432" s="132"/>
      <c r="AV432" s="132"/>
    </row>
    <row r="433" spans="1:48" ht="15.75" customHeight="1">
      <c r="A433" s="132"/>
      <c r="B433" s="132"/>
      <c r="C433" s="132"/>
      <c r="D433" s="132"/>
      <c r="E433" s="132"/>
      <c r="F433" s="132"/>
      <c r="G433" s="132"/>
      <c r="H433" s="132"/>
      <c r="I433" s="132"/>
      <c r="J433" s="132"/>
      <c r="K433" s="132"/>
      <c r="L433" s="132"/>
      <c r="M433" s="1"/>
      <c r="N433" s="1"/>
      <c r="O433" s="132"/>
      <c r="P433" s="132"/>
      <c r="Q433" s="132"/>
      <c r="R433" s="132"/>
      <c r="S433" s="132"/>
      <c r="T433" s="132"/>
      <c r="U433" s="132"/>
      <c r="V433" s="132"/>
      <c r="W433" s="132"/>
      <c r="X433" s="132"/>
      <c r="Y433" s="132"/>
      <c r="Z433" s="132"/>
      <c r="AA433" s="132"/>
      <c r="AB433" s="132"/>
      <c r="AC433" s="132"/>
      <c r="AD433" s="132"/>
      <c r="AE433" s="1"/>
      <c r="AG433" s="132"/>
      <c r="AH433" s="132"/>
      <c r="AI433" s="132"/>
      <c r="AJ433" s="132"/>
      <c r="AK433" s="132"/>
      <c r="AL433" s="132"/>
      <c r="AM433" s="132"/>
      <c r="AN433" s="132"/>
      <c r="AO433" s="132"/>
      <c r="AP433" s="132"/>
      <c r="AQ433" s="132"/>
      <c r="AR433" s="132"/>
      <c r="AS433" s="132"/>
      <c r="AT433" s="132"/>
      <c r="AU433" s="132"/>
      <c r="AV433" s="132"/>
    </row>
    <row r="434" spans="1:48" ht="15.75" customHeight="1">
      <c r="A434" s="132"/>
      <c r="B434" s="132"/>
      <c r="C434" s="132"/>
      <c r="D434" s="132"/>
      <c r="E434" s="132"/>
      <c r="F434" s="132"/>
      <c r="G434" s="132"/>
      <c r="H434" s="132"/>
      <c r="I434" s="132"/>
      <c r="J434" s="132"/>
      <c r="K434" s="132"/>
      <c r="L434" s="132"/>
      <c r="M434" s="1"/>
      <c r="N434" s="1"/>
      <c r="O434" s="132"/>
      <c r="P434" s="132"/>
      <c r="Q434" s="132"/>
      <c r="R434" s="132"/>
      <c r="S434" s="132"/>
      <c r="T434" s="132"/>
      <c r="U434" s="132"/>
      <c r="V434" s="132"/>
      <c r="W434" s="132"/>
      <c r="X434" s="132"/>
      <c r="Y434" s="132"/>
      <c r="Z434" s="132"/>
      <c r="AA434" s="132"/>
      <c r="AB434" s="132"/>
      <c r="AC434" s="132"/>
      <c r="AD434" s="132"/>
      <c r="AE434" s="1"/>
      <c r="AG434" s="132"/>
      <c r="AH434" s="132"/>
      <c r="AI434" s="132"/>
      <c r="AJ434" s="132"/>
      <c r="AK434" s="132"/>
      <c r="AL434" s="132"/>
      <c r="AM434" s="132"/>
      <c r="AN434" s="132"/>
      <c r="AO434" s="132"/>
      <c r="AP434" s="132"/>
      <c r="AQ434" s="132"/>
      <c r="AR434" s="132"/>
      <c r="AS434" s="132"/>
      <c r="AT434" s="132"/>
      <c r="AU434" s="132"/>
      <c r="AV434" s="132"/>
    </row>
    <row r="435" spans="1:48" ht="15.75" customHeight="1">
      <c r="A435" s="132"/>
      <c r="B435" s="132"/>
      <c r="C435" s="132"/>
      <c r="D435" s="132"/>
      <c r="E435" s="132"/>
      <c r="F435" s="132"/>
      <c r="G435" s="132"/>
      <c r="H435" s="132"/>
      <c r="I435" s="132"/>
      <c r="J435" s="132"/>
      <c r="K435" s="132"/>
      <c r="L435" s="132"/>
      <c r="M435" s="1"/>
      <c r="N435" s="1"/>
      <c r="O435" s="132"/>
      <c r="P435" s="132"/>
      <c r="Q435" s="132"/>
      <c r="R435" s="132"/>
      <c r="S435" s="132"/>
      <c r="T435" s="132"/>
      <c r="U435" s="132"/>
      <c r="V435" s="132"/>
      <c r="W435" s="132"/>
      <c r="X435" s="132"/>
      <c r="Y435" s="132"/>
      <c r="Z435" s="132"/>
      <c r="AA435" s="132"/>
      <c r="AB435" s="132"/>
      <c r="AC435" s="132"/>
      <c r="AD435" s="132"/>
      <c r="AE435" s="1"/>
      <c r="AG435" s="132"/>
      <c r="AH435" s="132"/>
      <c r="AI435" s="132"/>
      <c r="AJ435" s="132"/>
      <c r="AK435" s="132"/>
      <c r="AL435" s="132"/>
      <c r="AM435" s="132"/>
      <c r="AN435" s="132"/>
      <c r="AO435" s="132"/>
      <c r="AP435" s="132"/>
      <c r="AQ435" s="132"/>
      <c r="AR435" s="132"/>
      <c r="AS435" s="132"/>
      <c r="AT435" s="132"/>
      <c r="AU435" s="132"/>
      <c r="AV435" s="132"/>
    </row>
    <row r="436" spans="1:48" ht="15.75" customHeight="1">
      <c r="A436" s="132"/>
      <c r="B436" s="132"/>
      <c r="C436" s="132"/>
      <c r="D436" s="132"/>
      <c r="E436" s="132"/>
      <c r="F436" s="132"/>
      <c r="G436" s="132"/>
      <c r="H436" s="132"/>
      <c r="I436" s="132"/>
      <c r="J436" s="132"/>
      <c r="K436" s="132"/>
      <c r="L436" s="132"/>
      <c r="M436" s="1"/>
      <c r="N436" s="1"/>
      <c r="O436" s="132"/>
      <c r="P436" s="132"/>
      <c r="Q436" s="132"/>
      <c r="R436" s="132"/>
      <c r="S436" s="132"/>
      <c r="T436" s="132"/>
      <c r="U436" s="132"/>
      <c r="V436" s="132"/>
      <c r="W436" s="132"/>
      <c r="X436" s="132"/>
      <c r="Y436" s="132"/>
      <c r="Z436" s="132"/>
      <c r="AA436" s="132"/>
      <c r="AB436" s="132"/>
      <c r="AC436" s="132"/>
      <c r="AD436" s="132"/>
      <c r="AE436" s="1"/>
      <c r="AG436" s="132"/>
      <c r="AH436" s="132"/>
      <c r="AI436" s="132"/>
      <c r="AJ436" s="132"/>
      <c r="AK436" s="132"/>
      <c r="AL436" s="132"/>
      <c r="AM436" s="132"/>
      <c r="AN436" s="132"/>
      <c r="AO436" s="132"/>
      <c r="AP436" s="132"/>
      <c r="AQ436" s="132"/>
      <c r="AR436" s="132"/>
      <c r="AS436" s="132"/>
      <c r="AT436" s="132"/>
      <c r="AU436" s="132"/>
      <c r="AV436" s="132"/>
    </row>
    <row r="437" spans="1:48" ht="15.75" customHeight="1">
      <c r="A437" s="132"/>
      <c r="B437" s="132"/>
      <c r="C437" s="132"/>
      <c r="D437" s="132"/>
      <c r="E437" s="132"/>
      <c r="F437" s="132"/>
      <c r="G437" s="132"/>
      <c r="H437" s="132"/>
      <c r="I437" s="132"/>
      <c r="J437" s="132"/>
      <c r="K437" s="132"/>
      <c r="L437" s="132"/>
      <c r="M437" s="1"/>
      <c r="N437" s="1"/>
      <c r="O437" s="132"/>
      <c r="P437" s="132"/>
      <c r="Q437" s="132"/>
      <c r="R437" s="132"/>
      <c r="S437" s="132"/>
      <c r="T437" s="132"/>
      <c r="U437" s="132"/>
      <c r="V437" s="132"/>
      <c r="W437" s="132"/>
      <c r="X437" s="132"/>
      <c r="Y437" s="132"/>
      <c r="Z437" s="132"/>
      <c r="AA437" s="132"/>
      <c r="AB437" s="132"/>
      <c r="AC437" s="132"/>
      <c r="AD437" s="132"/>
      <c r="AE437" s="1"/>
      <c r="AG437" s="132"/>
      <c r="AH437" s="132"/>
      <c r="AI437" s="132"/>
      <c r="AJ437" s="132"/>
      <c r="AK437" s="132"/>
      <c r="AL437" s="132"/>
      <c r="AM437" s="132"/>
      <c r="AN437" s="132"/>
      <c r="AO437" s="132"/>
      <c r="AP437" s="132"/>
      <c r="AQ437" s="132"/>
      <c r="AR437" s="132"/>
      <c r="AS437" s="132"/>
      <c r="AT437" s="132"/>
      <c r="AU437" s="132"/>
      <c r="AV437" s="132"/>
    </row>
    <row r="438" spans="1:48" ht="15.75" customHeight="1">
      <c r="A438" s="132"/>
      <c r="B438" s="132"/>
      <c r="C438" s="132"/>
      <c r="D438" s="132"/>
      <c r="E438" s="132"/>
      <c r="F438" s="132"/>
      <c r="G438" s="132"/>
      <c r="H438" s="132"/>
      <c r="I438" s="132"/>
      <c r="J438" s="132"/>
      <c r="K438" s="132"/>
      <c r="L438" s="132"/>
      <c r="M438" s="1"/>
      <c r="N438" s="1"/>
      <c r="O438" s="132"/>
      <c r="P438" s="132"/>
      <c r="Q438" s="132"/>
      <c r="R438" s="132"/>
      <c r="S438" s="132"/>
      <c r="T438" s="132"/>
      <c r="U438" s="132"/>
      <c r="V438" s="132"/>
      <c r="W438" s="132"/>
      <c r="X438" s="132"/>
      <c r="Y438" s="132"/>
      <c r="Z438" s="132"/>
      <c r="AA438" s="132"/>
      <c r="AB438" s="132"/>
      <c r="AC438" s="132"/>
      <c r="AD438" s="132"/>
      <c r="AE438" s="1"/>
      <c r="AG438" s="132"/>
      <c r="AH438" s="132"/>
      <c r="AI438" s="132"/>
      <c r="AJ438" s="132"/>
      <c r="AK438" s="132"/>
      <c r="AL438" s="132"/>
      <c r="AM438" s="132"/>
      <c r="AN438" s="132"/>
      <c r="AO438" s="132"/>
      <c r="AP438" s="132"/>
      <c r="AQ438" s="132"/>
      <c r="AR438" s="132"/>
      <c r="AS438" s="132"/>
      <c r="AT438" s="132"/>
      <c r="AU438" s="132"/>
      <c r="AV438" s="132"/>
    </row>
    <row r="439" spans="1:48" ht="15.75" customHeight="1">
      <c r="A439" s="132"/>
      <c r="B439" s="132"/>
      <c r="C439" s="132"/>
      <c r="D439" s="132"/>
      <c r="E439" s="132"/>
      <c r="F439" s="132"/>
      <c r="G439" s="132"/>
      <c r="H439" s="132"/>
      <c r="I439" s="132"/>
      <c r="J439" s="132"/>
      <c r="K439" s="132"/>
      <c r="L439" s="132"/>
      <c r="M439" s="1"/>
      <c r="N439" s="1"/>
      <c r="O439" s="132"/>
      <c r="P439" s="132"/>
      <c r="Q439" s="132"/>
      <c r="R439" s="132"/>
      <c r="S439" s="132"/>
      <c r="T439" s="132"/>
      <c r="U439" s="132"/>
      <c r="V439" s="132"/>
      <c r="W439" s="132"/>
      <c r="X439" s="132"/>
      <c r="Y439" s="132"/>
      <c r="Z439" s="132"/>
      <c r="AA439" s="132"/>
      <c r="AB439" s="132"/>
      <c r="AC439" s="132"/>
      <c r="AD439" s="132"/>
      <c r="AE439" s="1"/>
      <c r="AG439" s="132"/>
      <c r="AH439" s="132"/>
      <c r="AI439" s="132"/>
      <c r="AJ439" s="132"/>
      <c r="AK439" s="132"/>
      <c r="AL439" s="132"/>
      <c r="AM439" s="132"/>
      <c r="AN439" s="132"/>
      <c r="AO439" s="132"/>
      <c r="AP439" s="132"/>
      <c r="AQ439" s="132"/>
      <c r="AR439" s="132"/>
      <c r="AS439" s="132"/>
      <c r="AT439" s="132"/>
      <c r="AU439" s="132"/>
      <c r="AV439" s="132"/>
    </row>
    <row r="440" spans="1:48" ht="15.75" customHeight="1">
      <c r="A440" s="132"/>
      <c r="B440" s="132"/>
      <c r="C440" s="132"/>
      <c r="D440" s="132"/>
      <c r="E440" s="132"/>
      <c r="F440" s="132"/>
      <c r="G440" s="132"/>
      <c r="H440" s="132"/>
      <c r="I440" s="132"/>
      <c r="J440" s="132"/>
      <c r="K440" s="132"/>
      <c r="L440" s="132"/>
      <c r="M440" s="1"/>
      <c r="N440" s="1"/>
      <c r="O440" s="132"/>
      <c r="P440" s="132"/>
      <c r="Q440" s="132"/>
      <c r="R440" s="132"/>
      <c r="S440" s="132"/>
      <c r="T440" s="132"/>
      <c r="U440" s="132"/>
      <c r="V440" s="132"/>
      <c r="W440" s="132"/>
      <c r="X440" s="132"/>
      <c r="Y440" s="132"/>
      <c r="Z440" s="132"/>
      <c r="AA440" s="132"/>
      <c r="AB440" s="132"/>
      <c r="AC440" s="132"/>
      <c r="AD440" s="132"/>
      <c r="AE440" s="1"/>
      <c r="AG440" s="132"/>
      <c r="AH440" s="132"/>
      <c r="AI440" s="132"/>
      <c r="AJ440" s="132"/>
      <c r="AK440" s="132"/>
      <c r="AL440" s="132"/>
      <c r="AM440" s="132"/>
      <c r="AN440" s="132"/>
      <c r="AO440" s="132"/>
      <c r="AP440" s="132"/>
      <c r="AQ440" s="132"/>
      <c r="AR440" s="132"/>
      <c r="AS440" s="132"/>
      <c r="AT440" s="132"/>
      <c r="AU440" s="132"/>
      <c r="AV440" s="132"/>
    </row>
    <row r="441" spans="1:48" ht="15.75" customHeight="1">
      <c r="A441" s="132"/>
      <c r="B441" s="132"/>
      <c r="C441" s="132"/>
      <c r="D441" s="132"/>
      <c r="E441" s="132"/>
      <c r="F441" s="132"/>
      <c r="G441" s="132"/>
      <c r="H441" s="132"/>
      <c r="I441" s="132"/>
      <c r="J441" s="132"/>
      <c r="K441" s="132"/>
      <c r="L441" s="132"/>
      <c r="M441" s="1"/>
      <c r="N441" s="1"/>
      <c r="O441" s="132"/>
      <c r="P441" s="132"/>
      <c r="Q441" s="132"/>
      <c r="R441" s="132"/>
      <c r="S441" s="132"/>
      <c r="T441" s="132"/>
      <c r="U441" s="132"/>
      <c r="V441" s="132"/>
      <c r="W441" s="132"/>
      <c r="X441" s="132"/>
      <c r="Y441" s="132"/>
      <c r="Z441" s="132"/>
      <c r="AA441" s="132"/>
      <c r="AB441" s="132"/>
      <c r="AC441" s="132"/>
      <c r="AD441" s="132"/>
      <c r="AE441" s="1"/>
      <c r="AG441" s="132"/>
      <c r="AH441" s="132"/>
      <c r="AI441" s="132"/>
      <c r="AJ441" s="132"/>
      <c r="AK441" s="132"/>
      <c r="AL441" s="132"/>
      <c r="AM441" s="132"/>
      <c r="AN441" s="132"/>
      <c r="AO441" s="132"/>
      <c r="AP441" s="132"/>
      <c r="AQ441" s="132"/>
      <c r="AR441" s="132"/>
      <c r="AS441" s="132"/>
      <c r="AT441" s="132"/>
      <c r="AU441" s="132"/>
      <c r="AV441" s="132"/>
    </row>
    <row r="442" spans="1:48" ht="15.75" customHeight="1">
      <c r="A442" s="132"/>
      <c r="B442" s="132"/>
      <c r="C442" s="132"/>
      <c r="D442" s="132"/>
      <c r="E442" s="132"/>
      <c r="F442" s="132"/>
      <c r="G442" s="132"/>
      <c r="H442" s="132"/>
      <c r="I442" s="132"/>
      <c r="J442" s="132"/>
      <c r="K442" s="132"/>
      <c r="L442" s="132"/>
      <c r="M442" s="1"/>
      <c r="N442" s="1"/>
      <c r="O442" s="132"/>
      <c r="P442" s="132"/>
      <c r="Q442" s="132"/>
      <c r="R442" s="132"/>
      <c r="S442" s="132"/>
      <c r="T442" s="132"/>
      <c r="U442" s="132"/>
      <c r="V442" s="132"/>
      <c r="W442" s="132"/>
      <c r="X442" s="132"/>
      <c r="Y442" s="132"/>
      <c r="Z442" s="132"/>
      <c r="AA442" s="132"/>
      <c r="AB442" s="132"/>
      <c r="AC442" s="132"/>
      <c r="AD442" s="132"/>
      <c r="AE442" s="1"/>
      <c r="AG442" s="132"/>
      <c r="AH442" s="132"/>
      <c r="AI442" s="132"/>
      <c r="AJ442" s="132"/>
      <c r="AK442" s="132"/>
      <c r="AL442" s="132"/>
      <c r="AM442" s="132"/>
      <c r="AN442" s="132"/>
      <c r="AO442" s="132"/>
      <c r="AP442" s="132"/>
      <c r="AQ442" s="132"/>
      <c r="AR442" s="132"/>
      <c r="AS442" s="132"/>
      <c r="AT442" s="132"/>
      <c r="AU442" s="132"/>
      <c r="AV442" s="132"/>
    </row>
    <row r="443" spans="1:48" ht="15.75" customHeight="1">
      <c r="A443" s="132"/>
      <c r="B443" s="132"/>
      <c r="C443" s="132"/>
      <c r="D443" s="132"/>
      <c r="E443" s="132"/>
      <c r="F443" s="132"/>
      <c r="G443" s="132"/>
      <c r="H443" s="132"/>
      <c r="I443" s="132"/>
      <c r="J443" s="132"/>
      <c r="K443" s="132"/>
      <c r="L443" s="132"/>
      <c r="M443" s="1"/>
      <c r="N443" s="1"/>
      <c r="O443" s="132"/>
      <c r="P443" s="132"/>
      <c r="Q443" s="132"/>
      <c r="R443" s="132"/>
      <c r="S443" s="132"/>
      <c r="T443" s="132"/>
      <c r="U443" s="132"/>
      <c r="V443" s="132"/>
      <c r="W443" s="132"/>
      <c r="X443" s="132"/>
      <c r="Y443" s="132"/>
      <c r="Z443" s="132"/>
      <c r="AA443" s="132"/>
      <c r="AB443" s="132"/>
      <c r="AC443" s="132"/>
      <c r="AD443" s="132"/>
      <c r="AE443" s="1"/>
      <c r="AG443" s="132"/>
      <c r="AH443" s="132"/>
      <c r="AI443" s="132"/>
      <c r="AJ443" s="132"/>
      <c r="AK443" s="132"/>
      <c r="AL443" s="132"/>
      <c r="AM443" s="132"/>
      <c r="AN443" s="132"/>
      <c r="AO443" s="132"/>
      <c r="AP443" s="132"/>
      <c r="AQ443" s="132"/>
      <c r="AR443" s="132"/>
      <c r="AS443" s="132"/>
      <c r="AT443" s="132"/>
      <c r="AU443" s="132"/>
      <c r="AV443" s="132"/>
    </row>
    <row r="444" spans="1:48" ht="15.75" customHeight="1">
      <c r="A444" s="132"/>
      <c r="B444" s="132"/>
      <c r="C444" s="132"/>
      <c r="D444" s="132"/>
      <c r="E444" s="132"/>
      <c r="F444" s="132"/>
      <c r="G444" s="132"/>
      <c r="H444" s="132"/>
      <c r="I444" s="132"/>
      <c r="J444" s="132"/>
      <c r="K444" s="132"/>
      <c r="L444" s="132"/>
      <c r="M444" s="1"/>
      <c r="N444" s="1"/>
      <c r="O444" s="132"/>
      <c r="P444" s="132"/>
      <c r="Q444" s="132"/>
      <c r="R444" s="132"/>
      <c r="S444" s="132"/>
      <c r="T444" s="132"/>
      <c r="U444" s="132"/>
      <c r="V444" s="132"/>
      <c r="W444" s="132"/>
      <c r="X444" s="132"/>
      <c r="Y444" s="132"/>
      <c r="Z444" s="132"/>
      <c r="AA444" s="132"/>
      <c r="AB444" s="132"/>
      <c r="AC444" s="132"/>
      <c r="AD444" s="132"/>
      <c r="AE444" s="1"/>
      <c r="AG444" s="132"/>
      <c r="AH444" s="132"/>
      <c r="AI444" s="132"/>
      <c r="AJ444" s="132"/>
      <c r="AK444" s="132"/>
      <c r="AL444" s="132"/>
      <c r="AM444" s="132"/>
      <c r="AN444" s="132"/>
      <c r="AO444" s="132"/>
      <c r="AP444" s="132"/>
      <c r="AQ444" s="132"/>
      <c r="AR444" s="132"/>
      <c r="AS444" s="132"/>
      <c r="AT444" s="132"/>
      <c r="AU444" s="132"/>
      <c r="AV444" s="132"/>
    </row>
    <row r="445" spans="1:48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</row>
    <row r="446" spans="1:48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48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1:31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1:31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1:31" ht="20.25" customHeight="1" thickBot="1">
      <c r="A451" s="140" t="s">
        <v>16</v>
      </c>
      <c r="B451" s="140"/>
      <c r="C451" s="140"/>
      <c r="D451" s="140"/>
      <c r="E451" s="140"/>
      <c r="F451" s="4"/>
      <c r="G451" s="5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1"/>
      <c r="Z451" s="1"/>
      <c r="AA451" s="1"/>
      <c r="AB451" s="1"/>
      <c r="AC451" s="1"/>
      <c r="AD451" s="1"/>
      <c r="AE451" s="1"/>
    </row>
    <row r="452" spans="1:31" ht="14.25" customHeight="1">
      <c r="A452" s="27"/>
      <c r="B452" s="26"/>
      <c r="C452" s="26"/>
      <c r="D452" s="26"/>
      <c r="E452" s="26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1:31" ht="15.75" customHeight="1">
      <c r="A453" s="146" t="s">
        <v>60</v>
      </c>
      <c r="B453" s="146"/>
      <c r="C453" s="146"/>
      <c r="D453" s="146"/>
      <c r="E453" s="146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1:31" ht="15.75" customHeight="1">
      <c r="A454" s="153" t="s">
        <v>57</v>
      </c>
      <c r="B454" s="153"/>
      <c r="C454" s="153"/>
      <c r="D454" s="153"/>
      <c r="E454" s="153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1:31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1:31" ht="15.75" customHeight="1">
      <c r="A456" s="30"/>
      <c r="B456" s="30"/>
      <c r="C456" s="30"/>
      <c r="D456" s="154" t="s">
        <v>118</v>
      </c>
      <c r="E456" s="155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31" ht="15.75" customHeight="1">
      <c r="A457" s="138" t="s">
        <v>117</v>
      </c>
      <c r="B457" s="138"/>
      <c r="C457" s="138"/>
      <c r="D457" s="136" t="s">
        <v>119</v>
      </c>
      <c r="E457" s="137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31" ht="15.75" customHeight="1">
      <c r="A458" s="138" t="s">
        <v>120</v>
      </c>
      <c r="B458" s="138"/>
      <c r="C458" s="138"/>
      <c r="D458" s="46"/>
      <c r="E458" s="47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31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1:31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1:31" ht="15.75" customHeight="1">
      <c r="A461" s="132"/>
      <c r="B461" s="132"/>
      <c r="C461" s="132"/>
      <c r="D461" s="132"/>
      <c r="E461" s="132"/>
      <c r="F461" s="132"/>
      <c r="G461" s="132"/>
      <c r="H461" s="132"/>
      <c r="I461" s="132"/>
      <c r="J461" s="132"/>
      <c r="K461" s="132"/>
      <c r="L461" s="132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1:31" ht="15.75" customHeight="1">
      <c r="A462" s="132"/>
      <c r="B462" s="132"/>
      <c r="C462" s="132"/>
      <c r="D462" s="132"/>
      <c r="E462" s="132"/>
      <c r="F462" s="132"/>
      <c r="G462" s="132"/>
      <c r="H462" s="132"/>
      <c r="I462" s="132"/>
      <c r="J462" s="132"/>
      <c r="K462" s="132"/>
      <c r="L462" s="132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1:31" ht="15.75" customHeight="1">
      <c r="A463" s="132"/>
      <c r="B463" s="132"/>
      <c r="C463" s="132"/>
      <c r="D463" s="132"/>
      <c r="E463" s="132"/>
      <c r="F463" s="132"/>
      <c r="G463" s="132"/>
      <c r="H463" s="132"/>
      <c r="I463" s="132"/>
      <c r="J463" s="132"/>
      <c r="K463" s="132"/>
      <c r="L463" s="132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1:31" ht="15.75" customHeight="1">
      <c r="A464" s="132"/>
      <c r="B464" s="132"/>
      <c r="C464" s="132"/>
      <c r="D464" s="132"/>
      <c r="E464" s="132"/>
      <c r="F464" s="132"/>
      <c r="G464" s="132"/>
      <c r="H464" s="132"/>
      <c r="I464" s="132"/>
      <c r="J464" s="132"/>
      <c r="K464" s="132"/>
      <c r="L464" s="132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1:31" ht="15.75" customHeight="1">
      <c r="A465" s="132"/>
      <c r="B465" s="132"/>
      <c r="C465" s="132"/>
      <c r="D465" s="132"/>
      <c r="E465" s="132"/>
      <c r="F465" s="132"/>
      <c r="G465" s="132"/>
      <c r="H465" s="132"/>
      <c r="I465" s="132"/>
      <c r="J465" s="132"/>
      <c r="K465" s="132"/>
      <c r="L465" s="132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1:31" ht="15.75" customHeight="1">
      <c r="A466" s="132"/>
      <c r="B466" s="132"/>
      <c r="C466" s="132"/>
      <c r="D466" s="132"/>
      <c r="E466" s="132"/>
      <c r="F466" s="132"/>
      <c r="G466" s="132"/>
      <c r="H466" s="132"/>
      <c r="I466" s="132"/>
      <c r="J466" s="132"/>
      <c r="K466" s="132"/>
      <c r="L466" s="132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1:31" ht="15.75" customHeight="1">
      <c r="A467" s="132"/>
      <c r="B467" s="132"/>
      <c r="C467" s="132"/>
      <c r="D467" s="132"/>
      <c r="E467" s="132"/>
      <c r="F467" s="132"/>
      <c r="G467" s="132"/>
      <c r="H467" s="132"/>
      <c r="I467" s="132"/>
      <c r="J467" s="132"/>
      <c r="K467" s="132"/>
      <c r="L467" s="132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1:31" ht="15.75" customHeight="1">
      <c r="A468" s="132"/>
      <c r="B468" s="132"/>
      <c r="C468" s="132"/>
      <c r="D468" s="132"/>
      <c r="E468" s="132"/>
      <c r="F468" s="132"/>
      <c r="G468" s="132"/>
      <c r="H468" s="132"/>
      <c r="I468" s="132"/>
      <c r="J468" s="132"/>
      <c r="K468" s="132"/>
      <c r="L468" s="132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1:31" ht="15.75" customHeight="1">
      <c r="A469" s="132"/>
      <c r="B469" s="132"/>
      <c r="C469" s="132"/>
      <c r="D469" s="132"/>
      <c r="E469" s="132"/>
      <c r="F469" s="132"/>
      <c r="G469" s="132"/>
      <c r="H469" s="132"/>
      <c r="I469" s="132"/>
      <c r="J469" s="132"/>
      <c r="K469" s="132"/>
      <c r="L469" s="132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1:31" ht="15.75" customHeight="1">
      <c r="A470" s="132"/>
      <c r="B470" s="132"/>
      <c r="C470" s="132"/>
      <c r="D470" s="132"/>
      <c r="E470" s="132"/>
      <c r="F470" s="132"/>
      <c r="G470" s="132"/>
      <c r="H470" s="132"/>
      <c r="I470" s="132"/>
      <c r="J470" s="132"/>
      <c r="K470" s="132"/>
      <c r="L470" s="132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1:31" ht="15.75" customHeight="1">
      <c r="A471" s="132"/>
      <c r="B471" s="132"/>
      <c r="C471" s="132"/>
      <c r="D471" s="132"/>
      <c r="E471" s="132"/>
      <c r="F471" s="132"/>
      <c r="G471" s="132"/>
      <c r="H471" s="132"/>
      <c r="I471" s="132"/>
      <c r="J471" s="132"/>
      <c r="K471" s="132"/>
      <c r="L471" s="132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1:31" ht="15.75" customHeight="1">
      <c r="A472" s="132"/>
      <c r="B472" s="132"/>
      <c r="C472" s="132"/>
      <c r="D472" s="132"/>
      <c r="E472" s="132"/>
      <c r="F472" s="132"/>
      <c r="G472" s="132"/>
      <c r="H472" s="132"/>
      <c r="I472" s="132"/>
      <c r="J472" s="132"/>
      <c r="K472" s="132"/>
      <c r="L472" s="132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1:31" ht="15.75" customHeight="1">
      <c r="A473" s="132"/>
      <c r="B473" s="132"/>
      <c r="C473" s="132"/>
      <c r="D473" s="132"/>
      <c r="E473" s="132"/>
      <c r="F473" s="132"/>
      <c r="G473" s="132"/>
      <c r="H473" s="132"/>
      <c r="I473" s="132"/>
      <c r="J473" s="132"/>
      <c r="K473" s="132"/>
      <c r="L473" s="132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1:31" ht="15.75" customHeight="1">
      <c r="A474" s="132"/>
      <c r="B474" s="132"/>
      <c r="C474" s="132"/>
      <c r="D474" s="132"/>
      <c r="E474" s="132"/>
      <c r="F474" s="132"/>
      <c r="G474" s="132"/>
      <c r="H474" s="132"/>
      <c r="I474" s="132"/>
      <c r="J474" s="132"/>
      <c r="K474" s="132"/>
      <c r="L474" s="132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1:31" ht="15.75" customHeight="1">
      <c r="A475" s="132"/>
      <c r="B475" s="132"/>
      <c r="C475" s="132"/>
      <c r="D475" s="132"/>
      <c r="E475" s="132"/>
      <c r="F475" s="132"/>
      <c r="G475" s="132"/>
      <c r="H475" s="132"/>
      <c r="I475" s="132"/>
      <c r="J475" s="132"/>
      <c r="K475" s="132"/>
      <c r="L475" s="132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1:31" ht="15.75" customHeight="1">
      <c r="A476" s="132"/>
      <c r="B476" s="132"/>
      <c r="C476" s="132"/>
      <c r="D476" s="132"/>
      <c r="E476" s="132"/>
      <c r="F476" s="132"/>
      <c r="G476" s="132"/>
      <c r="H476" s="132"/>
      <c r="I476" s="132"/>
      <c r="J476" s="132"/>
      <c r="K476" s="132"/>
      <c r="L476" s="132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1:31" ht="15.75" customHeight="1">
      <c r="A477" s="132"/>
      <c r="B477" s="132"/>
      <c r="C477" s="132"/>
      <c r="D477" s="132"/>
      <c r="E477" s="132"/>
      <c r="F477" s="132"/>
      <c r="G477" s="132"/>
      <c r="H477" s="132"/>
      <c r="I477" s="132"/>
      <c r="J477" s="132"/>
      <c r="K477" s="132"/>
      <c r="L477" s="132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1:31" ht="15.75" customHeight="1">
      <c r="A478" s="132"/>
      <c r="B478" s="132"/>
      <c r="C478" s="132"/>
      <c r="D478" s="132"/>
      <c r="E478" s="132"/>
      <c r="F478" s="132"/>
      <c r="G478" s="132"/>
      <c r="H478" s="132"/>
      <c r="I478" s="132"/>
      <c r="J478" s="132"/>
      <c r="K478" s="132"/>
      <c r="L478" s="132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1:31" ht="15.75" customHeight="1">
      <c r="A479" s="132"/>
      <c r="B479" s="132"/>
      <c r="C479" s="132"/>
      <c r="D479" s="132"/>
      <c r="E479" s="132"/>
      <c r="F479" s="132"/>
      <c r="G479" s="132"/>
      <c r="H479" s="132"/>
      <c r="I479" s="132"/>
      <c r="J479" s="132"/>
      <c r="K479" s="132"/>
      <c r="L479" s="132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1:31" ht="15.75" customHeight="1">
      <c r="A480" s="132"/>
      <c r="B480" s="132"/>
      <c r="C480" s="132"/>
      <c r="D480" s="132"/>
      <c r="E480" s="132"/>
      <c r="F480" s="132"/>
      <c r="G480" s="132"/>
      <c r="H480" s="132"/>
      <c r="I480" s="132"/>
      <c r="J480" s="132"/>
      <c r="K480" s="132"/>
      <c r="L480" s="132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1:31" ht="15.75" customHeight="1">
      <c r="A481" s="132"/>
      <c r="B481" s="132"/>
      <c r="C481" s="132"/>
      <c r="D481" s="132"/>
      <c r="E481" s="132"/>
      <c r="F481" s="132"/>
      <c r="G481" s="132"/>
      <c r="H481" s="132"/>
      <c r="I481" s="132"/>
      <c r="J481" s="132"/>
      <c r="K481" s="132"/>
      <c r="L481" s="132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1:31" ht="15.75" customHeight="1">
      <c r="A482" s="132"/>
      <c r="B482" s="132"/>
      <c r="C482" s="132"/>
      <c r="D482" s="132"/>
      <c r="E482" s="132"/>
      <c r="F482" s="132"/>
      <c r="G482" s="132"/>
      <c r="H482" s="132"/>
      <c r="I482" s="132"/>
      <c r="J482" s="132"/>
      <c r="K482" s="132"/>
      <c r="L482" s="132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1:31" ht="15.75" customHeight="1">
      <c r="A483" s="132"/>
      <c r="B483" s="132"/>
      <c r="C483" s="132"/>
      <c r="D483" s="132"/>
      <c r="E483" s="132"/>
      <c r="F483" s="132"/>
      <c r="G483" s="132"/>
      <c r="H483" s="132"/>
      <c r="I483" s="132"/>
      <c r="J483" s="132"/>
      <c r="K483" s="132"/>
      <c r="L483" s="132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1:31" ht="15.75" customHeight="1">
      <c r="A484" s="132"/>
      <c r="B484" s="132"/>
      <c r="C484" s="132"/>
      <c r="D484" s="132"/>
      <c r="E484" s="132"/>
      <c r="F484" s="132"/>
      <c r="G484" s="132"/>
      <c r="H484" s="132"/>
      <c r="I484" s="132"/>
      <c r="J484" s="132"/>
      <c r="K484" s="132"/>
      <c r="L484" s="132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1:31" ht="15.75" customHeight="1">
      <c r="A485" s="132"/>
      <c r="B485" s="132"/>
      <c r="C485" s="132"/>
      <c r="D485" s="132"/>
      <c r="E485" s="132"/>
      <c r="F485" s="132"/>
      <c r="G485" s="132"/>
      <c r="H485" s="132"/>
      <c r="I485" s="132"/>
      <c r="J485" s="132"/>
      <c r="K485" s="132"/>
      <c r="L485" s="132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1:31" ht="15.75" customHeight="1">
      <c r="A486" s="132"/>
      <c r="B486" s="132"/>
      <c r="C486" s="132"/>
      <c r="D486" s="132"/>
      <c r="E486" s="132"/>
      <c r="F486" s="132"/>
      <c r="G486" s="132"/>
      <c r="H486" s="132"/>
      <c r="I486" s="132"/>
      <c r="J486" s="132"/>
      <c r="K486" s="132"/>
      <c r="L486" s="132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1:31" ht="15.75" customHeight="1">
      <c r="A487" s="132"/>
      <c r="B487" s="132"/>
      <c r="C487" s="132"/>
      <c r="D487" s="132"/>
      <c r="E487" s="132"/>
      <c r="F487" s="132"/>
      <c r="G487" s="132"/>
      <c r="H487" s="132"/>
      <c r="I487" s="132"/>
      <c r="J487" s="132"/>
      <c r="K487" s="132"/>
      <c r="L487" s="132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1:31" ht="15.75" customHeight="1">
      <c r="A488" s="132"/>
      <c r="B488" s="132"/>
      <c r="C488" s="132"/>
      <c r="D488" s="132"/>
      <c r="E488" s="132"/>
      <c r="F488" s="132"/>
      <c r="G488" s="132"/>
      <c r="H488" s="132"/>
      <c r="I488" s="132"/>
      <c r="J488" s="132"/>
      <c r="K488" s="132"/>
      <c r="L488" s="132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1:31" ht="15.75" customHeight="1">
      <c r="A489" s="132"/>
      <c r="B489" s="132"/>
      <c r="C489" s="132"/>
      <c r="D489" s="132"/>
      <c r="E489" s="132"/>
      <c r="F489" s="132"/>
      <c r="G489" s="132"/>
      <c r="H489" s="132"/>
      <c r="I489" s="132"/>
      <c r="J489" s="132"/>
      <c r="K489" s="132"/>
      <c r="L489" s="132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1:31" ht="15.75" customHeight="1">
      <c r="A490" s="132"/>
      <c r="B490" s="132"/>
      <c r="C490" s="132"/>
      <c r="D490" s="132"/>
      <c r="E490" s="132"/>
      <c r="F490" s="132"/>
      <c r="G490" s="132"/>
      <c r="H490" s="132"/>
      <c r="I490" s="132"/>
      <c r="J490" s="132"/>
      <c r="K490" s="132"/>
      <c r="L490" s="132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1:31" ht="15.75" customHeight="1">
      <c r="A491" s="132"/>
      <c r="B491" s="132"/>
      <c r="C491" s="132"/>
      <c r="D491" s="132"/>
      <c r="E491" s="132"/>
      <c r="F491" s="132"/>
      <c r="G491" s="132"/>
      <c r="H491" s="132"/>
      <c r="I491" s="132"/>
      <c r="J491" s="132"/>
      <c r="K491" s="132"/>
      <c r="L491" s="132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1:31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1:31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1:31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1:31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1:31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1:31" ht="20.25" customHeight="1" thickBot="1">
      <c r="A497" s="140" t="s">
        <v>18</v>
      </c>
      <c r="B497" s="140"/>
      <c r="C497" s="140"/>
      <c r="D497" s="140"/>
      <c r="E497" s="140"/>
      <c r="F497" s="4"/>
      <c r="G497" s="5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1"/>
      <c r="Z497" s="1"/>
      <c r="AA497" s="1"/>
      <c r="AB497" s="1"/>
      <c r="AC497" s="1"/>
      <c r="AD497" s="1"/>
      <c r="AE497" s="1"/>
    </row>
    <row r="498" spans="1:31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1:31" ht="15.75" customHeight="1">
      <c r="A499" s="142" t="s">
        <v>56</v>
      </c>
      <c r="B499" s="142"/>
      <c r="C499" s="142"/>
      <c r="D499" s="25"/>
      <c r="E499" s="25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1:31" ht="15.75" customHeight="1">
      <c r="A500" s="143" t="s">
        <v>61</v>
      </c>
      <c r="B500" s="143"/>
      <c r="C500" s="143"/>
      <c r="D500" s="25"/>
      <c r="E500" s="25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1:31" ht="15.75" customHeight="1">
      <c r="A501" s="141" t="s">
        <v>62</v>
      </c>
      <c r="B501" s="141"/>
      <c r="C501" s="141"/>
      <c r="D501" s="25"/>
      <c r="E501" s="25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1:31" ht="15.75" customHeight="1">
      <c r="A502" s="139" t="s">
        <v>63</v>
      </c>
      <c r="B502" s="139"/>
      <c r="C502" s="139"/>
      <c r="D502" s="25"/>
      <c r="E502" s="25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1:31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1:31" ht="15.75" customHeight="1">
      <c r="A504" s="138" t="s">
        <v>127</v>
      </c>
      <c r="B504" s="138"/>
      <c r="C504" s="138"/>
      <c r="D504" s="33" t="s">
        <v>122</v>
      </c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1:31" ht="15.75" customHeight="1">
      <c r="A505" s="138" t="s">
        <v>124</v>
      </c>
      <c r="B505" s="138"/>
      <c r="C505" s="138"/>
      <c r="D505" s="34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1:31" ht="15.75" customHeight="1">
      <c r="A506" s="138" t="s">
        <v>125</v>
      </c>
      <c r="B506" s="138"/>
      <c r="C506" s="138"/>
      <c r="D506" s="34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1:31" ht="15.75" customHeight="1">
      <c r="A507" s="138" t="s">
        <v>47</v>
      </c>
      <c r="B507" s="138"/>
      <c r="C507" s="138"/>
      <c r="D507" s="34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1:31" ht="15.75" customHeight="1">
      <c r="A508" s="138" t="s">
        <v>126</v>
      </c>
      <c r="B508" s="138"/>
      <c r="C508" s="138"/>
      <c r="D508" s="34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09" spans="1:31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</row>
    <row r="510" spans="1:31" ht="15.75" customHeight="1">
      <c r="A510" s="131" t="s">
        <v>46</v>
      </c>
      <c r="B510" s="131"/>
      <c r="C510" s="131"/>
      <c r="D510" s="28"/>
      <c r="E510" s="28"/>
      <c r="F510" s="28"/>
      <c r="G510" s="28"/>
      <c r="H510" s="28"/>
      <c r="I510" s="28"/>
      <c r="K510" s="25"/>
      <c r="L510" s="25"/>
      <c r="M510" s="1"/>
      <c r="N510" s="1"/>
      <c r="O510" s="131" t="s">
        <v>64</v>
      </c>
      <c r="P510" s="131"/>
      <c r="Q510" s="131"/>
      <c r="R510" s="13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1:3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2" spans="1:31" ht="15.75" customHeight="1">
      <c r="A512" s="132"/>
      <c r="B512" s="132"/>
      <c r="C512" s="132"/>
      <c r="D512" s="132"/>
      <c r="E512" s="132"/>
      <c r="F512" s="132"/>
      <c r="G512" s="132"/>
      <c r="H512" s="132"/>
      <c r="I512" s="132"/>
      <c r="J512" s="132"/>
      <c r="K512" s="132"/>
      <c r="L512" s="132"/>
      <c r="M512" s="1"/>
      <c r="N512" s="1"/>
      <c r="O512" s="132"/>
      <c r="P512" s="132"/>
      <c r="Q512" s="132"/>
      <c r="R512" s="132"/>
      <c r="S512" s="132"/>
      <c r="T512" s="132"/>
      <c r="U512" s="132"/>
      <c r="V512" s="132"/>
      <c r="W512" s="132"/>
      <c r="X512" s="132"/>
      <c r="Y512" s="132"/>
      <c r="Z512" s="132"/>
      <c r="AA512" s="132"/>
      <c r="AB512" s="132"/>
      <c r="AC512" s="132"/>
      <c r="AD512" s="132"/>
      <c r="AE512" s="1"/>
    </row>
    <row r="513" spans="1:31" ht="15.75" customHeight="1">
      <c r="A513" s="132"/>
      <c r="B513" s="132"/>
      <c r="C513" s="132"/>
      <c r="D513" s="132"/>
      <c r="E513" s="132"/>
      <c r="F513" s="132"/>
      <c r="G513" s="132"/>
      <c r="H513" s="132"/>
      <c r="I513" s="132"/>
      <c r="J513" s="132"/>
      <c r="K513" s="132"/>
      <c r="L513" s="132"/>
      <c r="M513" s="1"/>
      <c r="N513" s="1"/>
      <c r="O513" s="132"/>
      <c r="P513" s="132"/>
      <c r="Q513" s="132"/>
      <c r="R513" s="132"/>
      <c r="S513" s="132"/>
      <c r="T513" s="132"/>
      <c r="U513" s="132"/>
      <c r="V513" s="132"/>
      <c r="W513" s="132"/>
      <c r="X513" s="132"/>
      <c r="Y513" s="132"/>
      <c r="Z513" s="132"/>
      <c r="AA513" s="132"/>
      <c r="AB513" s="132"/>
      <c r="AC513" s="132"/>
      <c r="AD513" s="132"/>
      <c r="AE513" s="1"/>
    </row>
    <row r="514" spans="1:31" ht="15.75" customHeight="1">
      <c r="A514" s="132"/>
      <c r="B514" s="132"/>
      <c r="C514" s="132"/>
      <c r="D514" s="132"/>
      <c r="E514" s="132"/>
      <c r="F514" s="132"/>
      <c r="G514" s="132"/>
      <c r="H514" s="132"/>
      <c r="I514" s="132"/>
      <c r="J514" s="132"/>
      <c r="K514" s="132"/>
      <c r="L514" s="132"/>
      <c r="M514" s="1"/>
      <c r="N514" s="1"/>
      <c r="O514" s="132"/>
      <c r="P514" s="132"/>
      <c r="Q514" s="132"/>
      <c r="R514" s="132"/>
      <c r="S514" s="132"/>
      <c r="T514" s="132"/>
      <c r="U514" s="132"/>
      <c r="V514" s="132"/>
      <c r="W514" s="132"/>
      <c r="X514" s="132"/>
      <c r="Y514" s="132"/>
      <c r="Z514" s="132"/>
      <c r="AA514" s="132"/>
      <c r="AB514" s="132"/>
      <c r="AC514" s="132"/>
      <c r="AD514" s="132"/>
      <c r="AE514" s="1"/>
    </row>
    <row r="515" spans="1:31" ht="15.75" customHeight="1">
      <c r="A515" s="132"/>
      <c r="B515" s="132"/>
      <c r="C515" s="132"/>
      <c r="D515" s="132"/>
      <c r="E515" s="132"/>
      <c r="F515" s="132"/>
      <c r="G515" s="132"/>
      <c r="H515" s="132"/>
      <c r="I515" s="132"/>
      <c r="J515" s="132"/>
      <c r="K515" s="132"/>
      <c r="L515" s="132"/>
      <c r="M515" s="1"/>
      <c r="N515" s="1"/>
      <c r="O515" s="132"/>
      <c r="P515" s="132"/>
      <c r="Q515" s="132"/>
      <c r="R515" s="132"/>
      <c r="S515" s="132"/>
      <c r="T515" s="132"/>
      <c r="U515" s="132"/>
      <c r="V515" s="132"/>
      <c r="W515" s="132"/>
      <c r="X515" s="132"/>
      <c r="Y515" s="132"/>
      <c r="Z515" s="132"/>
      <c r="AA515" s="132"/>
      <c r="AB515" s="132"/>
      <c r="AC515" s="132"/>
      <c r="AD515" s="132"/>
      <c r="AE515" s="1"/>
    </row>
    <row r="516" spans="1:31" ht="15.75" customHeight="1">
      <c r="A516" s="132"/>
      <c r="B516" s="132"/>
      <c r="C516" s="132"/>
      <c r="D516" s="132"/>
      <c r="E516" s="132"/>
      <c r="F516" s="132"/>
      <c r="G516" s="132"/>
      <c r="H516" s="132"/>
      <c r="I516" s="132"/>
      <c r="J516" s="132"/>
      <c r="K516" s="132"/>
      <c r="L516" s="132"/>
      <c r="M516" s="1"/>
      <c r="N516" s="1"/>
      <c r="O516" s="132"/>
      <c r="P516" s="132"/>
      <c r="Q516" s="132"/>
      <c r="R516" s="132"/>
      <c r="S516" s="132"/>
      <c r="T516" s="132"/>
      <c r="U516" s="132"/>
      <c r="V516" s="132"/>
      <c r="W516" s="132"/>
      <c r="X516" s="132"/>
      <c r="Y516" s="132"/>
      <c r="Z516" s="132"/>
      <c r="AA516" s="132"/>
      <c r="AB516" s="132"/>
      <c r="AC516" s="132"/>
      <c r="AD516" s="132"/>
      <c r="AE516" s="1"/>
    </row>
    <row r="517" spans="1:31" ht="15.75" customHeight="1">
      <c r="A517" s="132"/>
      <c r="B517" s="132"/>
      <c r="C517" s="132"/>
      <c r="D517" s="132"/>
      <c r="E517" s="132"/>
      <c r="F517" s="132"/>
      <c r="G517" s="132"/>
      <c r="H517" s="132"/>
      <c r="I517" s="132"/>
      <c r="J517" s="132"/>
      <c r="K517" s="132"/>
      <c r="L517" s="132"/>
      <c r="M517" s="1"/>
      <c r="N517" s="1"/>
      <c r="O517" s="132"/>
      <c r="P517" s="132"/>
      <c r="Q517" s="132"/>
      <c r="R517" s="132"/>
      <c r="S517" s="132"/>
      <c r="T517" s="132"/>
      <c r="U517" s="132"/>
      <c r="V517" s="132"/>
      <c r="W517" s="132"/>
      <c r="X517" s="132"/>
      <c r="Y517" s="132"/>
      <c r="Z517" s="132"/>
      <c r="AA517" s="132"/>
      <c r="AB517" s="132"/>
      <c r="AC517" s="132"/>
      <c r="AD517" s="132"/>
      <c r="AE517" s="1"/>
    </row>
    <row r="518" spans="1:31" ht="15.75" customHeight="1">
      <c r="A518" s="132"/>
      <c r="B518" s="132"/>
      <c r="C518" s="132"/>
      <c r="D518" s="132"/>
      <c r="E518" s="132"/>
      <c r="F518" s="132"/>
      <c r="G518" s="132"/>
      <c r="H518" s="132"/>
      <c r="I518" s="132"/>
      <c r="J518" s="132"/>
      <c r="K518" s="132"/>
      <c r="L518" s="132"/>
      <c r="M518" s="1"/>
      <c r="N518" s="1"/>
      <c r="O518" s="132"/>
      <c r="P518" s="132"/>
      <c r="Q518" s="132"/>
      <c r="R518" s="132"/>
      <c r="S518" s="132"/>
      <c r="T518" s="132"/>
      <c r="U518" s="132"/>
      <c r="V518" s="132"/>
      <c r="W518" s="132"/>
      <c r="X518" s="132"/>
      <c r="Y518" s="132"/>
      <c r="Z518" s="132"/>
      <c r="AA518" s="132"/>
      <c r="AB518" s="132"/>
      <c r="AC518" s="132"/>
      <c r="AD518" s="132"/>
      <c r="AE518" s="1"/>
    </row>
    <row r="519" spans="1:31" ht="15.75" customHeight="1">
      <c r="A519" s="132"/>
      <c r="B519" s="132"/>
      <c r="C519" s="132"/>
      <c r="D519" s="132"/>
      <c r="E519" s="132"/>
      <c r="F519" s="132"/>
      <c r="G519" s="132"/>
      <c r="H519" s="132"/>
      <c r="I519" s="132"/>
      <c r="J519" s="132"/>
      <c r="K519" s="132"/>
      <c r="L519" s="132"/>
      <c r="M519" s="1"/>
      <c r="N519" s="1"/>
      <c r="O519" s="132"/>
      <c r="P519" s="132"/>
      <c r="Q519" s="132"/>
      <c r="R519" s="132"/>
      <c r="S519" s="132"/>
      <c r="T519" s="132"/>
      <c r="U519" s="132"/>
      <c r="V519" s="132"/>
      <c r="W519" s="132"/>
      <c r="X519" s="132"/>
      <c r="Y519" s="132"/>
      <c r="Z519" s="132"/>
      <c r="AA519" s="132"/>
      <c r="AB519" s="132"/>
      <c r="AC519" s="132"/>
      <c r="AD519" s="132"/>
      <c r="AE519" s="1"/>
    </row>
    <row r="520" spans="1:31" ht="15.75" customHeight="1">
      <c r="A520" s="132"/>
      <c r="B520" s="132"/>
      <c r="C520" s="132"/>
      <c r="D520" s="132"/>
      <c r="E520" s="132"/>
      <c r="F520" s="132"/>
      <c r="G520" s="132"/>
      <c r="H520" s="132"/>
      <c r="I520" s="132"/>
      <c r="J520" s="132"/>
      <c r="K520" s="132"/>
      <c r="L520" s="132"/>
      <c r="M520" s="1"/>
      <c r="N520" s="1"/>
      <c r="O520" s="132"/>
      <c r="P520" s="132"/>
      <c r="Q520" s="132"/>
      <c r="R520" s="132"/>
      <c r="S520" s="132"/>
      <c r="T520" s="132"/>
      <c r="U520" s="132"/>
      <c r="V520" s="132"/>
      <c r="W520" s="132"/>
      <c r="X520" s="132"/>
      <c r="Y520" s="132"/>
      <c r="Z520" s="132"/>
      <c r="AA520" s="132"/>
      <c r="AB520" s="132"/>
      <c r="AC520" s="132"/>
      <c r="AD520" s="132"/>
      <c r="AE520" s="1"/>
    </row>
    <row r="521" spans="1:31" ht="15.75" customHeight="1">
      <c r="A521" s="132"/>
      <c r="B521" s="132"/>
      <c r="C521" s="132"/>
      <c r="D521" s="132"/>
      <c r="E521" s="132"/>
      <c r="F521" s="132"/>
      <c r="G521" s="132"/>
      <c r="H521" s="132"/>
      <c r="I521" s="132"/>
      <c r="J521" s="132"/>
      <c r="K521" s="132"/>
      <c r="L521" s="132"/>
      <c r="M521" s="1"/>
      <c r="N521" s="1"/>
      <c r="O521" s="132"/>
      <c r="P521" s="132"/>
      <c r="Q521" s="132"/>
      <c r="R521" s="132"/>
      <c r="S521" s="132"/>
      <c r="T521" s="132"/>
      <c r="U521" s="132"/>
      <c r="V521" s="132"/>
      <c r="W521" s="132"/>
      <c r="X521" s="132"/>
      <c r="Y521" s="132"/>
      <c r="Z521" s="132"/>
      <c r="AA521" s="132"/>
      <c r="AB521" s="132"/>
      <c r="AC521" s="132"/>
      <c r="AD521" s="132"/>
      <c r="AE521" s="1"/>
    </row>
    <row r="522" spans="1:31" ht="15.75" customHeight="1">
      <c r="A522" s="132"/>
      <c r="B522" s="132"/>
      <c r="C522" s="132"/>
      <c r="D522" s="132"/>
      <c r="E522" s="132"/>
      <c r="F522" s="132"/>
      <c r="G522" s="132"/>
      <c r="H522" s="132"/>
      <c r="I522" s="132"/>
      <c r="J522" s="132"/>
      <c r="K522" s="132"/>
      <c r="L522" s="132"/>
      <c r="M522" s="1"/>
      <c r="N522" s="1"/>
      <c r="O522" s="132"/>
      <c r="P522" s="132"/>
      <c r="Q522" s="132"/>
      <c r="R522" s="132"/>
      <c r="S522" s="132"/>
      <c r="T522" s="132"/>
      <c r="U522" s="132"/>
      <c r="V522" s="132"/>
      <c r="W522" s="132"/>
      <c r="X522" s="132"/>
      <c r="Y522" s="132"/>
      <c r="Z522" s="132"/>
      <c r="AA522" s="132"/>
      <c r="AB522" s="132"/>
      <c r="AC522" s="132"/>
      <c r="AD522" s="132"/>
      <c r="AE522" s="1"/>
    </row>
    <row r="523" spans="1:31" ht="15.75" customHeight="1">
      <c r="A523" s="132"/>
      <c r="B523" s="132"/>
      <c r="C523" s="132"/>
      <c r="D523" s="132"/>
      <c r="E523" s="132"/>
      <c r="F523" s="132"/>
      <c r="G523" s="132"/>
      <c r="H523" s="132"/>
      <c r="I523" s="132"/>
      <c r="J523" s="132"/>
      <c r="K523" s="132"/>
      <c r="L523" s="132"/>
      <c r="M523" s="1"/>
      <c r="N523" s="1"/>
      <c r="O523" s="132"/>
      <c r="P523" s="132"/>
      <c r="Q523" s="132"/>
      <c r="R523" s="132"/>
      <c r="S523" s="132"/>
      <c r="T523" s="132"/>
      <c r="U523" s="132"/>
      <c r="V523" s="132"/>
      <c r="W523" s="132"/>
      <c r="X523" s="132"/>
      <c r="Y523" s="132"/>
      <c r="Z523" s="132"/>
      <c r="AA523" s="132"/>
      <c r="AB523" s="132"/>
      <c r="AC523" s="132"/>
      <c r="AD523" s="132"/>
      <c r="AE523" s="1"/>
    </row>
    <row r="524" spans="1:31" ht="15.75" customHeight="1">
      <c r="A524" s="132"/>
      <c r="B524" s="132"/>
      <c r="C524" s="132"/>
      <c r="D524" s="132"/>
      <c r="E524" s="132"/>
      <c r="F524" s="132"/>
      <c r="G524" s="132"/>
      <c r="H524" s="132"/>
      <c r="I524" s="132"/>
      <c r="J524" s="132"/>
      <c r="K524" s="132"/>
      <c r="L524" s="132"/>
      <c r="M524" s="1"/>
      <c r="N524" s="1"/>
      <c r="O524" s="132"/>
      <c r="P524" s="132"/>
      <c r="Q524" s="132"/>
      <c r="R524" s="132"/>
      <c r="S524" s="132"/>
      <c r="T524" s="132"/>
      <c r="U524" s="132"/>
      <c r="V524" s="132"/>
      <c r="W524" s="132"/>
      <c r="X524" s="132"/>
      <c r="Y524" s="132"/>
      <c r="Z524" s="132"/>
      <c r="AA524" s="132"/>
      <c r="AB524" s="132"/>
      <c r="AC524" s="132"/>
      <c r="AD524" s="132"/>
      <c r="AE524" s="1"/>
    </row>
    <row r="525" spans="1:31" ht="15.75" customHeight="1">
      <c r="A525" s="132"/>
      <c r="B525" s="132"/>
      <c r="C525" s="132"/>
      <c r="D525" s="132"/>
      <c r="E525" s="132"/>
      <c r="F525" s="132"/>
      <c r="G525" s="132"/>
      <c r="H525" s="132"/>
      <c r="I525" s="132"/>
      <c r="J525" s="132"/>
      <c r="K525" s="132"/>
      <c r="L525" s="132"/>
      <c r="M525" s="1"/>
      <c r="N525" s="1"/>
      <c r="O525" s="132"/>
      <c r="P525" s="132"/>
      <c r="Q525" s="132"/>
      <c r="R525" s="132"/>
      <c r="S525" s="132"/>
      <c r="T525" s="132"/>
      <c r="U525" s="132"/>
      <c r="V525" s="132"/>
      <c r="W525" s="132"/>
      <c r="X525" s="132"/>
      <c r="Y525" s="132"/>
      <c r="Z525" s="132"/>
      <c r="AA525" s="132"/>
      <c r="AB525" s="132"/>
      <c r="AC525" s="132"/>
      <c r="AD525" s="132"/>
      <c r="AE525" s="1"/>
    </row>
    <row r="526" spans="1:31" ht="15.75" customHeight="1">
      <c r="A526" s="132"/>
      <c r="B526" s="132"/>
      <c r="C526" s="132"/>
      <c r="D526" s="132"/>
      <c r="E526" s="132"/>
      <c r="F526" s="132"/>
      <c r="G526" s="132"/>
      <c r="H526" s="132"/>
      <c r="I526" s="132"/>
      <c r="J526" s="132"/>
      <c r="K526" s="132"/>
      <c r="L526" s="132"/>
      <c r="M526" s="1"/>
      <c r="N526" s="1"/>
      <c r="O526" s="132"/>
      <c r="P526" s="132"/>
      <c r="Q526" s="132"/>
      <c r="R526" s="132"/>
      <c r="S526" s="132"/>
      <c r="T526" s="132"/>
      <c r="U526" s="132"/>
      <c r="V526" s="132"/>
      <c r="W526" s="132"/>
      <c r="X526" s="132"/>
      <c r="Y526" s="132"/>
      <c r="Z526" s="132"/>
      <c r="AA526" s="132"/>
      <c r="AB526" s="132"/>
      <c r="AC526" s="132"/>
      <c r="AD526" s="132"/>
      <c r="AE526" s="1"/>
    </row>
    <row r="527" spans="1:31" ht="15.75" customHeight="1">
      <c r="A527" s="132"/>
      <c r="B527" s="132"/>
      <c r="C527" s="132"/>
      <c r="D527" s="132"/>
      <c r="E527" s="132"/>
      <c r="F527" s="132"/>
      <c r="G527" s="132"/>
      <c r="H527" s="132"/>
      <c r="I527" s="132"/>
      <c r="J527" s="132"/>
      <c r="K527" s="132"/>
      <c r="L527" s="132"/>
      <c r="M527" s="1"/>
      <c r="N527" s="1"/>
      <c r="O527" s="132"/>
      <c r="P527" s="132"/>
      <c r="Q527" s="132"/>
      <c r="R527" s="132"/>
      <c r="S527" s="132"/>
      <c r="T527" s="132"/>
      <c r="U527" s="132"/>
      <c r="V527" s="132"/>
      <c r="W527" s="132"/>
      <c r="X527" s="132"/>
      <c r="Y527" s="132"/>
      <c r="Z527" s="132"/>
      <c r="AA527" s="132"/>
      <c r="AB527" s="132"/>
      <c r="AC527" s="132"/>
      <c r="AD527" s="132"/>
      <c r="AE527" s="1"/>
    </row>
    <row r="528" spans="1:31" ht="15.75" customHeight="1">
      <c r="A528" s="132"/>
      <c r="B528" s="132"/>
      <c r="C528" s="132"/>
      <c r="D528" s="132"/>
      <c r="E528" s="132"/>
      <c r="F528" s="132"/>
      <c r="G528" s="132"/>
      <c r="H528" s="132"/>
      <c r="I528" s="132"/>
      <c r="J528" s="132"/>
      <c r="K528" s="132"/>
      <c r="L528" s="132"/>
      <c r="M528" s="1"/>
      <c r="N528" s="1"/>
      <c r="O528" s="132"/>
      <c r="P528" s="132"/>
      <c r="Q528" s="132"/>
      <c r="R528" s="132"/>
      <c r="S528" s="132"/>
      <c r="T528" s="132"/>
      <c r="U528" s="132"/>
      <c r="V528" s="132"/>
      <c r="W528" s="132"/>
      <c r="X528" s="132"/>
      <c r="Y528" s="132"/>
      <c r="Z528" s="132"/>
      <c r="AA528" s="132"/>
      <c r="AB528" s="132"/>
      <c r="AC528" s="132"/>
      <c r="AD528" s="132"/>
      <c r="AE528" s="1"/>
    </row>
    <row r="529" spans="1:31" ht="15.75" customHeight="1">
      <c r="A529" s="132"/>
      <c r="B529" s="132"/>
      <c r="C529" s="132"/>
      <c r="D529" s="132"/>
      <c r="E529" s="132"/>
      <c r="F529" s="132"/>
      <c r="G529" s="132"/>
      <c r="H529" s="132"/>
      <c r="I529" s="132"/>
      <c r="J529" s="132"/>
      <c r="K529" s="132"/>
      <c r="L529" s="132"/>
      <c r="M529" s="1"/>
      <c r="N529" s="1"/>
      <c r="O529" s="132"/>
      <c r="P529" s="132"/>
      <c r="Q529" s="132"/>
      <c r="R529" s="132"/>
      <c r="S529" s="132"/>
      <c r="T529" s="132"/>
      <c r="U529" s="132"/>
      <c r="V529" s="132"/>
      <c r="W529" s="132"/>
      <c r="X529" s="132"/>
      <c r="Y529" s="132"/>
      <c r="Z529" s="132"/>
      <c r="AA529" s="132"/>
      <c r="AB529" s="132"/>
      <c r="AC529" s="132"/>
      <c r="AD529" s="132"/>
      <c r="AE529" s="1"/>
    </row>
    <row r="530" spans="1:31" ht="15.75" customHeight="1">
      <c r="A530" s="132"/>
      <c r="B530" s="132"/>
      <c r="C530" s="132"/>
      <c r="D530" s="132"/>
      <c r="E530" s="132"/>
      <c r="F530" s="132"/>
      <c r="G530" s="132"/>
      <c r="H530" s="132"/>
      <c r="I530" s="132"/>
      <c r="J530" s="132"/>
      <c r="K530" s="132"/>
      <c r="L530" s="132"/>
      <c r="M530" s="1"/>
      <c r="N530" s="1"/>
      <c r="O530" s="132"/>
      <c r="P530" s="132"/>
      <c r="Q530" s="132"/>
      <c r="R530" s="132"/>
      <c r="S530" s="132"/>
      <c r="T530" s="132"/>
      <c r="U530" s="132"/>
      <c r="V530" s="132"/>
      <c r="W530" s="132"/>
      <c r="X530" s="132"/>
      <c r="Y530" s="132"/>
      <c r="Z530" s="132"/>
      <c r="AA530" s="132"/>
      <c r="AB530" s="132"/>
      <c r="AC530" s="132"/>
      <c r="AD530" s="132"/>
      <c r="AE530" s="1"/>
    </row>
    <row r="531" spans="1:31" ht="15.75" customHeight="1">
      <c r="A531" s="132"/>
      <c r="B531" s="132"/>
      <c r="C531" s="132"/>
      <c r="D531" s="132"/>
      <c r="E531" s="132"/>
      <c r="F531" s="132"/>
      <c r="G531" s="132"/>
      <c r="H531" s="132"/>
      <c r="I531" s="132"/>
      <c r="J531" s="132"/>
      <c r="K531" s="132"/>
      <c r="L531" s="132"/>
      <c r="M531" s="1"/>
      <c r="N531" s="1"/>
      <c r="O531" s="132"/>
      <c r="P531" s="132"/>
      <c r="Q531" s="132"/>
      <c r="R531" s="132"/>
      <c r="S531" s="132"/>
      <c r="T531" s="132"/>
      <c r="U531" s="132"/>
      <c r="V531" s="132"/>
      <c r="W531" s="132"/>
      <c r="X531" s="132"/>
      <c r="Y531" s="132"/>
      <c r="Z531" s="132"/>
      <c r="AA531" s="132"/>
      <c r="AB531" s="132"/>
      <c r="AC531" s="132"/>
      <c r="AD531" s="132"/>
      <c r="AE531" s="1"/>
    </row>
    <row r="532" spans="1:31" ht="15.75" customHeight="1">
      <c r="A532" s="132"/>
      <c r="B532" s="132"/>
      <c r="C532" s="132"/>
      <c r="D532" s="132"/>
      <c r="E532" s="132"/>
      <c r="F532" s="132"/>
      <c r="G532" s="132"/>
      <c r="H532" s="132"/>
      <c r="I532" s="132"/>
      <c r="J532" s="132"/>
      <c r="K532" s="132"/>
      <c r="L532" s="132"/>
      <c r="M532" s="1"/>
      <c r="N532" s="1"/>
      <c r="O532" s="132"/>
      <c r="P532" s="132"/>
      <c r="Q532" s="132"/>
      <c r="R532" s="132"/>
      <c r="S532" s="132"/>
      <c r="T532" s="132"/>
      <c r="U532" s="132"/>
      <c r="V532" s="132"/>
      <c r="W532" s="132"/>
      <c r="X532" s="132"/>
      <c r="Y532" s="132"/>
      <c r="Z532" s="132"/>
      <c r="AA532" s="132"/>
      <c r="AB532" s="132"/>
      <c r="AC532" s="132"/>
      <c r="AD532" s="132"/>
      <c r="AE532" s="1"/>
    </row>
    <row r="533" spans="1:31" ht="15.75" customHeight="1">
      <c r="A533" s="132"/>
      <c r="B533" s="132"/>
      <c r="C533" s="132"/>
      <c r="D533" s="132"/>
      <c r="E533" s="132"/>
      <c r="F533" s="132"/>
      <c r="G533" s="132"/>
      <c r="H533" s="132"/>
      <c r="I533" s="132"/>
      <c r="J533" s="132"/>
      <c r="K533" s="132"/>
      <c r="L533" s="132"/>
      <c r="M533" s="1"/>
      <c r="N533" s="1"/>
      <c r="O533" s="132"/>
      <c r="P533" s="132"/>
      <c r="Q533" s="132"/>
      <c r="R533" s="132"/>
      <c r="S533" s="132"/>
      <c r="T533" s="132"/>
      <c r="U533" s="132"/>
      <c r="V533" s="132"/>
      <c r="W533" s="132"/>
      <c r="X533" s="132"/>
      <c r="Y533" s="132"/>
      <c r="Z533" s="132"/>
      <c r="AA533" s="132"/>
      <c r="AB533" s="132"/>
      <c r="AC533" s="132"/>
      <c r="AD533" s="132"/>
      <c r="AE533" s="1"/>
    </row>
    <row r="534" spans="1:31" ht="15.75" customHeight="1">
      <c r="A534" s="132"/>
      <c r="B534" s="132"/>
      <c r="C534" s="132"/>
      <c r="D534" s="132"/>
      <c r="E534" s="132"/>
      <c r="F534" s="132"/>
      <c r="G534" s="132"/>
      <c r="H534" s="132"/>
      <c r="I534" s="132"/>
      <c r="J534" s="132"/>
      <c r="K534" s="132"/>
      <c r="L534" s="132"/>
      <c r="M534" s="1"/>
      <c r="N534" s="1"/>
      <c r="O534" s="132"/>
      <c r="P534" s="132"/>
      <c r="Q534" s="132"/>
      <c r="R534" s="132"/>
      <c r="S534" s="132"/>
      <c r="T534" s="132"/>
      <c r="U534" s="132"/>
      <c r="V534" s="132"/>
      <c r="W534" s="132"/>
      <c r="X534" s="132"/>
      <c r="Y534" s="132"/>
      <c r="Z534" s="132"/>
      <c r="AA534" s="132"/>
      <c r="AB534" s="132"/>
      <c r="AC534" s="132"/>
      <c r="AD534" s="132"/>
      <c r="AE534" s="1"/>
    </row>
    <row r="535" spans="1:31" ht="15.75" customHeight="1">
      <c r="A535" s="132"/>
      <c r="B535" s="132"/>
      <c r="C535" s="132"/>
      <c r="D535" s="132"/>
      <c r="E535" s="132"/>
      <c r="F535" s="132"/>
      <c r="G535" s="132"/>
      <c r="H535" s="132"/>
      <c r="I535" s="132"/>
      <c r="J535" s="132"/>
      <c r="K535" s="132"/>
      <c r="L535" s="132"/>
      <c r="M535" s="1"/>
      <c r="N535" s="1"/>
      <c r="O535" s="132"/>
      <c r="P535" s="132"/>
      <c r="Q535" s="132"/>
      <c r="R535" s="132"/>
      <c r="S535" s="132"/>
      <c r="T535" s="132"/>
      <c r="U535" s="132"/>
      <c r="V535" s="132"/>
      <c r="W535" s="132"/>
      <c r="X535" s="132"/>
      <c r="Y535" s="132"/>
      <c r="Z535" s="132"/>
      <c r="AA535" s="132"/>
      <c r="AB535" s="132"/>
      <c r="AC535" s="132"/>
      <c r="AD535" s="132"/>
      <c r="AE535" s="1"/>
    </row>
    <row r="536" spans="1:31" ht="15.75" customHeight="1">
      <c r="A536" s="132"/>
      <c r="B536" s="132"/>
      <c r="C536" s="132"/>
      <c r="D536" s="132"/>
      <c r="E536" s="132"/>
      <c r="F536" s="132"/>
      <c r="G536" s="132"/>
      <c r="H536" s="132"/>
      <c r="I536" s="132"/>
      <c r="J536" s="132"/>
      <c r="K536" s="132"/>
      <c r="L536" s="132"/>
      <c r="M536" s="1"/>
      <c r="N536" s="1"/>
      <c r="O536" s="132"/>
      <c r="P536" s="132"/>
      <c r="Q536" s="132"/>
      <c r="R536" s="132"/>
      <c r="S536" s="132"/>
      <c r="T536" s="132"/>
      <c r="U536" s="132"/>
      <c r="V536" s="132"/>
      <c r="W536" s="132"/>
      <c r="X536" s="132"/>
      <c r="Y536" s="132"/>
      <c r="Z536" s="132"/>
      <c r="AA536" s="132"/>
      <c r="AB536" s="132"/>
      <c r="AC536" s="132"/>
      <c r="AD536" s="132"/>
      <c r="AE536" s="1"/>
    </row>
    <row r="537" spans="1:31" ht="15.75" customHeight="1">
      <c r="A537" s="132"/>
      <c r="B537" s="132"/>
      <c r="C537" s="132"/>
      <c r="D537" s="132"/>
      <c r="E537" s="132"/>
      <c r="F537" s="132"/>
      <c r="G537" s="132"/>
      <c r="H537" s="132"/>
      <c r="I537" s="132"/>
      <c r="J537" s="132"/>
      <c r="K537" s="132"/>
      <c r="L537" s="132"/>
      <c r="M537" s="1"/>
      <c r="N537" s="1"/>
      <c r="O537" s="132"/>
      <c r="P537" s="132"/>
      <c r="Q537" s="132"/>
      <c r="R537" s="132"/>
      <c r="S537" s="132"/>
      <c r="T537" s="132"/>
      <c r="U537" s="132"/>
      <c r="V537" s="132"/>
      <c r="W537" s="132"/>
      <c r="X537" s="132"/>
      <c r="Y537" s="132"/>
      <c r="Z537" s="132"/>
      <c r="AA537" s="132"/>
      <c r="AB537" s="132"/>
      <c r="AC537" s="132"/>
      <c r="AD537" s="132"/>
      <c r="AE537" s="1"/>
    </row>
    <row r="538" spans="1:31" ht="15.75" customHeight="1">
      <c r="A538" s="132"/>
      <c r="B538" s="132"/>
      <c r="C538" s="132"/>
      <c r="D538" s="132"/>
      <c r="E538" s="132"/>
      <c r="F538" s="132"/>
      <c r="G538" s="132"/>
      <c r="H538" s="132"/>
      <c r="I538" s="132"/>
      <c r="J538" s="132"/>
      <c r="K538" s="132"/>
      <c r="L538" s="132"/>
      <c r="M538" s="1"/>
      <c r="N538" s="1"/>
      <c r="O538" s="132"/>
      <c r="P538" s="132"/>
      <c r="Q538" s="132"/>
      <c r="R538" s="132"/>
      <c r="S538" s="132"/>
      <c r="T538" s="132"/>
      <c r="U538" s="132"/>
      <c r="V538" s="132"/>
      <c r="W538" s="132"/>
      <c r="X538" s="132"/>
      <c r="Y538" s="132"/>
      <c r="Z538" s="132"/>
      <c r="AA538" s="132"/>
      <c r="AB538" s="132"/>
      <c r="AC538" s="132"/>
      <c r="AD538" s="132"/>
      <c r="AE538" s="1"/>
    </row>
    <row r="539" spans="1:31" ht="15.75" customHeight="1">
      <c r="A539" s="132"/>
      <c r="B539" s="132"/>
      <c r="C539" s="132"/>
      <c r="D539" s="132"/>
      <c r="E539" s="132"/>
      <c r="F539" s="132"/>
      <c r="G539" s="132"/>
      <c r="H539" s="132"/>
      <c r="I539" s="132"/>
      <c r="J539" s="132"/>
      <c r="K539" s="132"/>
      <c r="L539" s="132"/>
      <c r="M539" s="1"/>
      <c r="N539" s="1"/>
      <c r="O539" s="132"/>
      <c r="P539" s="132"/>
      <c r="Q539" s="132"/>
      <c r="R539" s="132"/>
      <c r="S539" s="132"/>
      <c r="T539" s="132"/>
      <c r="U539" s="132"/>
      <c r="V539" s="132"/>
      <c r="W539" s="132"/>
      <c r="X539" s="132"/>
      <c r="Y539" s="132"/>
      <c r="Z539" s="132"/>
      <c r="AA539" s="132"/>
      <c r="AB539" s="132"/>
      <c r="AC539" s="132"/>
      <c r="AD539" s="132"/>
      <c r="AE539" s="1"/>
    </row>
    <row r="540" spans="1:31" ht="15.75" customHeight="1">
      <c r="A540" s="132"/>
      <c r="B540" s="132"/>
      <c r="C540" s="132"/>
      <c r="D540" s="132"/>
      <c r="E540" s="132"/>
      <c r="F540" s="132"/>
      <c r="G540" s="132"/>
      <c r="H540" s="132"/>
      <c r="I540" s="132"/>
      <c r="J540" s="132"/>
      <c r="K540" s="132"/>
      <c r="L540" s="132"/>
      <c r="M540" s="1"/>
      <c r="N540" s="1"/>
      <c r="O540" s="132"/>
      <c r="P540" s="132"/>
      <c r="Q540" s="132"/>
      <c r="R540" s="132"/>
      <c r="S540" s="132"/>
      <c r="T540" s="132"/>
      <c r="U540" s="132"/>
      <c r="V540" s="132"/>
      <c r="W540" s="132"/>
      <c r="X540" s="132"/>
      <c r="Y540" s="132"/>
      <c r="Z540" s="132"/>
      <c r="AA540" s="132"/>
      <c r="AB540" s="132"/>
      <c r="AC540" s="132"/>
      <c r="AD540" s="132"/>
      <c r="AE540" s="1"/>
    </row>
    <row r="541" spans="1:31" ht="15.75" customHeight="1">
      <c r="A541" s="132"/>
      <c r="B541" s="132"/>
      <c r="C541" s="132"/>
      <c r="D541" s="132"/>
      <c r="E541" s="132"/>
      <c r="F541" s="132"/>
      <c r="G541" s="132"/>
      <c r="H541" s="132"/>
      <c r="I541" s="132"/>
      <c r="J541" s="132"/>
      <c r="K541" s="132"/>
      <c r="L541" s="132"/>
      <c r="M541" s="1"/>
      <c r="N541" s="1"/>
      <c r="O541" s="132"/>
      <c r="P541" s="132"/>
      <c r="Q541" s="132"/>
      <c r="R541" s="132"/>
      <c r="S541" s="132"/>
      <c r="T541" s="132"/>
      <c r="U541" s="132"/>
      <c r="V541" s="132"/>
      <c r="W541" s="132"/>
      <c r="X541" s="132"/>
      <c r="Y541" s="132"/>
      <c r="Z541" s="132"/>
      <c r="AA541" s="132"/>
      <c r="AB541" s="132"/>
      <c r="AC541" s="132"/>
      <c r="AD541" s="132"/>
      <c r="AE541" s="1"/>
    </row>
    <row r="542" spans="1:31" ht="15.75" customHeight="1">
      <c r="A542" s="132"/>
      <c r="B542" s="132"/>
      <c r="C542" s="132"/>
      <c r="D542" s="132"/>
      <c r="E542" s="132"/>
      <c r="F542" s="132"/>
      <c r="G542" s="132"/>
      <c r="H542" s="132"/>
      <c r="I542" s="132"/>
      <c r="J542" s="132"/>
      <c r="K542" s="132"/>
      <c r="L542" s="132"/>
      <c r="M542" s="1"/>
      <c r="N542" s="1"/>
      <c r="O542" s="132"/>
      <c r="P542" s="132"/>
      <c r="Q542" s="132"/>
      <c r="R542" s="132"/>
      <c r="S542" s="132"/>
      <c r="T542" s="132"/>
      <c r="U542" s="132"/>
      <c r="V542" s="132"/>
      <c r="W542" s="132"/>
      <c r="X542" s="132"/>
      <c r="Y542" s="132"/>
      <c r="Z542" s="132"/>
      <c r="AA542" s="132"/>
      <c r="AB542" s="132"/>
      <c r="AC542" s="132"/>
      <c r="AD542" s="132"/>
      <c r="AE542" s="1"/>
    </row>
    <row r="543" spans="1:31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</row>
    <row r="544" spans="1:31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</row>
    <row r="545" spans="1:31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</row>
    <row r="546" spans="1:31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</row>
    <row r="547" spans="1:31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</row>
    <row r="548" spans="1:31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</row>
    <row r="549" spans="1:31" ht="15.75" customHeight="1">
      <c r="A549" s="131" t="s">
        <v>47</v>
      </c>
      <c r="B549" s="131"/>
      <c r="C549" s="131"/>
      <c r="D549" s="28"/>
      <c r="E549" s="28"/>
      <c r="F549" s="28"/>
      <c r="G549" s="28"/>
      <c r="H549" s="1"/>
      <c r="I549" s="1"/>
      <c r="K549" s="25"/>
      <c r="L549" s="25"/>
      <c r="M549" s="1"/>
      <c r="N549" s="1"/>
      <c r="O549" s="131" t="s">
        <v>65</v>
      </c>
      <c r="P549" s="131"/>
      <c r="Q549" s="13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</row>
    <row r="550" spans="1:31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</row>
    <row r="551" spans="1:31" ht="15.75" customHeight="1">
      <c r="A551" s="132"/>
      <c r="B551" s="132"/>
      <c r="C551" s="132"/>
      <c r="D551" s="132"/>
      <c r="E551" s="132"/>
      <c r="F551" s="132"/>
      <c r="G551" s="132"/>
      <c r="H551" s="132"/>
      <c r="I551" s="132"/>
      <c r="J551" s="132"/>
      <c r="K551" s="132"/>
      <c r="L551" s="132"/>
      <c r="M551" s="1"/>
      <c r="N551" s="1"/>
      <c r="O551" s="132"/>
      <c r="P551" s="132"/>
      <c r="Q551" s="132"/>
      <c r="R551" s="132"/>
      <c r="S551" s="132"/>
      <c r="T551" s="132"/>
      <c r="U551" s="132"/>
      <c r="V551" s="132"/>
      <c r="W551" s="132"/>
      <c r="X551" s="132"/>
      <c r="Y551" s="132"/>
      <c r="Z551" s="132"/>
      <c r="AA551" s="132"/>
      <c r="AB551" s="132"/>
      <c r="AC551" s="132"/>
      <c r="AD551" s="132"/>
      <c r="AE551" s="1"/>
    </row>
    <row r="552" spans="1:31" ht="15.75" customHeight="1">
      <c r="A552" s="132"/>
      <c r="B552" s="132"/>
      <c r="C552" s="132"/>
      <c r="D552" s="132"/>
      <c r="E552" s="132"/>
      <c r="F552" s="132"/>
      <c r="G552" s="132"/>
      <c r="H552" s="132"/>
      <c r="I552" s="132"/>
      <c r="J552" s="132"/>
      <c r="K552" s="132"/>
      <c r="L552" s="132"/>
      <c r="M552" s="1"/>
      <c r="N552" s="1"/>
      <c r="O552" s="132"/>
      <c r="P552" s="132"/>
      <c r="Q552" s="132"/>
      <c r="R552" s="132"/>
      <c r="S552" s="132"/>
      <c r="T552" s="132"/>
      <c r="U552" s="132"/>
      <c r="V552" s="132"/>
      <c r="W552" s="132"/>
      <c r="X552" s="132"/>
      <c r="Y552" s="132"/>
      <c r="Z552" s="132"/>
      <c r="AA552" s="132"/>
      <c r="AB552" s="132"/>
      <c r="AC552" s="132"/>
      <c r="AD552" s="132"/>
      <c r="AE552" s="1"/>
    </row>
    <row r="553" spans="1:31" ht="15.75" customHeight="1">
      <c r="A553" s="132"/>
      <c r="B553" s="132"/>
      <c r="C553" s="132"/>
      <c r="D553" s="132"/>
      <c r="E553" s="132"/>
      <c r="F553" s="132"/>
      <c r="G553" s="132"/>
      <c r="H553" s="132"/>
      <c r="I553" s="132"/>
      <c r="J553" s="132"/>
      <c r="K553" s="132"/>
      <c r="L553" s="132"/>
      <c r="M553" s="1"/>
      <c r="N553" s="1"/>
      <c r="O553" s="132"/>
      <c r="P553" s="132"/>
      <c r="Q553" s="132"/>
      <c r="R553" s="132"/>
      <c r="S553" s="132"/>
      <c r="T553" s="132"/>
      <c r="U553" s="132"/>
      <c r="V553" s="132"/>
      <c r="W553" s="132"/>
      <c r="X553" s="132"/>
      <c r="Y553" s="132"/>
      <c r="Z553" s="132"/>
      <c r="AA553" s="132"/>
      <c r="AB553" s="132"/>
      <c r="AC553" s="132"/>
      <c r="AD553" s="132"/>
      <c r="AE553" s="1"/>
    </row>
    <row r="554" spans="1:31" ht="15.75" customHeight="1">
      <c r="A554" s="132"/>
      <c r="B554" s="132"/>
      <c r="C554" s="132"/>
      <c r="D554" s="132"/>
      <c r="E554" s="132"/>
      <c r="F554" s="132"/>
      <c r="G554" s="132"/>
      <c r="H554" s="132"/>
      <c r="I554" s="132"/>
      <c r="J554" s="132"/>
      <c r="K554" s="132"/>
      <c r="L554" s="132"/>
      <c r="M554" s="1"/>
      <c r="N554" s="1"/>
      <c r="O554" s="132"/>
      <c r="P554" s="132"/>
      <c r="Q554" s="132"/>
      <c r="R554" s="132"/>
      <c r="S554" s="132"/>
      <c r="T554" s="132"/>
      <c r="U554" s="132"/>
      <c r="V554" s="132"/>
      <c r="W554" s="132"/>
      <c r="X554" s="132"/>
      <c r="Y554" s="132"/>
      <c r="Z554" s="132"/>
      <c r="AA554" s="132"/>
      <c r="AB554" s="132"/>
      <c r="AC554" s="132"/>
      <c r="AD554" s="132"/>
      <c r="AE554" s="1"/>
    </row>
    <row r="555" spans="1:31" ht="15.75" customHeight="1">
      <c r="A555" s="132"/>
      <c r="B555" s="132"/>
      <c r="C555" s="132"/>
      <c r="D555" s="132"/>
      <c r="E555" s="132"/>
      <c r="F555" s="132"/>
      <c r="G555" s="132"/>
      <c r="H555" s="132"/>
      <c r="I555" s="132"/>
      <c r="J555" s="132"/>
      <c r="K555" s="132"/>
      <c r="L555" s="132"/>
      <c r="M555" s="1"/>
      <c r="N555" s="1"/>
      <c r="O555" s="132"/>
      <c r="P555" s="132"/>
      <c r="Q555" s="132"/>
      <c r="R555" s="132"/>
      <c r="S555" s="132"/>
      <c r="T555" s="132"/>
      <c r="U555" s="132"/>
      <c r="V555" s="132"/>
      <c r="W555" s="132"/>
      <c r="X555" s="132"/>
      <c r="Y555" s="132"/>
      <c r="Z555" s="132"/>
      <c r="AA555" s="132"/>
      <c r="AB555" s="132"/>
      <c r="AC555" s="132"/>
      <c r="AD555" s="132"/>
      <c r="AE555" s="1"/>
    </row>
    <row r="556" spans="1:31" ht="15.75" customHeight="1">
      <c r="A556" s="132"/>
      <c r="B556" s="132"/>
      <c r="C556" s="132"/>
      <c r="D556" s="132"/>
      <c r="E556" s="132"/>
      <c r="F556" s="132"/>
      <c r="G556" s="132"/>
      <c r="H556" s="132"/>
      <c r="I556" s="132"/>
      <c r="J556" s="132"/>
      <c r="K556" s="132"/>
      <c r="L556" s="132"/>
      <c r="M556" s="1"/>
      <c r="N556" s="1"/>
      <c r="O556" s="132"/>
      <c r="P556" s="132"/>
      <c r="Q556" s="132"/>
      <c r="R556" s="132"/>
      <c r="S556" s="132"/>
      <c r="T556" s="132"/>
      <c r="U556" s="132"/>
      <c r="V556" s="132"/>
      <c r="W556" s="132"/>
      <c r="X556" s="132"/>
      <c r="Y556" s="132"/>
      <c r="Z556" s="132"/>
      <c r="AA556" s="132"/>
      <c r="AB556" s="132"/>
      <c r="AC556" s="132"/>
      <c r="AD556" s="132"/>
      <c r="AE556" s="1"/>
    </row>
    <row r="557" spans="1:31" ht="15.75" customHeight="1">
      <c r="A557" s="132"/>
      <c r="B557" s="132"/>
      <c r="C557" s="132"/>
      <c r="D557" s="132"/>
      <c r="E557" s="132"/>
      <c r="F557" s="132"/>
      <c r="G557" s="132"/>
      <c r="H557" s="132"/>
      <c r="I557" s="132"/>
      <c r="J557" s="132"/>
      <c r="K557" s="132"/>
      <c r="L557" s="132"/>
      <c r="M557" s="1"/>
      <c r="N557" s="1"/>
      <c r="O557" s="132"/>
      <c r="P557" s="132"/>
      <c r="Q557" s="132"/>
      <c r="R557" s="132"/>
      <c r="S557" s="132"/>
      <c r="T557" s="132"/>
      <c r="U557" s="132"/>
      <c r="V557" s="132"/>
      <c r="W557" s="132"/>
      <c r="X557" s="132"/>
      <c r="Y557" s="132"/>
      <c r="Z557" s="132"/>
      <c r="AA557" s="132"/>
      <c r="AB557" s="132"/>
      <c r="AC557" s="132"/>
      <c r="AD557" s="132"/>
      <c r="AE557" s="1"/>
    </row>
    <row r="558" spans="1:31" ht="15.75" customHeight="1">
      <c r="A558" s="132"/>
      <c r="B558" s="132"/>
      <c r="C558" s="132"/>
      <c r="D558" s="132"/>
      <c r="E558" s="132"/>
      <c r="F558" s="132"/>
      <c r="G558" s="132"/>
      <c r="H558" s="132"/>
      <c r="I558" s="132"/>
      <c r="J558" s="132"/>
      <c r="K558" s="132"/>
      <c r="L558" s="132"/>
      <c r="M558" s="1"/>
      <c r="N558" s="1"/>
      <c r="O558" s="132"/>
      <c r="P558" s="132"/>
      <c r="Q558" s="132"/>
      <c r="R558" s="132"/>
      <c r="S558" s="132"/>
      <c r="T558" s="132"/>
      <c r="U558" s="132"/>
      <c r="V558" s="132"/>
      <c r="W558" s="132"/>
      <c r="X558" s="132"/>
      <c r="Y558" s="132"/>
      <c r="Z558" s="132"/>
      <c r="AA558" s="132"/>
      <c r="AB558" s="132"/>
      <c r="AC558" s="132"/>
      <c r="AD558" s="132"/>
      <c r="AE558" s="1"/>
    </row>
    <row r="559" spans="1:31" ht="15.75" customHeight="1">
      <c r="A559" s="132"/>
      <c r="B559" s="132"/>
      <c r="C559" s="132"/>
      <c r="D559" s="132"/>
      <c r="E559" s="132"/>
      <c r="F559" s="132"/>
      <c r="G559" s="132"/>
      <c r="H559" s="132"/>
      <c r="I559" s="132"/>
      <c r="J559" s="132"/>
      <c r="K559" s="132"/>
      <c r="L559" s="132"/>
      <c r="M559" s="1"/>
      <c r="N559" s="1"/>
      <c r="O559" s="132"/>
      <c r="P559" s="132"/>
      <c r="Q559" s="132"/>
      <c r="R559" s="132"/>
      <c r="S559" s="132"/>
      <c r="T559" s="132"/>
      <c r="U559" s="132"/>
      <c r="V559" s="132"/>
      <c r="W559" s="132"/>
      <c r="X559" s="132"/>
      <c r="Y559" s="132"/>
      <c r="Z559" s="132"/>
      <c r="AA559" s="132"/>
      <c r="AB559" s="132"/>
      <c r="AC559" s="132"/>
      <c r="AD559" s="132"/>
      <c r="AE559" s="1"/>
    </row>
    <row r="560" spans="1:31" ht="15.75" customHeight="1">
      <c r="A560" s="132"/>
      <c r="B560" s="132"/>
      <c r="C560" s="132"/>
      <c r="D560" s="132"/>
      <c r="E560" s="132"/>
      <c r="F560" s="132"/>
      <c r="G560" s="132"/>
      <c r="H560" s="132"/>
      <c r="I560" s="132"/>
      <c r="J560" s="132"/>
      <c r="K560" s="132"/>
      <c r="L560" s="132"/>
      <c r="M560" s="1"/>
      <c r="N560" s="1"/>
      <c r="O560" s="132"/>
      <c r="P560" s="132"/>
      <c r="Q560" s="132"/>
      <c r="R560" s="132"/>
      <c r="S560" s="132"/>
      <c r="T560" s="132"/>
      <c r="U560" s="132"/>
      <c r="V560" s="132"/>
      <c r="W560" s="132"/>
      <c r="X560" s="132"/>
      <c r="Y560" s="132"/>
      <c r="Z560" s="132"/>
      <c r="AA560" s="132"/>
      <c r="AB560" s="132"/>
      <c r="AC560" s="132"/>
      <c r="AD560" s="132"/>
      <c r="AE560" s="1"/>
    </row>
    <row r="561" spans="1:31" ht="15.75" customHeight="1">
      <c r="A561" s="132"/>
      <c r="B561" s="132"/>
      <c r="C561" s="132"/>
      <c r="D561" s="132"/>
      <c r="E561" s="132"/>
      <c r="F561" s="132"/>
      <c r="G561" s="132"/>
      <c r="H561" s="132"/>
      <c r="I561" s="132"/>
      <c r="J561" s="132"/>
      <c r="K561" s="132"/>
      <c r="L561" s="132"/>
      <c r="M561" s="1"/>
      <c r="N561" s="1"/>
      <c r="O561" s="132"/>
      <c r="P561" s="132"/>
      <c r="Q561" s="132"/>
      <c r="R561" s="132"/>
      <c r="S561" s="132"/>
      <c r="T561" s="132"/>
      <c r="U561" s="132"/>
      <c r="V561" s="132"/>
      <c r="W561" s="132"/>
      <c r="X561" s="132"/>
      <c r="Y561" s="132"/>
      <c r="Z561" s="132"/>
      <c r="AA561" s="132"/>
      <c r="AB561" s="132"/>
      <c r="AC561" s="132"/>
      <c r="AD561" s="132"/>
      <c r="AE561" s="1"/>
    </row>
    <row r="562" spans="1:31" ht="15.75" customHeight="1">
      <c r="A562" s="132"/>
      <c r="B562" s="132"/>
      <c r="C562" s="132"/>
      <c r="D562" s="132"/>
      <c r="E562" s="132"/>
      <c r="F562" s="132"/>
      <c r="G562" s="132"/>
      <c r="H562" s="132"/>
      <c r="I562" s="132"/>
      <c r="J562" s="132"/>
      <c r="K562" s="132"/>
      <c r="L562" s="132"/>
      <c r="M562" s="1"/>
      <c r="N562" s="1"/>
      <c r="O562" s="132"/>
      <c r="P562" s="132"/>
      <c r="Q562" s="132"/>
      <c r="R562" s="132"/>
      <c r="S562" s="132"/>
      <c r="T562" s="132"/>
      <c r="U562" s="132"/>
      <c r="V562" s="132"/>
      <c r="W562" s="132"/>
      <c r="X562" s="132"/>
      <c r="Y562" s="132"/>
      <c r="Z562" s="132"/>
      <c r="AA562" s="132"/>
      <c r="AB562" s="132"/>
      <c r="AC562" s="132"/>
      <c r="AD562" s="132"/>
      <c r="AE562" s="1"/>
    </row>
    <row r="563" spans="1:31" ht="15.75" customHeight="1">
      <c r="A563" s="132"/>
      <c r="B563" s="132"/>
      <c r="C563" s="132"/>
      <c r="D563" s="132"/>
      <c r="E563" s="132"/>
      <c r="F563" s="132"/>
      <c r="G563" s="132"/>
      <c r="H563" s="132"/>
      <c r="I563" s="132"/>
      <c r="J563" s="132"/>
      <c r="K563" s="132"/>
      <c r="L563" s="132"/>
      <c r="M563" s="1"/>
      <c r="N563" s="1"/>
      <c r="O563" s="132"/>
      <c r="P563" s="132"/>
      <c r="Q563" s="132"/>
      <c r="R563" s="132"/>
      <c r="S563" s="132"/>
      <c r="T563" s="132"/>
      <c r="U563" s="132"/>
      <c r="V563" s="132"/>
      <c r="W563" s="132"/>
      <c r="X563" s="132"/>
      <c r="Y563" s="132"/>
      <c r="Z563" s="132"/>
      <c r="AA563" s="132"/>
      <c r="AB563" s="132"/>
      <c r="AC563" s="132"/>
      <c r="AD563" s="132"/>
      <c r="AE563" s="1"/>
    </row>
    <row r="564" spans="1:31" ht="15.75" customHeight="1">
      <c r="A564" s="132"/>
      <c r="B564" s="132"/>
      <c r="C564" s="132"/>
      <c r="D564" s="132"/>
      <c r="E564" s="132"/>
      <c r="F564" s="132"/>
      <c r="G564" s="132"/>
      <c r="H564" s="132"/>
      <c r="I564" s="132"/>
      <c r="J564" s="132"/>
      <c r="K564" s="132"/>
      <c r="L564" s="132"/>
      <c r="M564" s="1"/>
      <c r="N564" s="1"/>
      <c r="O564" s="132"/>
      <c r="P564" s="132"/>
      <c r="Q564" s="132"/>
      <c r="R564" s="132"/>
      <c r="S564" s="132"/>
      <c r="T564" s="132"/>
      <c r="U564" s="132"/>
      <c r="V564" s="132"/>
      <c r="W564" s="132"/>
      <c r="X564" s="132"/>
      <c r="Y564" s="132"/>
      <c r="Z564" s="132"/>
      <c r="AA564" s="132"/>
      <c r="AB564" s="132"/>
      <c r="AC564" s="132"/>
      <c r="AD564" s="132"/>
      <c r="AE564" s="1"/>
    </row>
    <row r="565" spans="1:31" ht="15.75" customHeight="1">
      <c r="A565" s="132"/>
      <c r="B565" s="132"/>
      <c r="C565" s="132"/>
      <c r="D565" s="132"/>
      <c r="E565" s="132"/>
      <c r="F565" s="132"/>
      <c r="G565" s="132"/>
      <c r="H565" s="132"/>
      <c r="I565" s="132"/>
      <c r="J565" s="132"/>
      <c r="K565" s="132"/>
      <c r="L565" s="132"/>
      <c r="M565" s="1"/>
      <c r="N565" s="1"/>
      <c r="O565" s="132"/>
      <c r="P565" s="132"/>
      <c r="Q565" s="132"/>
      <c r="R565" s="132"/>
      <c r="S565" s="132"/>
      <c r="T565" s="132"/>
      <c r="U565" s="132"/>
      <c r="V565" s="132"/>
      <c r="W565" s="132"/>
      <c r="X565" s="132"/>
      <c r="Y565" s="132"/>
      <c r="Z565" s="132"/>
      <c r="AA565" s="132"/>
      <c r="AB565" s="132"/>
      <c r="AC565" s="132"/>
      <c r="AD565" s="132"/>
      <c r="AE565" s="1"/>
    </row>
    <row r="566" spans="1:31" ht="15.75" customHeight="1">
      <c r="A566" s="132"/>
      <c r="B566" s="132"/>
      <c r="C566" s="132"/>
      <c r="D566" s="132"/>
      <c r="E566" s="132"/>
      <c r="F566" s="132"/>
      <c r="G566" s="132"/>
      <c r="H566" s="132"/>
      <c r="I566" s="132"/>
      <c r="J566" s="132"/>
      <c r="K566" s="132"/>
      <c r="L566" s="132"/>
      <c r="M566" s="1"/>
      <c r="N566" s="1"/>
      <c r="O566" s="132"/>
      <c r="P566" s="132"/>
      <c r="Q566" s="132"/>
      <c r="R566" s="132"/>
      <c r="S566" s="132"/>
      <c r="T566" s="132"/>
      <c r="U566" s="132"/>
      <c r="V566" s="132"/>
      <c r="W566" s="132"/>
      <c r="X566" s="132"/>
      <c r="Y566" s="132"/>
      <c r="Z566" s="132"/>
      <c r="AA566" s="132"/>
      <c r="AB566" s="132"/>
      <c r="AC566" s="132"/>
      <c r="AD566" s="132"/>
      <c r="AE566" s="1"/>
    </row>
    <row r="567" spans="1:31" ht="15.75" customHeight="1">
      <c r="A567" s="132"/>
      <c r="B567" s="132"/>
      <c r="C567" s="132"/>
      <c r="D567" s="132"/>
      <c r="E567" s="132"/>
      <c r="F567" s="132"/>
      <c r="G567" s="132"/>
      <c r="H567" s="132"/>
      <c r="I567" s="132"/>
      <c r="J567" s="132"/>
      <c r="K567" s="132"/>
      <c r="L567" s="132"/>
      <c r="M567" s="1"/>
      <c r="N567" s="1"/>
      <c r="O567" s="132"/>
      <c r="P567" s="132"/>
      <c r="Q567" s="132"/>
      <c r="R567" s="132"/>
      <c r="S567" s="132"/>
      <c r="T567" s="132"/>
      <c r="U567" s="132"/>
      <c r="V567" s="132"/>
      <c r="W567" s="132"/>
      <c r="X567" s="132"/>
      <c r="Y567" s="132"/>
      <c r="Z567" s="132"/>
      <c r="AA567" s="132"/>
      <c r="AB567" s="132"/>
      <c r="AC567" s="132"/>
      <c r="AD567" s="132"/>
      <c r="AE567" s="1"/>
    </row>
    <row r="568" spans="1:31" ht="15.75" customHeight="1">
      <c r="A568" s="132"/>
      <c r="B568" s="132"/>
      <c r="C568" s="132"/>
      <c r="D568" s="132"/>
      <c r="E568" s="132"/>
      <c r="F568" s="132"/>
      <c r="G568" s="132"/>
      <c r="H568" s="132"/>
      <c r="I568" s="132"/>
      <c r="J568" s="132"/>
      <c r="K568" s="132"/>
      <c r="L568" s="132"/>
      <c r="M568" s="1"/>
      <c r="N568" s="1"/>
      <c r="O568" s="132"/>
      <c r="P568" s="132"/>
      <c r="Q568" s="132"/>
      <c r="R568" s="132"/>
      <c r="S568" s="132"/>
      <c r="T568" s="132"/>
      <c r="U568" s="132"/>
      <c r="V568" s="132"/>
      <c r="W568" s="132"/>
      <c r="X568" s="132"/>
      <c r="Y568" s="132"/>
      <c r="Z568" s="132"/>
      <c r="AA568" s="132"/>
      <c r="AB568" s="132"/>
      <c r="AC568" s="132"/>
      <c r="AD568" s="132"/>
      <c r="AE568" s="1"/>
    </row>
    <row r="569" spans="1:31" ht="15.75" customHeight="1">
      <c r="A569" s="132"/>
      <c r="B569" s="132"/>
      <c r="C569" s="132"/>
      <c r="D569" s="132"/>
      <c r="E569" s="132"/>
      <c r="F569" s="132"/>
      <c r="G569" s="132"/>
      <c r="H569" s="132"/>
      <c r="I569" s="132"/>
      <c r="J569" s="132"/>
      <c r="K569" s="132"/>
      <c r="L569" s="132"/>
      <c r="M569" s="1"/>
      <c r="N569" s="1"/>
      <c r="O569" s="132"/>
      <c r="P569" s="132"/>
      <c r="Q569" s="132"/>
      <c r="R569" s="132"/>
      <c r="S569" s="132"/>
      <c r="T569" s="132"/>
      <c r="U569" s="132"/>
      <c r="V569" s="132"/>
      <c r="W569" s="132"/>
      <c r="X569" s="132"/>
      <c r="Y569" s="132"/>
      <c r="Z569" s="132"/>
      <c r="AA569" s="132"/>
      <c r="AB569" s="132"/>
      <c r="AC569" s="132"/>
      <c r="AD569" s="132"/>
      <c r="AE569" s="1"/>
    </row>
    <row r="570" spans="1:31" ht="15.75" customHeight="1">
      <c r="A570" s="132"/>
      <c r="B570" s="132"/>
      <c r="C570" s="132"/>
      <c r="D570" s="132"/>
      <c r="E570" s="132"/>
      <c r="F570" s="132"/>
      <c r="G570" s="132"/>
      <c r="H570" s="132"/>
      <c r="I570" s="132"/>
      <c r="J570" s="132"/>
      <c r="K570" s="132"/>
      <c r="L570" s="132"/>
      <c r="M570" s="1"/>
      <c r="N570" s="1"/>
      <c r="O570" s="132"/>
      <c r="P570" s="132"/>
      <c r="Q570" s="132"/>
      <c r="R570" s="132"/>
      <c r="S570" s="132"/>
      <c r="T570" s="132"/>
      <c r="U570" s="132"/>
      <c r="V570" s="132"/>
      <c r="W570" s="132"/>
      <c r="X570" s="132"/>
      <c r="Y570" s="132"/>
      <c r="Z570" s="132"/>
      <c r="AA570" s="132"/>
      <c r="AB570" s="132"/>
      <c r="AC570" s="132"/>
      <c r="AD570" s="132"/>
      <c r="AE570" s="1"/>
    </row>
    <row r="571" spans="1:31" ht="15.75" customHeight="1">
      <c r="A571" s="132"/>
      <c r="B571" s="132"/>
      <c r="C571" s="132"/>
      <c r="D571" s="132"/>
      <c r="E571" s="132"/>
      <c r="F571" s="132"/>
      <c r="G571" s="132"/>
      <c r="H571" s="132"/>
      <c r="I571" s="132"/>
      <c r="J571" s="132"/>
      <c r="K571" s="132"/>
      <c r="L571" s="132"/>
      <c r="M571" s="1"/>
      <c r="N571" s="1"/>
      <c r="O571" s="132"/>
      <c r="P571" s="132"/>
      <c r="Q571" s="132"/>
      <c r="R571" s="132"/>
      <c r="S571" s="132"/>
      <c r="T571" s="132"/>
      <c r="U571" s="132"/>
      <c r="V571" s="132"/>
      <c r="W571" s="132"/>
      <c r="X571" s="132"/>
      <c r="Y571" s="132"/>
      <c r="Z571" s="132"/>
      <c r="AA571" s="132"/>
      <c r="AB571" s="132"/>
      <c r="AC571" s="132"/>
      <c r="AD571" s="132"/>
      <c r="AE571" s="1"/>
    </row>
    <row r="572" spans="1:31" ht="15.75" customHeight="1">
      <c r="A572" s="132"/>
      <c r="B572" s="132"/>
      <c r="C572" s="132"/>
      <c r="D572" s="132"/>
      <c r="E572" s="132"/>
      <c r="F572" s="132"/>
      <c r="G572" s="132"/>
      <c r="H572" s="132"/>
      <c r="I572" s="132"/>
      <c r="J572" s="132"/>
      <c r="K572" s="132"/>
      <c r="L572" s="132"/>
      <c r="M572" s="1"/>
      <c r="N572" s="1"/>
      <c r="O572" s="132"/>
      <c r="P572" s="132"/>
      <c r="Q572" s="132"/>
      <c r="R572" s="132"/>
      <c r="S572" s="132"/>
      <c r="T572" s="132"/>
      <c r="U572" s="132"/>
      <c r="V572" s="132"/>
      <c r="W572" s="132"/>
      <c r="X572" s="132"/>
      <c r="Y572" s="132"/>
      <c r="Z572" s="132"/>
      <c r="AA572" s="132"/>
      <c r="AB572" s="132"/>
      <c r="AC572" s="132"/>
      <c r="AD572" s="132"/>
      <c r="AE572" s="1"/>
    </row>
    <row r="573" spans="1:31" ht="15.75" customHeight="1">
      <c r="A573" s="132"/>
      <c r="B573" s="132"/>
      <c r="C573" s="132"/>
      <c r="D573" s="132"/>
      <c r="E573" s="132"/>
      <c r="F573" s="132"/>
      <c r="G573" s="132"/>
      <c r="H573" s="132"/>
      <c r="I573" s="132"/>
      <c r="J573" s="132"/>
      <c r="K573" s="132"/>
      <c r="L573" s="132"/>
      <c r="M573" s="1"/>
      <c r="N573" s="1"/>
      <c r="O573" s="132"/>
      <c r="P573" s="132"/>
      <c r="Q573" s="132"/>
      <c r="R573" s="132"/>
      <c r="S573" s="132"/>
      <c r="T573" s="132"/>
      <c r="U573" s="132"/>
      <c r="V573" s="132"/>
      <c r="W573" s="132"/>
      <c r="X573" s="132"/>
      <c r="Y573" s="132"/>
      <c r="Z573" s="132"/>
      <c r="AA573" s="132"/>
      <c r="AB573" s="132"/>
      <c r="AC573" s="132"/>
      <c r="AD573" s="132"/>
      <c r="AE573" s="1"/>
    </row>
    <row r="574" spans="1:31" ht="15.75" customHeight="1">
      <c r="A574" s="132"/>
      <c r="B574" s="132"/>
      <c r="C574" s="132"/>
      <c r="D574" s="132"/>
      <c r="E574" s="132"/>
      <c r="F574" s="132"/>
      <c r="G574" s="132"/>
      <c r="H574" s="132"/>
      <c r="I574" s="132"/>
      <c r="J574" s="132"/>
      <c r="K574" s="132"/>
      <c r="L574" s="132"/>
      <c r="M574" s="1"/>
      <c r="N574" s="1"/>
      <c r="O574" s="132"/>
      <c r="P574" s="132"/>
      <c r="Q574" s="132"/>
      <c r="R574" s="132"/>
      <c r="S574" s="132"/>
      <c r="T574" s="132"/>
      <c r="U574" s="132"/>
      <c r="V574" s="132"/>
      <c r="W574" s="132"/>
      <c r="X574" s="132"/>
      <c r="Y574" s="132"/>
      <c r="Z574" s="132"/>
      <c r="AA574" s="132"/>
      <c r="AB574" s="132"/>
      <c r="AC574" s="132"/>
      <c r="AD574" s="132"/>
      <c r="AE574" s="1"/>
    </row>
    <row r="575" spans="1:31" ht="15.75" customHeight="1">
      <c r="A575" s="132"/>
      <c r="B575" s="132"/>
      <c r="C575" s="132"/>
      <c r="D575" s="132"/>
      <c r="E575" s="132"/>
      <c r="F575" s="132"/>
      <c r="G575" s="132"/>
      <c r="H575" s="132"/>
      <c r="I575" s="132"/>
      <c r="J575" s="132"/>
      <c r="K575" s="132"/>
      <c r="L575" s="132"/>
      <c r="M575" s="1"/>
      <c r="N575" s="1"/>
      <c r="O575" s="132"/>
      <c r="P575" s="132"/>
      <c r="Q575" s="132"/>
      <c r="R575" s="132"/>
      <c r="S575" s="132"/>
      <c r="T575" s="132"/>
      <c r="U575" s="132"/>
      <c r="V575" s="132"/>
      <c r="W575" s="132"/>
      <c r="X575" s="132"/>
      <c r="Y575" s="132"/>
      <c r="Z575" s="132"/>
      <c r="AA575" s="132"/>
      <c r="AB575" s="132"/>
      <c r="AC575" s="132"/>
      <c r="AD575" s="132"/>
      <c r="AE575" s="1"/>
    </row>
    <row r="576" spans="1:31" ht="15.75" customHeight="1">
      <c r="A576" s="132"/>
      <c r="B576" s="132"/>
      <c r="C576" s="132"/>
      <c r="D576" s="132"/>
      <c r="E576" s="132"/>
      <c r="F576" s="132"/>
      <c r="G576" s="132"/>
      <c r="H576" s="132"/>
      <c r="I576" s="132"/>
      <c r="J576" s="132"/>
      <c r="K576" s="132"/>
      <c r="L576" s="132"/>
      <c r="M576" s="1"/>
      <c r="N576" s="1"/>
      <c r="O576" s="132"/>
      <c r="P576" s="132"/>
      <c r="Q576" s="132"/>
      <c r="R576" s="132"/>
      <c r="S576" s="132"/>
      <c r="T576" s="132"/>
      <c r="U576" s="132"/>
      <c r="V576" s="132"/>
      <c r="W576" s="132"/>
      <c r="X576" s="132"/>
      <c r="Y576" s="132"/>
      <c r="Z576" s="132"/>
      <c r="AA576" s="132"/>
      <c r="AB576" s="132"/>
      <c r="AC576" s="132"/>
      <c r="AD576" s="132"/>
      <c r="AE576" s="1"/>
    </row>
    <row r="577" spans="1:31" ht="15.75" customHeight="1">
      <c r="A577" s="132"/>
      <c r="B577" s="132"/>
      <c r="C577" s="132"/>
      <c r="D577" s="132"/>
      <c r="E577" s="132"/>
      <c r="F577" s="132"/>
      <c r="G577" s="132"/>
      <c r="H577" s="132"/>
      <c r="I577" s="132"/>
      <c r="J577" s="132"/>
      <c r="K577" s="132"/>
      <c r="L577" s="132"/>
      <c r="M577" s="1"/>
      <c r="N577" s="1"/>
      <c r="O577" s="132"/>
      <c r="P577" s="132"/>
      <c r="Q577" s="132"/>
      <c r="R577" s="132"/>
      <c r="S577" s="132"/>
      <c r="T577" s="132"/>
      <c r="U577" s="132"/>
      <c r="V577" s="132"/>
      <c r="W577" s="132"/>
      <c r="X577" s="132"/>
      <c r="Y577" s="132"/>
      <c r="Z577" s="132"/>
      <c r="AA577" s="132"/>
      <c r="AB577" s="132"/>
      <c r="AC577" s="132"/>
      <c r="AD577" s="132"/>
      <c r="AE577" s="1"/>
    </row>
    <row r="578" spans="1:31" ht="15.75" customHeight="1">
      <c r="A578" s="132"/>
      <c r="B578" s="132"/>
      <c r="C578" s="132"/>
      <c r="D578" s="132"/>
      <c r="E578" s="132"/>
      <c r="F578" s="132"/>
      <c r="G578" s="132"/>
      <c r="H578" s="132"/>
      <c r="I578" s="132"/>
      <c r="J578" s="132"/>
      <c r="K578" s="132"/>
      <c r="L578" s="132"/>
      <c r="M578" s="1"/>
      <c r="N578" s="1"/>
      <c r="O578" s="132"/>
      <c r="P578" s="132"/>
      <c r="Q578" s="132"/>
      <c r="R578" s="132"/>
      <c r="S578" s="132"/>
      <c r="T578" s="132"/>
      <c r="U578" s="132"/>
      <c r="V578" s="132"/>
      <c r="W578" s="132"/>
      <c r="X578" s="132"/>
      <c r="Y578" s="132"/>
      <c r="Z578" s="132"/>
      <c r="AA578" s="132"/>
      <c r="AB578" s="132"/>
      <c r="AC578" s="132"/>
      <c r="AD578" s="132"/>
      <c r="AE578" s="1"/>
    </row>
    <row r="579" spans="1:31" ht="15.75" customHeight="1">
      <c r="A579" s="132"/>
      <c r="B579" s="132"/>
      <c r="C579" s="132"/>
      <c r="D579" s="132"/>
      <c r="E579" s="132"/>
      <c r="F579" s="132"/>
      <c r="G579" s="132"/>
      <c r="H579" s="132"/>
      <c r="I579" s="132"/>
      <c r="J579" s="132"/>
      <c r="K579" s="132"/>
      <c r="L579" s="132"/>
      <c r="M579" s="1"/>
      <c r="N579" s="1"/>
      <c r="O579" s="132"/>
      <c r="P579" s="132"/>
      <c r="Q579" s="132"/>
      <c r="R579" s="132"/>
      <c r="S579" s="132"/>
      <c r="T579" s="132"/>
      <c r="U579" s="132"/>
      <c r="V579" s="132"/>
      <c r="W579" s="132"/>
      <c r="X579" s="132"/>
      <c r="Y579" s="132"/>
      <c r="Z579" s="132"/>
      <c r="AA579" s="132"/>
      <c r="AB579" s="132"/>
      <c r="AC579" s="132"/>
      <c r="AD579" s="132"/>
      <c r="AE579" s="1"/>
    </row>
    <row r="580" spans="1:31" ht="15.75" customHeight="1">
      <c r="A580" s="132"/>
      <c r="B580" s="132"/>
      <c r="C580" s="132"/>
      <c r="D580" s="132"/>
      <c r="E580" s="132"/>
      <c r="F580" s="132"/>
      <c r="G580" s="132"/>
      <c r="H580" s="132"/>
      <c r="I580" s="132"/>
      <c r="J580" s="132"/>
      <c r="K580" s="132"/>
      <c r="L580" s="132"/>
      <c r="M580" s="1"/>
      <c r="N580" s="1"/>
      <c r="O580" s="132"/>
      <c r="P580" s="132"/>
      <c r="Q580" s="132"/>
      <c r="R580" s="132"/>
      <c r="S580" s="132"/>
      <c r="T580" s="132"/>
      <c r="U580" s="132"/>
      <c r="V580" s="132"/>
      <c r="W580" s="132"/>
      <c r="X580" s="132"/>
      <c r="Y580" s="132"/>
      <c r="Z580" s="132"/>
      <c r="AA580" s="132"/>
      <c r="AB580" s="132"/>
      <c r="AC580" s="132"/>
      <c r="AD580" s="132"/>
      <c r="AE580" s="1"/>
    </row>
    <row r="581" spans="1:31" ht="15.75" customHeight="1">
      <c r="A581" s="132"/>
      <c r="B581" s="132"/>
      <c r="C581" s="132"/>
      <c r="D581" s="132"/>
      <c r="E581" s="132"/>
      <c r="F581" s="132"/>
      <c r="G581" s="132"/>
      <c r="H581" s="132"/>
      <c r="I581" s="132"/>
      <c r="J581" s="132"/>
      <c r="K581" s="132"/>
      <c r="L581" s="132"/>
      <c r="M581" s="1"/>
      <c r="N581" s="1"/>
      <c r="O581" s="132"/>
      <c r="P581" s="132"/>
      <c r="Q581" s="132"/>
      <c r="R581" s="132"/>
      <c r="S581" s="132"/>
      <c r="T581" s="132"/>
      <c r="U581" s="132"/>
      <c r="V581" s="132"/>
      <c r="W581" s="132"/>
      <c r="X581" s="132"/>
      <c r="Y581" s="132"/>
      <c r="Z581" s="132"/>
      <c r="AA581" s="132"/>
      <c r="AB581" s="132"/>
      <c r="AC581" s="132"/>
      <c r="AD581" s="132"/>
      <c r="AE581" s="1"/>
    </row>
    <row r="582" spans="1:31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</row>
    <row r="583" spans="1:31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</row>
    <row r="584" spans="1:31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</row>
    <row r="585" spans="1:31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</row>
    <row r="586" spans="1:31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</row>
    <row r="587" spans="1:31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</row>
    <row r="588" spans="1:31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</row>
    <row r="589" spans="1:31" ht="20.25" customHeight="1" thickBot="1">
      <c r="A589" s="140" t="s">
        <v>19</v>
      </c>
      <c r="B589" s="140"/>
      <c r="C589" s="140"/>
      <c r="D589" s="140"/>
      <c r="E589" s="140"/>
      <c r="F589" s="4"/>
      <c r="G589" s="5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1"/>
      <c r="Z589" s="1"/>
      <c r="AA589" s="1"/>
      <c r="AB589" s="1"/>
      <c r="AC589" s="1"/>
      <c r="AD589" s="1"/>
      <c r="AE589" s="1"/>
    </row>
    <row r="590" spans="1:31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</row>
    <row r="591" spans="1:31" ht="15.75" customHeight="1">
      <c r="A591" s="142" t="s">
        <v>56</v>
      </c>
      <c r="B591" s="142"/>
      <c r="C591" s="142"/>
      <c r="D591" s="25"/>
      <c r="E591" s="25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</row>
    <row r="592" spans="1:31" ht="15.75" customHeight="1">
      <c r="A592" s="143" t="s">
        <v>61</v>
      </c>
      <c r="B592" s="143"/>
      <c r="C592" s="143"/>
      <c r="D592" s="25"/>
      <c r="E592" s="25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</row>
    <row r="593" spans="1:44" ht="15.75" customHeight="1">
      <c r="A593" s="141" t="s">
        <v>62</v>
      </c>
      <c r="B593" s="141"/>
      <c r="C593" s="141"/>
      <c r="D593" s="25"/>
      <c r="E593" s="25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</row>
    <row r="594" spans="1:44" ht="15.75" customHeight="1">
      <c r="A594" s="139" t="s">
        <v>63</v>
      </c>
      <c r="B594" s="139"/>
      <c r="C594" s="139"/>
      <c r="D594" s="25"/>
      <c r="E594" s="25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</row>
    <row r="595" spans="1:44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</row>
    <row r="596" spans="1:44" s="36" customFormat="1" ht="28.5">
      <c r="A596" s="144" t="s">
        <v>128</v>
      </c>
      <c r="B596" s="144"/>
      <c r="C596" s="144"/>
      <c r="D596" s="37" t="s">
        <v>123</v>
      </c>
      <c r="E596" s="37" t="s">
        <v>133</v>
      </c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35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</row>
    <row r="597" spans="1:44" ht="15.75" customHeight="1">
      <c r="A597" s="138" t="s">
        <v>129</v>
      </c>
      <c r="B597" s="138"/>
      <c r="C597" s="138"/>
      <c r="D597" s="34"/>
      <c r="E597" s="34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</row>
    <row r="598" spans="1:44" ht="15.75" customHeight="1">
      <c r="A598" s="138" t="s">
        <v>130</v>
      </c>
      <c r="B598" s="138"/>
      <c r="C598" s="138"/>
      <c r="D598" s="34"/>
      <c r="E598" s="34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36"/>
      <c r="AG598" s="36"/>
      <c r="AH598" s="36"/>
      <c r="AI598" s="36"/>
      <c r="AJ598" s="36"/>
      <c r="AK598" s="36"/>
      <c r="AL598" s="36"/>
      <c r="AM598" s="36"/>
      <c r="AN598" s="36"/>
      <c r="AO598" s="36"/>
      <c r="AP598" s="36"/>
      <c r="AQ598" s="36"/>
      <c r="AR598" s="36"/>
    </row>
    <row r="599" spans="1:44" ht="15.75" customHeight="1">
      <c r="A599" s="138" t="s">
        <v>131</v>
      </c>
      <c r="B599" s="138"/>
      <c r="C599" s="138"/>
      <c r="D599" s="34"/>
      <c r="E599" s="34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</row>
    <row r="600" spans="1:44" ht="15.75" customHeight="1">
      <c r="A600" s="138" t="s">
        <v>132</v>
      </c>
      <c r="B600" s="138"/>
      <c r="C600" s="138"/>
      <c r="D600" s="34"/>
      <c r="E600" s="34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</row>
    <row r="601" spans="1:44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</row>
    <row r="602" spans="1:44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</row>
    <row r="603" spans="1:44" ht="15.75" customHeight="1">
      <c r="A603" s="131" t="s">
        <v>66</v>
      </c>
      <c r="B603" s="131"/>
      <c r="C603" s="131"/>
      <c r="D603" s="1"/>
      <c r="E603" s="1"/>
      <c r="F603" s="1"/>
      <c r="G603" s="1"/>
      <c r="H603" s="1"/>
      <c r="I603" s="1"/>
      <c r="K603" s="25"/>
      <c r="L603" s="25"/>
      <c r="M603" s="1"/>
      <c r="N603" s="1"/>
      <c r="O603" s="131" t="s">
        <v>67</v>
      </c>
      <c r="P603" s="131"/>
      <c r="Q603" s="131"/>
      <c r="R603" s="13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</row>
    <row r="604" spans="1:4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</row>
    <row r="605" spans="1:44" ht="15.75" customHeight="1">
      <c r="A605" s="132"/>
      <c r="B605" s="132"/>
      <c r="C605" s="132"/>
      <c r="D605" s="132"/>
      <c r="E605" s="132"/>
      <c r="F605" s="132"/>
      <c r="G605" s="132"/>
      <c r="H605" s="132"/>
      <c r="I605" s="132"/>
      <c r="J605" s="132"/>
      <c r="K605" s="132"/>
      <c r="L605" s="132"/>
      <c r="M605" s="1"/>
      <c r="N605" s="1"/>
      <c r="O605" s="132"/>
      <c r="P605" s="132"/>
      <c r="Q605" s="132"/>
      <c r="R605" s="132"/>
      <c r="S605" s="132"/>
      <c r="T605" s="132"/>
      <c r="U605" s="132"/>
      <c r="V605" s="132"/>
      <c r="W605" s="132"/>
      <c r="X605" s="132"/>
      <c r="Y605" s="132"/>
      <c r="Z605" s="132"/>
      <c r="AA605" s="132"/>
      <c r="AB605" s="132"/>
      <c r="AC605" s="132"/>
      <c r="AD605" s="132"/>
      <c r="AE605" s="1"/>
    </row>
    <row r="606" spans="1:44" ht="15.75" customHeight="1">
      <c r="A606" s="132"/>
      <c r="B606" s="132"/>
      <c r="C606" s="132"/>
      <c r="D606" s="132"/>
      <c r="E606" s="132"/>
      <c r="F606" s="132"/>
      <c r="G606" s="132"/>
      <c r="H606" s="132"/>
      <c r="I606" s="132"/>
      <c r="J606" s="132"/>
      <c r="K606" s="132"/>
      <c r="L606" s="132"/>
      <c r="M606" s="1"/>
      <c r="N606" s="1"/>
      <c r="O606" s="132"/>
      <c r="P606" s="132"/>
      <c r="Q606" s="132"/>
      <c r="R606" s="132"/>
      <c r="S606" s="132"/>
      <c r="T606" s="132"/>
      <c r="U606" s="132"/>
      <c r="V606" s="132"/>
      <c r="W606" s="132"/>
      <c r="X606" s="132"/>
      <c r="Y606" s="132"/>
      <c r="Z606" s="132"/>
      <c r="AA606" s="132"/>
      <c r="AB606" s="132"/>
      <c r="AC606" s="132"/>
      <c r="AD606" s="132"/>
      <c r="AE606" s="1"/>
    </row>
    <row r="607" spans="1:44" ht="15.75" customHeight="1">
      <c r="A607" s="132"/>
      <c r="B607" s="132"/>
      <c r="C607" s="132"/>
      <c r="D607" s="132"/>
      <c r="E607" s="132"/>
      <c r="F607" s="132"/>
      <c r="G607" s="132"/>
      <c r="H607" s="132"/>
      <c r="I607" s="132"/>
      <c r="J607" s="132"/>
      <c r="K607" s="132"/>
      <c r="L607" s="132"/>
      <c r="M607" s="1"/>
      <c r="N607" s="1"/>
      <c r="O607" s="132"/>
      <c r="P607" s="132"/>
      <c r="Q607" s="132"/>
      <c r="R607" s="132"/>
      <c r="S607" s="132"/>
      <c r="T607" s="132"/>
      <c r="U607" s="132"/>
      <c r="V607" s="132"/>
      <c r="W607" s="132"/>
      <c r="X607" s="132"/>
      <c r="Y607" s="132"/>
      <c r="Z607" s="132"/>
      <c r="AA607" s="132"/>
      <c r="AB607" s="132"/>
      <c r="AC607" s="132"/>
      <c r="AD607" s="132"/>
      <c r="AE607" s="1"/>
    </row>
    <row r="608" spans="1:44" ht="15.75" customHeight="1">
      <c r="A608" s="132"/>
      <c r="B608" s="132"/>
      <c r="C608" s="132"/>
      <c r="D608" s="132"/>
      <c r="E608" s="132"/>
      <c r="F608" s="132"/>
      <c r="G608" s="132"/>
      <c r="H608" s="132"/>
      <c r="I608" s="132"/>
      <c r="J608" s="132"/>
      <c r="K608" s="132"/>
      <c r="L608" s="132"/>
      <c r="M608" s="1"/>
      <c r="N608" s="1"/>
      <c r="O608" s="132"/>
      <c r="P608" s="132"/>
      <c r="Q608" s="132"/>
      <c r="R608" s="132"/>
      <c r="S608" s="132"/>
      <c r="T608" s="132"/>
      <c r="U608" s="132"/>
      <c r="V608" s="132"/>
      <c r="W608" s="132"/>
      <c r="X608" s="132"/>
      <c r="Y608" s="132"/>
      <c r="Z608" s="132"/>
      <c r="AA608" s="132"/>
      <c r="AB608" s="132"/>
      <c r="AC608" s="132"/>
      <c r="AD608" s="132"/>
      <c r="AE608" s="1"/>
    </row>
    <row r="609" spans="1:31" ht="15.75" customHeight="1">
      <c r="A609" s="132"/>
      <c r="B609" s="132"/>
      <c r="C609" s="132"/>
      <c r="D609" s="132"/>
      <c r="E609" s="132"/>
      <c r="F609" s="132"/>
      <c r="G609" s="132"/>
      <c r="H609" s="132"/>
      <c r="I609" s="132"/>
      <c r="J609" s="132"/>
      <c r="K609" s="132"/>
      <c r="L609" s="132"/>
      <c r="M609" s="1"/>
      <c r="N609" s="1"/>
      <c r="O609" s="132"/>
      <c r="P609" s="132"/>
      <c r="Q609" s="132"/>
      <c r="R609" s="132"/>
      <c r="S609" s="132"/>
      <c r="T609" s="132"/>
      <c r="U609" s="132"/>
      <c r="V609" s="132"/>
      <c r="W609" s="132"/>
      <c r="X609" s="132"/>
      <c r="Y609" s="132"/>
      <c r="Z609" s="132"/>
      <c r="AA609" s="132"/>
      <c r="AB609" s="132"/>
      <c r="AC609" s="132"/>
      <c r="AD609" s="132"/>
      <c r="AE609" s="1"/>
    </row>
    <row r="610" spans="1:31" ht="15.75" customHeight="1">
      <c r="A610" s="132"/>
      <c r="B610" s="132"/>
      <c r="C610" s="132"/>
      <c r="D610" s="132"/>
      <c r="E610" s="132"/>
      <c r="F610" s="132"/>
      <c r="G610" s="132"/>
      <c r="H610" s="132"/>
      <c r="I610" s="132"/>
      <c r="J610" s="132"/>
      <c r="K610" s="132"/>
      <c r="L610" s="132"/>
      <c r="M610" s="1"/>
      <c r="N610" s="1"/>
      <c r="O610" s="132"/>
      <c r="P610" s="132"/>
      <c r="Q610" s="132"/>
      <c r="R610" s="132"/>
      <c r="S610" s="132"/>
      <c r="T610" s="132"/>
      <c r="U610" s="132"/>
      <c r="V610" s="132"/>
      <c r="W610" s="132"/>
      <c r="X610" s="132"/>
      <c r="Y610" s="132"/>
      <c r="Z610" s="132"/>
      <c r="AA610" s="132"/>
      <c r="AB610" s="132"/>
      <c r="AC610" s="132"/>
      <c r="AD610" s="132"/>
      <c r="AE610" s="1"/>
    </row>
    <row r="611" spans="1:31" ht="15.75" customHeight="1">
      <c r="A611" s="132"/>
      <c r="B611" s="132"/>
      <c r="C611" s="132"/>
      <c r="D611" s="132"/>
      <c r="E611" s="132"/>
      <c r="F611" s="132"/>
      <c r="G611" s="132"/>
      <c r="H611" s="132"/>
      <c r="I611" s="132"/>
      <c r="J611" s="132"/>
      <c r="K611" s="132"/>
      <c r="L611" s="132"/>
      <c r="M611" s="1"/>
      <c r="N611" s="1"/>
      <c r="O611" s="132"/>
      <c r="P611" s="132"/>
      <c r="Q611" s="132"/>
      <c r="R611" s="132"/>
      <c r="S611" s="132"/>
      <c r="T611" s="132"/>
      <c r="U611" s="132"/>
      <c r="V611" s="132"/>
      <c r="W611" s="132"/>
      <c r="X611" s="132"/>
      <c r="Y611" s="132"/>
      <c r="Z611" s="132"/>
      <c r="AA611" s="132"/>
      <c r="AB611" s="132"/>
      <c r="AC611" s="132"/>
      <c r="AD611" s="132"/>
      <c r="AE611" s="1"/>
    </row>
    <row r="612" spans="1:31" ht="15.75" customHeight="1">
      <c r="A612" s="132"/>
      <c r="B612" s="132"/>
      <c r="C612" s="132"/>
      <c r="D612" s="132"/>
      <c r="E612" s="132"/>
      <c r="F612" s="132"/>
      <c r="G612" s="132"/>
      <c r="H612" s="132"/>
      <c r="I612" s="132"/>
      <c r="J612" s="132"/>
      <c r="K612" s="132"/>
      <c r="L612" s="132"/>
      <c r="M612" s="1"/>
      <c r="N612" s="1"/>
      <c r="O612" s="132"/>
      <c r="P612" s="132"/>
      <c r="Q612" s="132"/>
      <c r="R612" s="132"/>
      <c r="S612" s="132"/>
      <c r="T612" s="132"/>
      <c r="U612" s="132"/>
      <c r="V612" s="132"/>
      <c r="W612" s="132"/>
      <c r="X612" s="132"/>
      <c r="Y612" s="132"/>
      <c r="Z612" s="132"/>
      <c r="AA612" s="132"/>
      <c r="AB612" s="132"/>
      <c r="AC612" s="132"/>
      <c r="AD612" s="132"/>
      <c r="AE612" s="1"/>
    </row>
    <row r="613" spans="1:31" ht="15.75" customHeight="1">
      <c r="A613" s="132"/>
      <c r="B613" s="132"/>
      <c r="C613" s="132"/>
      <c r="D613" s="132"/>
      <c r="E613" s="132"/>
      <c r="F613" s="132"/>
      <c r="G613" s="132"/>
      <c r="H613" s="132"/>
      <c r="I613" s="132"/>
      <c r="J613" s="132"/>
      <c r="K613" s="132"/>
      <c r="L613" s="132"/>
      <c r="M613" s="1"/>
      <c r="N613" s="1"/>
      <c r="O613" s="132"/>
      <c r="P613" s="132"/>
      <c r="Q613" s="132"/>
      <c r="R613" s="132"/>
      <c r="S613" s="132"/>
      <c r="T613" s="132"/>
      <c r="U613" s="132"/>
      <c r="V613" s="132"/>
      <c r="W613" s="132"/>
      <c r="X613" s="132"/>
      <c r="Y613" s="132"/>
      <c r="Z613" s="132"/>
      <c r="AA613" s="132"/>
      <c r="AB613" s="132"/>
      <c r="AC613" s="132"/>
      <c r="AD613" s="132"/>
      <c r="AE613" s="1"/>
    </row>
    <row r="614" spans="1:31" ht="15.75" customHeight="1">
      <c r="A614" s="132"/>
      <c r="B614" s="132"/>
      <c r="C614" s="132"/>
      <c r="D614" s="132"/>
      <c r="E614" s="132"/>
      <c r="F614" s="132"/>
      <c r="G614" s="132"/>
      <c r="H614" s="132"/>
      <c r="I614" s="132"/>
      <c r="J614" s="132"/>
      <c r="K614" s="132"/>
      <c r="L614" s="132"/>
      <c r="M614" s="1"/>
      <c r="N614" s="1"/>
      <c r="O614" s="132"/>
      <c r="P614" s="132"/>
      <c r="Q614" s="132"/>
      <c r="R614" s="132"/>
      <c r="S614" s="132"/>
      <c r="T614" s="132"/>
      <c r="U614" s="132"/>
      <c r="V614" s="132"/>
      <c r="W614" s="132"/>
      <c r="X614" s="132"/>
      <c r="Y614" s="132"/>
      <c r="Z614" s="132"/>
      <c r="AA614" s="132"/>
      <c r="AB614" s="132"/>
      <c r="AC614" s="132"/>
      <c r="AD614" s="132"/>
      <c r="AE614" s="1"/>
    </row>
    <row r="615" spans="1:31" ht="15.75" customHeight="1">
      <c r="A615" s="132"/>
      <c r="B615" s="132"/>
      <c r="C615" s="132"/>
      <c r="D615" s="132"/>
      <c r="E615" s="132"/>
      <c r="F615" s="132"/>
      <c r="G615" s="132"/>
      <c r="H615" s="132"/>
      <c r="I615" s="132"/>
      <c r="J615" s="132"/>
      <c r="K615" s="132"/>
      <c r="L615" s="132"/>
      <c r="M615" s="1"/>
      <c r="N615" s="1"/>
      <c r="O615" s="132"/>
      <c r="P615" s="132"/>
      <c r="Q615" s="132"/>
      <c r="R615" s="132"/>
      <c r="S615" s="132"/>
      <c r="T615" s="132"/>
      <c r="U615" s="132"/>
      <c r="V615" s="132"/>
      <c r="W615" s="132"/>
      <c r="X615" s="132"/>
      <c r="Y615" s="132"/>
      <c r="Z615" s="132"/>
      <c r="AA615" s="132"/>
      <c r="AB615" s="132"/>
      <c r="AC615" s="132"/>
      <c r="AD615" s="132"/>
      <c r="AE615" s="1"/>
    </row>
    <row r="616" spans="1:31" ht="15.75" customHeight="1">
      <c r="A616" s="132"/>
      <c r="B616" s="132"/>
      <c r="C616" s="132"/>
      <c r="D616" s="132"/>
      <c r="E616" s="132"/>
      <c r="F616" s="132"/>
      <c r="G616" s="132"/>
      <c r="H616" s="132"/>
      <c r="I616" s="132"/>
      <c r="J616" s="132"/>
      <c r="K616" s="132"/>
      <c r="L616" s="132"/>
      <c r="M616" s="1"/>
      <c r="N616" s="1"/>
      <c r="O616" s="132"/>
      <c r="P616" s="132"/>
      <c r="Q616" s="132"/>
      <c r="R616" s="132"/>
      <c r="S616" s="132"/>
      <c r="T616" s="132"/>
      <c r="U616" s="132"/>
      <c r="V616" s="132"/>
      <c r="W616" s="132"/>
      <c r="X616" s="132"/>
      <c r="Y616" s="132"/>
      <c r="Z616" s="132"/>
      <c r="AA616" s="132"/>
      <c r="AB616" s="132"/>
      <c r="AC616" s="132"/>
      <c r="AD616" s="132"/>
      <c r="AE616" s="1"/>
    </row>
    <row r="617" spans="1:31" ht="15.75" customHeight="1">
      <c r="A617" s="132"/>
      <c r="B617" s="132"/>
      <c r="C617" s="132"/>
      <c r="D617" s="132"/>
      <c r="E617" s="132"/>
      <c r="F617" s="132"/>
      <c r="G617" s="132"/>
      <c r="H617" s="132"/>
      <c r="I617" s="132"/>
      <c r="J617" s="132"/>
      <c r="K617" s="132"/>
      <c r="L617" s="132"/>
      <c r="M617" s="1"/>
      <c r="N617" s="1"/>
      <c r="O617" s="132"/>
      <c r="P617" s="132"/>
      <c r="Q617" s="132"/>
      <c r="R617" s="132"/>
      <c r="S617" s="132"/>
      <c r="T617" s="132"/>
      <c r="U617" s="132"/>
      <c r="V617" s="132"/>
      <c r="W617" s="132"/>
      <c r="X617" s="132"/>
      <c r="Y617" s="132"/>
      <c r="Z617" s="132"/>
      <c r="AA617" s="132"/>
      <c r="AB617" s="132"/>
      <c r="AC617" s="132"/>
      <c r="AD617" s="132"/>
      <c r="AE617" s="1"/>
    </row>
    <row r="618" spans="1:31" ht="15.75" customHeight="1">
      <c r="A618" s="132"/>
      <c r="B618" s="132"/>
      <c r="C618" s="132"/>
      <c r="D618" s="132"/>
      <c r="E618" s="132"/>
      <c r="F618" s="132"/>
      <c r="G618" s="132"/>
      <c r="H618" s="132"/>
      <c r="I618" s="132"/>
      <c r="J618" s="132"/>
      <c r="K618" s="132"/>
      <c r="L618" s="132"/>
      <c r="M618" s="1"/>
      <c r="N618" s="1"/>
      <c r="O618" s="132"/>
      <c r="P618" s="132"/>
      <c r="Q618" s="132"/>
      <c r="R618" s="132"/>
      <c r="S618" s="132"/>
      <c r="T618" s="132"/>
      <c r="U618" s="132"/>
      <c r="V618" s="132"/>
      <c r="W618" s="132"/>
      <c r="X618" s="132"/>
      <c r="Y618" s="132"/>
      <c r="Z618" s="132"/>
      <c r="AA618" s="132"/>
      <c r="AB618" s="132"/>
      <c r="AC618" s="132"/>
      <c r="AD618" s="132"/>
      <c r="AE618" s="1"/>
    </row>
    <row r="619" spans="1:31" ht="15.75" customHeight="1">
      <c r="A619" s="132"/>
      <c r="B619" s="132"/>
      <c r="C619" s="132"/>
      <c r="D619" s="132"/>
      <c r="E619" s="132"/>
      <c r="F619" s="132"/>
      <c r="G619" s="132"/>
      <c r="H619" s="132"/>
      <c r="I619" s="132"/>
      <c r="J619" s="132"/>
      <c r="K619" s="132"/>
      <c r="L619" s="132"/>
      <c r="M619" s="1"/>
      <c r="N619" s="1"/>
      <c r="O619" s="132"/>
      <c r="P619" s="132"/>
      <c r="Q619" s="132"/>
      <c r="R619" s="132"/>
      <c r="S619" s="132"/>
      <c r="T619" s="132"/>
      <c r="U619" s="132"/>
      <c r="V619" s="132"/>
      <c r="W619" s="132"/>
      <c r="X619" s="132"/>
      <c r="Y619" s="132"/>
      <c r="Z619" s="132"/>
      <c r="AA619" s="132"/>
      <c r="AB619" s="132"/>
      <c r="AC619" s="132"/>
      <c r="AD619" s="132"/>
      <c r="AE619" s="1"/>
    </row>
    <row r="620" spans="1:31" ht="15.75" customHeight="1">
      <c r="A620" s="132"/>
      <c r="B620" s="132"/>
      <c r="C620" s="132"/>
      <c r="D620" s="132"/>
      <c r="E620" s="132"/>
      <c r="F620" s="132"/>
      <c r="G620" s="132"/>
      <c r="H620" s="132"/>
      <c r="I620" s="132"/>
      <c r="J620" s="132"/>
      <c r="K620" s="132"/>
      <c r="L620" s="132"/>
      <c r="M620" s="1"/>
      <c r="N620" s="1"/>
      <c r="O620" s="132"/>
      <c r="P620" s="132"/>
      <c r="Q620" s="132"/>
      <c r="R620" s="132"/>
      <c r="S620" s="132"/>
      <c r="T620" s="132"/>
      <c r="U620" s="132"/>
      <c r="V620" s="132"/>
      <c r="W620" s="132"/>
      <c r="X620" s="132"/>
      <c r="Y620" s="132"/>
      <c r="Z620" s="132"/>
      <c r="AA620" s="132"/>
      <c r="AB620" s="132"/>
      <c r="AC620" s="132"/>
      <c r="AD620" s="132"/>
      <c r="AE620" s="1"/>
    </row>
    <row r="621" spans="1:31" ht="15.75" customHeight="1">
      <c r="A621" s="132"/>
      <c r="B621" s="132"/>
      <c r="C621" s="132"/>
      <c r="D621" s="132"/>
      <c r="E621" s="132"/>
      <c r="F621" s="132"/>
      <c r="G621" s="132"/>
      <c r="H621" s="132"/>
      <c r="I621" s="132"/>
      <c r="J621" s="132"/>
      <c r="K621" s="132"/>
      <c r="L621" s="132"/>
      <c r="M621" s="1"/>
      <c r="N621" s="1"/>
      <c r="O621" s="132"/>
      <c r="P621" s="132"/>
      <c r="Q621" s="132"/>
      <c r="R621" s="132"/>
      <c r="S621" s="132"/>
      <c r="T621" s="132"/>
      <c r="U621" s="132"/>
      <c r="V621" s="132"/>
      <c r="W621" s="132"/>
      <c r="X621" s="132"/>
      <c r="Y621" s="132"/>
      <c r="Z621" s="132"/>
      <c r="AA621" s="132"/>
      <c r="AB621" s="132"/>
      <c r="AC621" s="132"/>
      <c r="AD621" s="132"/>
      <c r="AE621" s="1"/>
    </row>
    <row r="622" spans="1:31" ht="15.75" customHeight="1">
      <c r="A622" s="132"/>
      <c r="B622" s="132"/>
      <c r="C622" s="132"/>
      <c r="D622" s="132"/>
      <c r="E622" s="132"/>
      <c r="F622" s="132"/>
      <c r="G622" s="132"/>
      <c r="H622" s="132"/>
      <c r="I622" s="132"/>
      <c r="J622" s="132"/>
      <c r="K622" s="132"/>
      <c r="L622" s="132"/>
      <c r="M622" s="1"/>
      <c r="N622" s="1"/>
      <c r="O622" s="132"/>
      <c r="P622" s="132"/>
      <c r="Q622" s="132"/>
      <c r="R622" s="132"/>
      <c r="S622" s="132"/>
      <c r="T622" s="132"/>
      <c r="U622" s="132"/>
      <c r="V622" s="132"/>
      <c r="W622" s="132"/>
      <c r="X622" s="132"/>
      <c r="Y622" s="132"/>
      <c r="Z622" s="132"/>
      <c r="AA622" s="132"/>
      <c r="AB622" s="132"/>
      <c r="AC622" s="132"/>
      <c r="AD622" s="132"/>
      <c r="AE622" s="1"/>
    </row>
    <row r="623" spans="1:31" ht="15.75" customHeight="1">
      <c r="A623" s="132"/>
      <c r="B623" s="132"/>
      <c r="C623" s="132"/>
      <c r="D623" s="132"/>
      <c r="E623" s="132"/>
      <c r="F623" s="132"/>
      <c r="G623" s="132"/>
      <c r="H623" s="132"/>
      <c r="I623" s="132"/>
      <c r="J623" s="132"/>
      <c r="K623" s="132"/>
      <c r="L623" s="132"/>
      <c r="M623" s="1"/>
      <c r="N623" s="1"/>
      <c r="O623" s="132"/>
      <c r="P623" s="132"/>
      <c r="Q623" s="132"/>
      <c r="R623" s="132"/>
      <c r="S623" s="132"/>
      <c r="T623" s="132"/>
      <c r="U623" s="132"/>
      <c r="V623" s="132"/>
      <c r="W623" s="132"/>
      <c r="X623" s="132"/>
      <c r="Y623" s="132"/>
      <c r="Z623" s="132"/>
      <c r="AA623" s="132"/>
      <c r="AB623" s="132"/>
      <c r="AC623" s="132"/>
      <c r="AD623" s="132"/>
      <c r="AE623" s="1"/>
    </row>
    <row r="624" spans="1:31" ht="15.75" customHeight="1">
      <c r="A624" s="132"/>
      <c r="B624" s="132"/>
      <c r="C624" s="132"/>
      <c r="D624" s="132"/>
      <c r="E624" s="132"/>
      <c r="F624" s="132"/>
      <c r="G624" s="132"/>
      <c r="H624" s="132"/>
      <c r="I624" s="132"/>
      <c r="J624" s="132"/>
      <c r="K624" s="132"/>
      <c r="L624" s="132"/>
      <c r="M624" s="1"/>
      <c r="N624" s="1"/>
      <c r="O624" s="132"/>
      <c r="P624" s="132"/>
      <c r="Q624" s="132"/>
      <c r="R624" s="132"/>
      <c r="S624" s="132"/>
      <c r="T624" s="132"/>
      <c r="U624" s="132"/>
      <c r="V624" s="132"/>
      <c r="W624" s="132"/>
      <c r="X624" s="132"/>
      <c r="Y624" s="132"/>
      <c r="Z624" s="132"/>
      <c r="AA624" s="132"/>
      <c r="AB624" s="132"/>
      <c r="AC624" s="132"/>
      <c r="AD624" s="132"/>
      <c r="AE624" s="1"/>
    </row>
    <row r="625" spans="1:31" ht="15.75" customHeight="1">
      <c r="A625" s="132"/>
      <c r="B625" s="132"/>
      <c r="C625" s="132"/>
      <c r="D625" s="132"/>
      <c r="E625" s="132"/>
      <c r="F625" s="132"/>
      <c r="G625" s="132"/>
      <c r="H625" s="132"/>
      <c r="I625" s="132"/>
      <c r="J625" s="132"/>
      <c r="K625" s="132"/>
      <c r="L625" s="132"/>
      <c r="M625" s="1"/>
      <c r="N625" s="1"/>
      <c r="O625" s="132"/>
      <c r="P625" s="132"/>
      <c r="Q625" s="132"/>
      <c r="R625" s="132"/>
      <c r="S625" s="132"/>
      <c r="T625" s="132"/>
      <c r="U625" s="132"/>
      <c r="V625" s="132"/>
      <c r="W625" s="132"/>
      <c r="X625" s="132"/>
      <c r="Y625" s="132"/>
      <c r="Z625" s="132"/>
      <c r="AA625" s="132"/>
      <c r="AB625" s="132"/>
      <c r="AC625" s="132"/>
      <c r="AD625" s="132"/>
      <c r="AE625" s="1"/>
    </row>
    <row r="626" spans="1:31" ht="15.75" customHeight="1">
      <c r="A626" s="132"/>
      <c r="B626" s="132"/>
      <c r="C626" s="132"/>
      <c r="D626" s="132"/>
      <c r="E626" s="132"/>
      <c r="F626" s="132"/>
      <c r="G626" s="132"/>
      <c r="H626" s="132"/>
      <c r="I626" s="132"/>
      <c r="J626" s="132"/>
      <c r="K626" s="132"/>
      <c r="L626" s="132"/>
      <c r="M626" s="1"/>
      <c r="N626" s="1"/>
      <c r="O626" s="132"/>
      <c r="P626" s="132"/>
      <c r="Q626" s="132"/>
      <c r="R626" s="132"/>
      <c r="S626" s="132"/>
      <c r="T626" s="132"/>
      <c r="U626" s="132"/>
      <c r="V626" s="132"/>
      <c r="W626" s="132"/>
      <c r="X626" s="132"/>
      <c r="Y626" s="132"/>
      <c r="Z626" s="132"/>
      <c r="AA626" s="132"/>
      <c r="AB626" s="132"/>
      <c r="AC626" s="132"/>
      <c r="AD626" s="132"/>
      <c r="AE626" s="1"/>
    </row>
    <row r="627" spans="1:31" ht="15.75" customHeight="1">
      <c r="A627" s="132"/>
      <c r="B627" s="132"/>
      <c r="C627" s="132"/>
      <c r="D627" s="132"/>
      <c r="E627" s="132"/>
      <c r="F627" s="132"/>
      <c r="G627" s="132"/>
      <c r="H627" s="132"/>
      <c r="I627" s="132"/>
      <c r="J627" s="132"/>
      <c r="K627" s="132"/>
      <c r="L627" s="132"/>
      <c r="M627" s="1"/>
      <c r="N627" s="1"/>
      <c r="O627" s="132"/>
      <c r="P627" s="132"/>
      <c r="Q627" s="132"/>
      <c r="R627" s="132"/>
      <c r="S627" s="132"/>
      <c r="T627" s="132"/>
      <c r="U627" s="132"/>
      <c r="V627" s="132"/>
      <c r="W627" s="132"/>
      <c r="X627" s="132"/>
      <c r="Y627" s="132"/>
      <c r="Z627" s="132"/>
      <c r="AA627" s="132"/>
      <c r="AB627" s="132"/>
      <c r="AC627" s="132"/>
      <c r="AD627" s="132"/>
      <c r="AE627" s="1"/>
    </row>
    <row r="628" spans="1:31" ht="15.75" customHeight="1">
      <c r="A628" s="132"/>
      <c r="B628" s="132"/>
      <c r="C628" s="132"/>
      <c r="D628" s="132"/>
      <c r="E628" s="132"/>
      <c r="F628" s="132"/>
      <c r="G628" s="132"/>
      <c r="H628" s="132"/>
      <c r="I628" s="132"/>
      <c r="J628" s="132"/>
      <c r="K628" s="132"/>
      <c r="L628" s="132"/>
      <c r="M628" s="1"/>
      <c r="N628" s="1"/>
      <c r="O628" s="132"/>
      <c r="P628" s="132"/>
      <c r="Q628" s="132"/>
      <c r="R628" s="132"/>
      <c r="S628" s="132"/>
      <c r="T628" s="132"/>
      <c r="U628" s="132"/>
      <c r="V628" s="132"/>
      <c r="W628" s="132"/>
      <c r="X628" s="132"/>
      <c r="Y628" s="132"/>
      <c r="Z628" s="132"/>
      <c r="AA628" s="132"/>
      <c r="AB628" s="132"/>
      <c r="AC628" s="132"/>
      <c r="AD628" s="132"/>
      <c r="AE628" s="1"/>
    </row>
    <row r="629" spans="1:31" ht="15.75" customHeight="1">
      <c r="A629" s="132"/>
      <c r="B629" s="132"/>
      <c r="C629" s="132"/>
      <c r="D629" s="132"/>
      <c r="E629" s="132"/>
      <c r="F629" s="132"/>
      <c r="G629" s="132"/>
      <c r="H629" s="132"/>
      <c r="I629" s="132"/>
      <c r="J629" s="132"/>
      <c r="K629" s="132"/>
      <c r="L629" s="132"/>
      <c r="M629" s="1"/>
      <c r="N629" s="1"/>
      <c r="O629" s="132"/>
      <c r="P629" s="132"/>
      <c r="Q629" s="132"/>
      <c r="R629" s="132"/>
      <c r="S629" s="132"/>
      <c r="T629" s="132"/>
      <c r="U629" s="132"/>
      <c r="V629" s="132"/>
      <c r="W629" s="132"/>
      <c r="X629" s="132"/>
      <c r="Y629" s="132"/>
      <c r="Z629" s="132"/>
      <c r="AA629" s="132"/>
      <c r="AB629" s="132"/>
      <c r="AC629" s="132"/>
      <c r="AD629" s="132"/>
      <c r="AE629" s="1"/>
    </row>
    <row r="630" spans="1:31" ht="15.75" customHeight="1">
      <c r="A630" s="132"/>
      <c r="B630" s="132"/>
      <c r="C630" s="132"/>
      <c r="D630" s="132"/>
      <c r="E630" s="132"/>
      <c r="F630" s="132"/>
      <c r="G630" s="132"/>
      <c r="H630" s="132"/>
      <c r="I630" s="132"/>
      <c r="J630" s="132"/>
      <c r="K630" s="132"/>
      <c r="L630" s="132"/>
      <c r="M630" s="1"/>
      <c r="N630" s="1"/>
      <c r="O630" s="132"/>
      <c r="P630" s="132"/>
      <c r="Q630" s="132"/>
      <c r="R630" s="132"/>
      <c r="S630" s="132"/>
      <c r="T630" s="132"/>
      <c r="U630" s="132"/>
      <c r="V630" s="132"/>
      <c r="W630" s="132"/>
      <c r="X630" s="132"/>
      <c r="Y630" s="132"/>
      <c r="Z630" s="132"/>
      <c r="AA630" s="132"/>
      <c r="AB630" s="132"/>
      <c r="AC630" s="132"/>
      <c r="AD630" s="132"/>
      <c r="AE630" s="1"/>
    </row>
    <row r="631" spans="1:31" ht="15.75" customHeight="1">
      <c r="A631" s="132"/>
      <c r="B631" s="132"/>
      <c r="C631" s="132"/>
      <c r="D631" s="132"/>
      <c r="E631" s="132"/>
      <c r="F631" s="132"/>
      <c r="G631" s="132"/>
      <c r="H631" s="132"/>
      <c r="I631" s="132"/>
      <c r="J631" s="132"/>
      <c r="K631" s="132"/>
      <c r="L631" s="132"/>
      <c r="M631" s="1"/>
      <c r="N631" s="1"/>
      <c r="O631" s="132"/>
      <c r="P631" s="132"/>
      <c r="Q631" s="132"/>
      <c r="R631" s="132"/>
      <c r="S631" s="132"/>
      <c r="T631" s="132"/>
      <c r="U631" s="132"/>
      <c r="V631" s="132"/>
      <c r="W631" s="132"/>
      <c r="X631" s="132"/>
      <c r="Y631" s="132"/>
      <c r="Z631" s="132"/>
      <c r="AA631" s="132"/>
      <c r="AB631" s="132"/>
      <c r="AC631" s="132"/>
      <c r="AD631" s="132"/>
      <c r="AE631" s="1"/>
    </row>
    <row r="632" spans="1:31" ht="15.75" customHeight="1">
      <c r="A632" s="132"/>
      <c r="B632" s="132"/>
      <c r="C632" s="132"/>
      <c r="D632" s="132"/>
      <c r="E632" s="132"/>
      <c r="F632" s="132"/>
      <c r="G632" s="132"/>
      <c r="H632" s="132"/>
      <c r="I632" s="132"/>
      <c r="J632" s="132"/>
      <c r="K632" s="132"/>
      <c r="L632" s="132"/>
      <c r="M632" s="1"/>
      <c r="N632" s="1"/>
      <c r="O632" s="132"/>
      <c r="P632" s="132"/>
      <c r="Q632" s="132"/>
      <c r="R632" s="132"/>
      <c r="S632" s="132"/>
      <c r="T632" s="132"/>
      <c r="U632" s="132"/>
      <c r="V632" s="132"/>
      <c r="W632" s="132"/>
      <c r="X632" s="132"/>
      <c r="Y632" s="132"/>
      <c r="Z632" s="132"/>
      <c r="AA632" s="132"/>
      <c r="AB632" s="132"/>
      <c r="AC632" s="132"/>
      <c r="AD632" s="132"/>
      <c r="AE632" s="1"/>
    </row>
    <row r="633" spans="1:31" ht="15.75" customHeight="1">
      <c r="A633" s="132"/>
      <c r="B633" s="132"/>
      <c r="C633" s="132"/>
      <c r="D633" s="132"/>
      <c r="E633" s="132"/>
      <c r="F633" s="132"/>
      <c r="G633" s="132"/>
      <c r="H633" s="132"/>
      <c r="I633" s="132"/>
      <c r="J633" s="132"/>
      <c r="K633" s="132"/>
      <c r="L633" s="132"/>
      <c r="M633" s="1"/>
      <c r="N633" s="1"/>
      <c r="O633" s="132"/>
      <c r="P633" s="132"/>
      <c r="Q633" s="132"/>
      <c r="R633" s="132"/>
      <c r="S633" s="132"/>
      <c r="T633" s="132"/>
      <c r="U633" s="132"/>
      <c r="V633" s="132"/>
      <c r="W633" s="132"/>
      <c r="X633" s="132"/>
      <c r="Y633" s="132"/>
      <c r="Z633" s="132"/>
      <c r="AA633" s="132"/>
      <c r="AB633" s="132"/>
      <c r="AC633" s="132"/>
      <c r="AD633" s="132"/>
      <c r="AE633" s="1"/>
    </row>
    <row r="634" spans="1:31" ht="15.75" customHeight="1">
      <c r="A634" s="132"/>
      <c r="B634" s="132"/>
      <c r="C634" s="132"/>
      <c r="D634" s="132"/>
      <c r="E634" s="132"/>
      <c r="F634" s="132"/>
      <c r="G634" s="132"/>
      <c r="H634" s="132"/>
      <c r="I634" s="132"/>
      <c r="J634" s="132"/>
      <c r="K634" s="132"/>
      <c r="L634" s="132"/>
      <c r="M634" s="1"/>
      <c r="N634" s="1"/>
      <c r="O634" s="132"/>
      <c r="P634" s="132"/>
      <c r="Q634" s="132"/>
      <c r="R634" s="132"/>
      <c r="S634" s="132"/>
      <c r="T634" s="132"/>
      <c r="U634" s="132"/>
      <c r="V634" s="132"/>
      <c r="W634" s="132"/>
      <c r="X634" s="132"/>
      <c r="Y634" s="132"/>
      <c r="Z634" s="132"/>
      <c r="AA634" s="132"/>
      <c r="AB634" s="132"/>
      <c r="AC634" s="132"/>
      <c r="AD634" s="132"/>
      <c r="AE634" s="1"/>
    </row>
    <row r="635" spans="1:31" ht="15.75" customHeight="1">
      <c r="A635" s="132"/>
      <c r="B635" s="132"/>
      <c r="C635" s="132"/>
      <c r="D635" s="132"/>
      <c r="E635" s="132"/>
      <c r="F635" s="132"/>
      <c r="G635" s="132"/>
      <c r="H635" s="132"/>
      <c r="I635" s="132"/>
      <c r="J635" s="132"/>
      <c r="K635" s="132"/>
      <c r="L635" s="132"/>
      <c r="M635" s="1"/>
      <c r="N635" s="1"/>
      <c r="O635" s="132"/>
      <c r="P635" s="132"/>
      <c r="Q635" s="132"/>
      <c r="R635" s="132"/>
      <c r="S635" s="132"/>
      <c r="T635" s="132"/>
      <c r="U635" s="132"/>
      <c r="V635" s="132"/>
      <c r="W635" s="132"/>
      <c r="X635" s="132"/>
      <c r="Y635" s="132"/>
      <c r="Z635" s="132"/>
      <c r="AA635" s="132"/>
      <c r="AB635" s="132"/>
      <c r="AC635" s="132"/>
      <c r="AD635" s="132"/>
      <c r="AE635" s="1"/>
    </row>
    <row r="636" spans="1:31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</row>
    <row r="637" spans="1:31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</row>
    <row r="638" spans="1:31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</row>
    <row r="639" spans="1:31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</row>
    <row r="640" spans="1:31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</row>
    <row r="641" spans="1:3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</row>
    <row r="642" spans="1:31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</row>
    <row r="643" spans="1:31" ht="15.75" customHeight="1">
      <c r="A643" s="131" t="s">
        <v>68</v>
      </c>
      <c r="B643" s="131"/>
      <c r="C643" s="131"/>
      <c r="D643" s="1"/>
      <c r="E643" s="1"/>
      <c r="F643" s="1"/>
      <c r="G643" s="1"/>
      <c r="H643" s="1"/>
      <c r="I643" s="1"/>
      <c r="K643" s="25"/>
      <c r="L643" s="25"/>
      <c r="M643" s="1"/>
      <c r="N643" s="1"/>
      <c r="O643" s="131" t="s">
        <v>69</v>
      </c>
      <c r="P643" s="131"/>
      <c r="Q643" s="13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</row>
    <row r="644" spans="1:31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</row>
    <row r="645" spans="1:31" ht="15.75" customHeight="1">
      <c r="A645" s="132"/>
      <c r="B645" s="132"/>
      <c r="C645" s="132"/>
      <c r="D645" s="132"/>
      <c r="E645" s="132"/>
      <c r="F645" s="132"/>
      <c r="G645" s="132"/>
      <c r="H645" s="132"/>
      <c r="I645" s="132"/>
      <c r="J645" s="132"/>
      <c r="K645" s="132"/>
      <c r="L645" s="132"/>
      <c r="M645" s="1"/>
      <c r="N645" s="1"/>
      <c r="O645" s="132"/>
      <c r="P645" s="132"/>
      <c r="Q645" s="132"/>
      <c r="R645" s="132"/>
      <c r="S645" s="132"/>
      <c r="T645" s="132"/>
      <c r="U645" s="132"/>
      <c r="V645" s="132"/>
      <c r="W645" s="132"/>
      <c r="X645" s="132"/>
      <c r="Y645" s="132"/>
      <c r="Z645" s="132"/>
      <c r="AA645" s="132"/>
      <c r="AB645" s="132"/>
      <c r="AC645" s="132"/>
      <c r="AD645" s="132"/>
      <c r="AE645" s="1"/>
    </row>
    <row r="646" spans="1:31" ht="15.75" customHeight="1">
      <c r="A646" s="132"/>
      <c r="B646" s="132"/>
      <c r="C646" s="132"/>
      <c r="D646" s="132"/>
      <c r="E646" s="132"/>
      <c r="F646" s="132"/>
      <c r="G646" s="132"/>
      <c r="H646" s="132"/>
      <c r="I646" s="132"/>
      <c r="J646" s="132"/>
      <c r="K646" s="132"/>
      <c r="L646" s="132"/>
      <c r="M646" s="1"/>
      <c r="N646" s="1"/>
      <c r="O646" s="132"/>
      <c r="P646" s="132"/>
      <c r="Q646" s="132"/>
      <c r="R646" s="132"/>
      <c r="S646" s="132"/>
      <c r="T646" s="132"/>
      <c r="U646" s="132"/>
      <c r="V646" s="132"/>
      <c r="W646" s="132"/>
      <c r="X646" s="132"/>
      <c r="Y646" s="132"/>
      <c r="Z646" s="132"/>
      <c r="AA646" s="132"/>
      <c r="AB646" s="132"/>
      <c r="AC646" s="132"/>
      <c r="AD646" s="132"/>
      <c r="AE646" s="1"/>
    </row>
    <row r="647" spans="1:31" ht="15.75" customHeight="1">
      <c r="A647" s="132"/>
      <c r="B647" s="132"/>
      <c r="C647" s="132"/>
      <c r="D647" s="132"/>
      <c r="E647" s="132"/>
      <c r="F647" s="132"/>
      <c r="G647" s="132"/>
      <c r="H647" s="132"/>
      <c r="I647" s="132"/>
      <c r="J647" s="132"/>
      <c r="K647" s="132"/>
      <c r="L647" s="132"/>
      <c r="M647" s="1"/>
      <c r="N647" s="1"/>
      <c r="O647" s="132"/>
      <c r="P647" s="132"/>
      <c r="Q647" s="132"/>
      <c r="R647" s="132"/>
      <c r="S647" s="132"/>
      <c r="T647" s="132"/>
      <c r="U647" s="132"/>
      <c r="V647" s="132"/>
      <c r="W647" s="132"/>
      <c r="X647" s="132"/>
      <c r="Y647" s="132"/>
      <c r="Z647" s="132"/>
      <c r="AA647" s="132"/>
      <c r="AB647" s="132"/>
      <c r="AC647" s="132"/>
      <c r="AD647" s="132"/>
      <c r="AE647" s="1"/>
    </row>
    <row r="648" spans="1:31" ht="15.75" customHeight="1">
      <c r="A648" s="132"/>
      <c r="B648" s="132"/>
      <c r="C648" s="132"/>
      <c r="D648" s="132"/>
      <c r="E648" s="132"/>
      <c r="F648" s="132"/>
      <c r="G648" s="132"/>
      <c r="H648" s="132"/>
      <c r="I648" s="132"/>
      <c r="J648" s="132"/>
      <c r="K648" s="132"/>
      <c r="L648" s="132"/>
      <c r="M648" s="1"/>
      <c r="N648" s="1"/>
      <c r="O648" s="132"/>
      <c r="P648" s="132"/>
      <c r="Q648" s="132"/>
      <c r="R648" s="132"/>
      <c r="S648" s="132"/>
      <c r="T648" s="132"/>
      <c r="U648" s="132"/>
      <c r="V648" s="132"/>
      <c r="W648" s="132"/>
      <c r="X648" s="132"/>
      <c r="Y648" s="132"/>
      <c r="Z648" s="132"/>
      <c r="AA648" s="132"/>
      <c r="AB648" s="132"/>
      <c r="AC648" s="132"/>
      <c r="AD648" s="132"/>
      <c r="AE648" s="1"/>
    </row>
    <row r="649" spans="1:31" ht="15.75" customHeight="1">
      <c r="A649" s="132"/>
      <c r="B649" s="132"/>
      <c r="C649" s="132"/>
      <c r="D649" s="132"/>
      <c r="E649" s="132"/>
      <c r="F649" s="132"/>
      <c r="G649" s="132"/>
      <c r="H649" s="132"/>
      <c r="I649" s="132"/>
      <c r="J649" s="132"/>
      <c r="K649" s="132"/>
      <c r="L649" s="132"/>
      <c r="M649" s="1"/>
      <c r="N649" s="1"/>
      <c r="O649" s="132"/>
      <c r="P649" s="132"/>
      <c r="Q649" s="132"/>
      <c r="R649" s="132"/>
      <c r="S649" s="132"/>
      <c r="T649" s="132"/>
      <c r="U649" s="132"/>
      <c r="V649" s="132"/>
      <c r="W649" s="132"/>
      <c r="X649" s="132"/>
      <c r="Y649" s="132"/>
      <c r="Z649" s="132"/>
      <c r="AA649" s="132"/>
      <c r="AB649" s="132"/>
      <c r="AC649" s="132"/>
      <c r="AD649" s="132"/>
      <c r="AE649" s="1"/>
    </row>
    <row r="650" spans="1:31" ht="15.75" customHeight="1">
      <c r="A650" s="132"/>
      <c r="B650" s="132"/>
      <c r="C650" s="132"/>
      <c r="D650" s="132"/>
      <c r="E650" s="132"/>
      <c r="F650" s="132"/>
      <c r="G650" s="132"/>
      <c r="H650" s="132"/>
      <c r="I650" s="132"/>
      <c r="J650" s="132"/>
      <c r="K650" s="132"/>
      <c r="L650" s="132"/>
      <c r="M650" s="1"/>
      <c r="N650" s="1"/>
      <c r="O650" s="132"/>
      <c r="P650" s="132"/>
      <c r="Q650" s="132"/>
      <c r="R650" s="132"/>
      <c r="S650" s="132"/>
      <c r="T650" s="132"/>
      <c r="U650" s="132"/>
      <c r="V650" s="132"/>
      <c r="W650" s="132"/>
      <c r="X650" s="132"/>
      <c r="Y650" s="132"/>
      <c r="Z650" s="132"/>
      <c r="AA650" s="132"/>
      <c r="AB650" s="132"/>
      <c r="AC650" s="132"/>
      <c r="AD650" s="132"/>
      <c r="AE650" s="1"/>
    </row>
    <row r="651" spans="1:31" ht="15.75" customHeight="1">
      <c r="A651" s="132"/>
      <c r="B651" s="132"/>
      <c r="C651" s="132"/>
      <c r="D651" s="132"/>
      <c r="E651" s="132"/>
      <c r="F651" s="132"/>
      <c r="G651" s="132"/>
      <c r="H651" s="132"/>
      <c r="I651" s="132"/>
      <c r="J651" s="132"/>
      <c r="K651" s="132"/>
      <c r="L651" s="132"/>
      <c r="M651" s="1"/>
      <c r="N651" s="1"/>
      <c r="O651" s="132"/>
      <c r="P651" s="132"/>
      <c r="Q651" s="132"/>
      <c r="R651" s="132"/>
      <c r="S651" s="132"/>
      <c r="T651" s="132"/>
      <c r="U651" s="132"/>
      <c r="V651" s="132"/>
      <c r="W651" s="132"/>
      <c r="X651" s="132"/>
      <c r="Y651" s="132"/>
      <c r="Z651" s="132"/>
      <c r="AA651" s="132"/>
      <c r="AB651" s="132"/>
      <c r="AC651" s="132"/>
      <c r="AD651" s="132"/>
      <c r="AE651" s="1"/>
    </row>
    <row r="652" spans="1:31" ht="15.75" customHeight="1">
      <c r="A652" s="132"/>
      <c r="B652" s="132"/>
      <c r="C652" s="132"/>
      <c r="D652" s="132"/>
      <c r="E652" s="132"/>
      <c r="F652" s="132"/>
      <c r="G652" s="132"/>
      <c r="H652" s="132"/>
      <c r="I652" s="132"/>
      <c r="J652" s="132"/>
      <c r="K652" s="132"/>
      <c r="L652" s="132"/>
      <c r="M652" s="1"/>
      <c r="N652" s="1"/>
      <c r="O652" s="132"/>
      <c r="P652" s="132"/>
      <c r="Q652" s="132"/>
      <c r="R652" s="132"/>
      <c r="S652" s="132"/>
      <c r="T652" s="132"/>
      <c r="U652" s="132"/>
      <c r="V652" s="132"/>
      <c r="W652" s="132"/>
      <c r="X652" s="132"/>
      <c r="Y652" s="132"/>
      <c r="Z652" s="132"/>
      <c r="AA652" s="132"/>
      <c r="AB652" s="132"/>
      <c r="AC652" s="132"/>
      <c r="AD652" s="132"/>
      <c r="AE652" s="1"/>
    </row>
    <row r="653" spans="1:31" ht="15.75" customHeight="1">
      <c r="A653" s="132"/>
      <c r="B653" s="132"/>
      <c r="C653" s="132"/>
      <c r="D653" s="132"/>
      <c r="E653" s="132"/>
      <c r="F653" s="132"/>
      <c r="G653" s="132"/>
      <c r="H653" s="132"/>
      <c r="I653" s="132"/>
      <c r="J653" s="132"/>
      <c r="K653" s="132"/>
      <c r="L653" s="132"/>
      <c r="M653" s="1"/>
      <c r="N653" s="1"/>
      <c r="O653" s="132"/>
      <c r="P653" s="132"/>
      <c r="Q653" s="132"/>
      <c r="R653" s="132"/>
      <c r="S653" s="132"/>
      <c r="T653" s="132"/>
      <c r="U653" s="132"/>
      <c r="V653" s="132"/>
      <c r="W653" s="132"/>
      <c r="X653" s="132"/>
      <c r="Y653" s="132"/>
      <c r="Z653" s="132"/>
      <c r="AA653" s="132"/>
      <c r="AB653" s="132"/>
      <c r="AC653" s="132"/>
      <c r="AD653" s="132"/>
      <c r="AE653" s="1"/>
    </row>
    <row r="654" spans="1:31" ht="15.75" customHeight="1">
      <c r="A654" s="132"/>
      <c r="B654" s="132"/>
      <c r="C654" s="132"/>
      <c r="D654" s="132"/>
      <c r="E654" s="132"/>
      <c r="F654" s="132"/>
      <c r="G654" s="132"/>
      <c r="H654" s="132"/>
      <c r="I654" s="132"/>
      <c r="J654" s="132"/>
      <c r="K654" s="132"/>
      <c r="L654" s="132"/>
      <c r="M654" s="1"/>
      <c r="N654" s="1"/>
      <c r="O654" s="132"/>
      <c r="P654" s="132"/>
      <c r="Q654" s="132"/>
      <c r="R654" s="132"/>
      <c r="S654" s="132"/>
      <c r="T654" s="132"/>
      <c r="U654" s="132"/>
      <c r="V654" s="132"/>
      <c r="W654" s="132"/>
      <c r="X654" s="132"/>
      <c r="Y654" s="132"/>
      <c r="Z654" s="132"/>
      <c r="AA654" s="132"/>
      <c r="AB654" s="132"/>
      <c r="AC654" s="132"/>
      <c r="AD654" s="132"/>
      <c r="AE654" s="1"/>
    </row>
    <row r="655" spans="1:31" ht="15.75" customHeight="1">
      <c r="A655" s="132"/>
      <c r="B655" s="132"/>
      <c r="C655" s="132"/>
      <c r="D655" s="132"/>
      <c r="E655" s="132"/>
      <c r="F655" s="132"/>
      <c r="G655" s="132"/>
      <c r="H655" s="132"/>
      <c r="I655" s="132"/>
      <c r="J655" s="132"/>
      <c r="K655" s="132"/>
      <c r="L655" s="132"/>
      <c r="M655" s="1"/>
      <c r="N655" s="1"/>
      <c r="O655" s="132"/>
      <c r="P655" s="132"/>
      <c r="Q655" s="132"/>
      <c r="R655" s="132"/>
      <c r="S655" s="132"/>
      <c r="T655" s="132"/>
      <c r="U655" s="132"/>
      <c r="V655" s="132"/>
      <c r="W655" s="132"/>
      <c r="X655" s="132"/>
      <c r="Y655" s="132"/>
      <c r="Z655" s="132"/>
      <c r="AA655" s="132"/>
      <c r="AB655" s="132"/>
      <c r="AC655" s="132"/>
      <c r="AD655" s="132"/>
      <c r="AE655" s="1"/>
    </row>
    <row r="656" spans="1:31" ht="15.75" customHeight="1">
      <c r="A656" s="132"/>
      <c r="B656" s="132"/>
      <c r="C656" s="132"/>
      <c r="D656" s="132"/>
      <c r="E656" s="132"/>
      <c r="F656" s="132"/>
      <c r="G656" s="132"/>
      <c r="H656" s="132"/>
      <c r="I656" s="132"/>
      <c r="J656" s="132"/>
      <c r="K656" s="132"/>
      <c r="L656" s="132"/>
      <c r="M656" s="1"/>
      <c r="N656" s="1"/>
      <c r="O656" s="132"/>
      <c r="P656" s="132"/>
      <c r="Q656" s="132"/>
      <c r="R656" s="132"/>
      <c r="S656" s="132"/>
      <c r="T656" s="132"/>
      <c r="U656" s="132"/>
      <c r="V656" s="132"/>
      <c r="W656" s="132"/>
      <c r="X656" s="132"/>
      <c r="Y656" s="132"/>
      <c r="Z656" s="132"/>
      <c r="AA656" s="132"/>
      <c r="AB656" s="132"/>
      <c r="AC656" s="132"/>
      <c r="AD656" s="132"/>
      <c r="AE656" s="1"/>
    </row>
    <row r="657" spans="1:31" ht="15.75" customHeight="1">
      <c r="A657" s="132"/>
      <c r="B657" s="132"/>
      <c r="C657" s="132"/>
      <c r="D657" s="132"/>
      <c r="E657" s="132"/>
      <c r="F657" s="132"/>
      <c r="G657" s="132"/>
      <c r="H657" s="132"/>
      <c r="I657" s="132"/>
      <c r="J657" s="132"/>
      <c r="K657" s="132"/>
      <c r="L657" s="132"/>
      <c r="M657" s="1"/>
      <c r="N657" s="1"/>
      <c r="O657" s="132"/>
      <c r="P657" s="132"/>
      <c r="Q657" s="132"/>
      <c r="R657" s="132"/>
      <c r="S657" s="132"/>
      <c r="T657" s="132"/>
      <c r="U657" s="132"/>
      <c r="V657" s="132"/>
      <c r="W657" s="132"/>
      <c r="X657" s="132"/>
      <c r="Y657" s="132"/>
      <c r="Z657" s="132"/>
      <c r="AA657" s="132"/>
      <c r="AB657" s="132"/>
      <c r="AC657" s="132"/>
      <c r="AD657" s="132"/>
      <c r="AE657" s="1"/>
    </row>
    <row r="658" spans="1:31" ht="15.75" customHeight="1">
      <c r="A658" s="132"/>
      <c r="B658" s="132"/>
      <c r="C658" s="132"/>
      <c r="D658" s="132"/>
      <c r="E658" s="132"/>
      <c r="F658" s="132"/>
      <c r="G658" s="132"/>
      <c r="H658" s="132"/>
      <c r="I658" s="132"/>
      <c r="J658" s="132"/>
      <c r="K658" s="132"/>
      <c r="L658" s="132"/>
      <c r="M658" s="1"/>
      <c r="N658" s="1"/>
      <c r="O658" s="132"/>
      <c r="P658" s="132"/>
      <c r="Q658" s="132"/>
      <c r="R658" s="132"/>
      <c r="S658" s="132"/>
      <c r="T658" s="132"/>
      <c r="U658" s="132"/>
      <c r="V658" s="132"/>
      <c r="W658" s="132"/>
      <c r="X658" s="132"/>
      <c r="Y658" s="132"/>
      <c r="Z658" s="132"/>
      <c r="AA658" s="132"/>
      <c r="AB658" s="132"/>
      <c r="AC658" s="132"/>
      <c r="AD658" s="132"/>
      <c r="AE658" s="1"/>
    </row>
    <row r="659" spans="1:31" ht="15.75" customHeight="1">
      <c r="A659" s="132"/>
      <c r="B659" s="132"/>
      <c r="C659" s="132"/>
      <c r="D659" s="132"/>
      <c r="E659" s="132"/>
      <c r="F659" s="132"/>
      <c r="G659" s="132"/>
      <c r="H659" s="132"/>
      <c r="I659" s="132"/>
      <c r="J659" s="132"/>
      <c r="K659" s="132"/>
      <c r="L659" s="132"/>
      <c r="M659" s="1"/>
      <c r="N659" s="1"/>
      <c r="O659" s="132"/>
      <c r="P659" s="132"/>
      <c r="Q659" s="132"/>
      <c r="R659" s="132"/>
      <c r="S659" s="132"/>
      <c r="T659" s="132"/>
      <c r="U659" s="132"/>
      <c r="V659" s="132"/>
      <c r="W659" s="132"/>
      <c r="X659" s="132"/>
      <c r="Y659" s="132"/>
      <c r="Z659" s="132"/>
      <c r="AA659" s="132"/>
      <c r="AB659" s="132"/>
      <c r="AC659" s="132"/>
      <c r="AD659" s="132"/>
      <c r="AE659" s="1"/>
    </row>
    <row r="660" spans="1:31" ht="15.75" customHeight="1">
      <c r="A660" s="132"/>
      <c r="B660" s="132"/>
      <c r="C660" s="132"/>
      <c r="D660" s="132"/>
      <c r="E660" s="132"/>
      <c r="F660" s="132"/>
      <c r="G660" s="132"/>
      <c r="H660" s="132"/>
      <c r="I660" s="132"/>
      <c r="J660" s="132"/>
      <c r="K660" s="132"/>
      <c r="L660" s="132"/>
      <c r="M660" s="1"/>
      <c r="N660" s="1"/>
      <c r="O660" s="132"/>
      <c r="P660" s="132"/>
      <c r="Q660" s="132"/>
      <c r="R660" s="132"/>
      <c r="S660" s="132"/>
      <c r="T660" s="132"/>
      <c r="U660" s="132"/>
      <c r="V660" s="132"/>
      <c r="W660" s="132"/>
      <c r="X660" s="132"/>
      <c r="Y660" s="132"/>
      <c r="Z660" s="132"/>
      <c r="AA660" s="132"/>
      <c r="AB660" s="132"/>
      <c r="AC660" s="132"/>
      <c r="AD660" s="132"/>
      <c r="AE660" s="1"/>
    </row>
    <row r="661" spans="1:31" ht="15.75" customHeight="1">
      <c r="A661" s="132"/>
      <c r="B661" s="132"/>
      <c r="C661" s="132"/>
      <c r="D661" s="132"/>
      <c r="E661" s="132"/>
      <c r="F661" s="132"/>
      <c r="G661" s="132"/>
      <c r="H661" s="132"/>
      <c r="I661" s="132"/>
      <c r="J661" s="132"/>
      <c r="K661" s="132"/>
      <c r="L661" s="132"/>
      <c r="M661" s="1"/>
      <c r="N661" s="1"/>
      <c r="O661" s="132"/>
      <c r="P661" s="132"/>
      <c r="Q661" s="132"/>
      <c r="R661" s="132"/>
      <c r="S661" s="132"/>
      <c r="T661" s="132"/>
      <c r="U661" s="132"/>
      <c r="V661" s="132"/>
      <c r="W661" s="132"/>
      <c r="X661" s="132"/>
      <c r="Y661" s="132"/>
      <c r="Z661" s="132"/>
      <c r="AA661" s="132"/>
      <c r="AB661" s="132"/>
      <c r="AC661" s="132"/>
      <c r="AD661" s="132"/>
      <c r="AE661" s="1"/>
    </row>
    <row r="662" spans="1:31" ht="15.75" customHeight="1">
      <c r="A662" s="132"/>
      <c r="B662" s="132"/>
      <c r="C662" s="132"/>
      <c r="D662" s="132"/>
      <c r="E662" s="132"/>
      <c r="F662" s="132"/>
      <c r="G662" s="132"/>
      <c r="H662" s="132"/>
      <c r="I662" s="132"/>
      <c r="J662" s="132"/>
      <c r="K662" s="132"/>
      <c r="L662" s="132"/>
      <c r="M662" s="1"/>
      <c r="N662" s="1"/>
      <c r="O662" s="132"/>
      <c r="P662" s="132"/>
      <c r="Q662" s="132"/>
      <c r="R662" s="132"/>
      <c r="S662" s="132"/>
      <c r="T662" s="132"/>
      <c r="U662" s="132"/>
      <c r="V662" s="132"/>
      <c r="W662" s="132"/>
      <c r="X662" s="132"/>
      <c r="Y662" s="132"/>
      <c r="Z662" s="132"/>
      <c r="AA662" s="132"/>
      <c r="AB662" s="132"/>
      <c r="AC662" s="132"/>
      <c r="AD662" s="132"/>
      <c r="AE662" s="1"/>
    </row>
    <row r="663" spans="1:31" ht="15.75" customHeight="1">
      <c r="A663" s="132"/>
      <c r="B663" s="132"/>
      <c r="C663" s="132"/>
      <c r="D663" s="132"/>
      <c r="E663" s="132"/>
      <c r="F663" s="132"/>
      <c r="G663" s="132"/>
      <c r="H663" s="132"/>
      <c r="I663" s="132"/>
      <c r="J663" s="132"/>
      <c r="K663" s="132"/>
      <c r="L663" s="132"/>
      <c r="M663" s="1"/>
      <c r="N663" s="1"/>
      <c r="O663" s="132"/>
      <c r="P663" s="132"/>
      <c r="Q663" s="132"/>
      <c r="R663" s="132"/>
      <c r="S663" s="132"/>
      <c r="T663" s="132"/>
      <c r="U663" s="132"/>
      <c r="V663" s="132"/>
      <c r="W663" s="132"/>
      <c r="X663" s="132"/>
      <c r="Y663" s="132"/>
      <c r="Z663" s="132"/>
      <c r="AA663" s="132"/>
      <c r="AB663" s="132"/>
      <c r="AC663" s="132"/>
      <c r="AD663" s="132"/>
      <c r="AE663" s="1"/>
    </row>
    <row r="664" spans="1:31" ht="15.75" customHeight="1">
      <c r="A664" s="132"/>
      <c r="B664" s="132"/>
      <c r="C664" s="132"/>
      <c r="D664" s="132"/>
      <c r="E664" s="132"/>
      <c r="F664" s="132"/>
      <c r="G664" s="132"/>
      <c r="H664" s="132"/>
      <c r="I664" s="132"/>
      <c r="J664" s="132"/>
      <c r="K664" s="132"/>
      <c r="L664" s="132"/>
      <c r="M664" s="1"/>
      <c r="N664" s="1"/>
      <c r="O664" s="132"/>
      <c r="P664" s="132"/>
      <c r="Q664" s="132"/>
      <c r="R664" s="132"/>
      <c r="S664" s="132"/>
      <c r="T664" s="132"/>
      <c r="U664" s="132"/>
      <c r="V664" s="132"/>
      <c r="W664" s="132"/>
      <c r="X664" s="132"/>
      <c r="Y664" s="132"/>
      <c r="Z664" s="132"/>
      <c r="AA664" s="132"/>
      <c r="AB664" s="132"/>
      <c r="AC664" s="132"/>
      <c r="AD664" s="132"/>
      <c r="AE664" s="1"/>
    </row>
    <row r="665" spans="1:31" ht="15.75" customHeight="1">
      <c r="A665" s="132"/>
      <c r="B665" s="132"/>
      <c r="C665" s="132"/>
      <c r="D665" s="132"/>
      <c r="E665" s="132"/>
      <c r="F665" s="132"/>
      <c r="G665" s="132"/>
      <c r="H665" s="132"/>
      <c r="I665" s="132"/>
      <c r="J665" s="132"/>
      <c r="K665" s="132"/>
      <c r="L665" s="132"/>
      <c r="M665" s="1"/>
      <c r="N665" s="1"/>
      <c r="O665" s="132"/>
      <c r="P665" s="132"/>
      <c r="Q665" s="132"/>
      <c r="R665" s="132"/>
      <c r="S665" s="132"/>
      <c r="T665" s="132"/>
      <c r="U665" s="132"/>
      <c r="V665" s="132"/>
      <c r="W665" s="132"/>
      <c r="X665" s="132"/>
      <c r="Y665" s="132"/>
      <c r="Z665" s="132"/>
      <c r="AA665" s="132"/>
      <c r="AB665" s="132"/>
      <c r="AC665" s="132"/>
      <c r="AD665" s="132"/>
      <c r="AE665" s="1"/>
    </row>
    <row r="666" spans="1:31" ht="15.75" customHeight="1">
      <c r="A666" s="132"/>
      <c r="B666" s="132"/>
      <c r="C666" s="132"/>
      <c r="D666" s="132"/>
      <c r="E666" s="132"/>
      <c r="F666" s="132"/>
      <c r="G666" s="132"/>
      <c r="H666" s="132"/>
      <c r="I666" s="132"/>
      <c r="J666" s="132"/>
      <c r="K666" s="132"/>
      <c r="L666" s="132"/>
      <c r="M666" s="1"/>
      <c r="N666" s="1"/>
      <c r="O666" s="132"/>
      <c r="P666" s="132"/>
      <c r="Q666" s="132"/>
      <c r="R666" s="132"/>
      <c r="S666" s="132"/>
      <c r="T666" s="132"/>
      <c r="U666" s="132"/>
      <c r="V666" s="132"/>
      <c r="W666" s="132"/>
      <c r="X666" s="132"/>
      <c r="Y666" s="132"/>
      <c r="Z666" s="132"/>
      <c r="AA666" s="132"/>
      <c r="AB666" s="132"/>
      <c r="AC666" s="132"/>
      <c r="AD666" s="132"/>
      <c r="AE666" s="1"/>
    </row>
    <row r="667" spans="1:31" ht="15.75" customHeight="1">
      <c r="A667" s="132"/>
      <c r="B667" s="132"/>
      <c r="C667" s="132"/>
      <c r="D667" s="132"/>
      <c r="E667" s="132"/>
      <c r="F667" s="132"/>
      <c r="G667" s="132"/>
      <c r="H667" s="132"/>
      <c r="I667" s="132"/>
      <c r="J667" s="132"/>
      <c r="K667" s="132"/>
      <c r="L667" s="132"/>
      <c r="M667" s="1"/>
      <c r="N667" s="1"/>
      <c r="O667" s="132"/>
      <c r="P667" s="132"/>
      <c r="Q667" s="132"/>
      <c r="R667" s="132"/>
      <c r="S667" s="132"/>
      <c r="T667" s="132"/>
      <c r="U667" s="132"/>
      <c r="V667" s="132"/>
      <c r="W667" s="132"/>
      <c r="X667" s="132"/>
      <c r="Y667" s="132"/>
      <c r="Z667" s="132"/>
      <c r="AA667" s="132"/>
      <c r="AB667" s="132"/>
      <c r="AC667" s="132"/>
      <c r="AD667" s="132"/>
      <c r="AE667" s="1"/>
    </row>
    <row r="668" spans="1:31" ht="15.75" customHeight="1">
      <c r="A668" s="132"/>
      <c r="B668" s="132"/>
      <c r="C668" s="132"/>
      <c r="D668" s="132"/>
      <c r="E668" s="132"/>
      <c r="F668" s="132"/>
      <c r="G668" s="132"/>
      <c r="H668" s="132"/>
      <c r="I668" s="132"/>
      <c r="J668" s="132"/>
      <c r="K668" s="132"/>
      <c r="L668" s="132"/>
      <c r="M668" s="1"/>
      <c r="N668" s="1"/>
      <c r="O668" s="132"/>
      <c r="P668" s="132"/>
      <c r="Q668" s="132"/>
      <c r="R668" s="132"/>
      <c r="S668" s="132"/>
      <c r="T668" s="132"/>
      <c r="U668" s="132"/>
      <c r="V668" s="132"/>
      <c r="W668" s="132"/>
      <c r="X668" s="132"/>
      <c r="Y668" s="132"/>
      <c r="Z668" s="132"/>
      <c r="AA668" s="132"/>
      <c r="AB668" s="132"/>
      <c r="AC668" s="132"/>
      <c r="AD668" s="132"/>
      <c r="AE668" s="1"/>
    </row>
    <row r="669" spans="1:31" ht="15.75" customHeight="1">
      <c r="A669" s="132"/>
      <c r="B669" s="132"/>
      <c r="C669" s="132"/>
      <c r="D669" s="132"/>
      <c r="E669" s="132"/>
      <c r="F669" s="132"/>
      <c r="G669" s="132"/>
      <c r="H669" s="132"/>
      <c r="I669" s="132"/>
      <c r="J669" s="132"/>
      <c r="K669" s="132"/>
      <c r="L669" s="132"/>
      <c r="M669" s="1"/>
      <c r="N669" s="1"/>
      <c r="O669" s="132"/>
      <c r="P669" s="132"/>
      <c r="Q669" s="132"/>
      <c r="R669" s="132"/>
      <c r="S669" s="132"/>
      <c r="T669" s="132"/>
      <c r="U669" s="132"/>
      <c r="V669" s="132"/>
      <c r="W669" s="132"/>
      <c r="X669" s="132"/>
      <c r="Y669" s="132"/>
      <c r="Z669" s="132"/>
      <c r="AA669" s="132"/>
      <c r="AB669" s="132"/>
      <c r="AC669" s="132"/>
      <c r="AD669" s="132"/>
      <c r="AE669" s="1"/>
    </row>
    <row r="670" spans="1:31" ht="15.75" customHeight="1">
      <c r="A670" s="132"/>
      <c r="B670" s="132"/>
      <c r="C670" s="132"/>
      <c r="D670" s="132"/>
      <c r="E670" s="132"/>
      <c r="F670" s="132"/>
      <c r="G670" s="132"/>
      <c r="H670" s="132"/>
      <c r="I670" s="132"/>
      <c r="J670" s="132"/>
      <c r="K670" s="132"/>
      <c r="L670" s="132"/>
      <c r="M670" s="1"/>
      <c r="N670" s="1"/>
      <c r="O670" s="132"/>
      <c r="P670" s="132"/>
      <c r="Q670" s="132"/>
      <c r="R670" s="132"/>
      <c r="S670" s="132"/>
      <c r="T670" s="132"/>
      <c r="U670" s="132"/>
      <c r="V670" s="132"/>
      <c r="W670" s="132"/>
      <c r="X670" s="132"/>
      <c r="Y670" s="132"/>
      <c r="Z670" s="132"/>
      <c r="AA670" s="132"/>
      <c r="AB670" s="132"/>
      <c r="AC670" s="132"/>
      <c r="AD670" s="132"/>
      <c r="AE670" s="1"/>
    </row>
    <row r="671" spans="1:31" ht="15.75" customHeight="1">
      <c r="A671" s="132"/>
      <c r="B671" s="132"/>
      <c r="C671" s="132"/>
      <c r="D671" s="132"/>
      <c r="E671" s="132"/>
      <c r="F671" s="132"/>
      <c r="G671" s="132"/>
      <c r="H671" s="132"/>
      <c r="I671" s="132"/>
      <c r="J671" s="132"/>
      <c r="K671" s="132"/>
      <c r="L671" s="132"/>
      <c r="M671" s="1"/>
      <c r="N671" s="1"/>
      <c r="O671" s="132"/>
      <c r="P671" s="132"/>
      <c r="Q671" s="132"/>
      <c r="R671" s="132"/>
      <c r="S671" s="132"/>
      <c r="T671" s="132"/>
      <c r="U671" s="132"/>
      <c r="V671" s="132"/>
      <c r="W671" s="132"/>
      <c r="X671" s="132"/>
      <c r="Y671" s="132"/>
      <c r="Z671" s="132"/>
      <c r="AA671" s="132"/>
      <c r="AB671" s="132"/>
      <c r="AC671" s="132"/>
      <c r="AD671" s="132"/>
      <c r="AE671" s="1"/>
    </row>
    <row r="672" spans="1:31" ht="15.75" customHeight="1">
      <c r="A672" s="132"/>
      <c r="B672" s="132"/>
      <c r="C672" s="132"/>
      <c r="D672" s="132"/>
      <c r="E672" s="132"/>
      <c r="F672" s="132"/>
      <c r="G672" s="132"/>
      <c r="H672" s="132"/>
      <c r="I672" s="132"/>
      <c r="J672" s="132"/>
      <c r="K672" s="132"/>
      <c r="L672" s="132"/>
      <c r="M672" s="1"/>
      <c r="N672" s="1"/>
      <c r="O672" s="132"/>
      <c r="P672" s="132"/>
      <c r="Q672" s="132"/>
      <c r="R672" s="132"/>
      <c r="S672" s="132"/>
      <c r="T672" s="132"/>
      <c r="U672" s="132"/>
      <c r="V672" s="132"/>
      <c r="W672" s="132"/>
      <c r="X672" s="132"/>
      <c r="Y672" s="132"/>
      <c r="Z672" s="132"/>
      <c r="AA672" s="132"/>
      <c r="AB672" s="132"/>
      <c r="AC672" s="132"/>
      <c r="AD672" s="132"/>
      <c r="AE672" s="1"/>
    </row>
    <row r="673" spans="1:31" ht="15.75" customHeight="1">
      <c r="A673" s="132"/>
      <c r="B673" s="132"/>
      <c r="C673" s="132"/>
      <c r="D673" s="132"/>
      <c r="E673" s="132"/>
      <c r="F673" s="132"/>
      <c r="G673" s="132"/>
      <c r="H673" s="132"/>
      <c r="I673" s="132"/>
      <c r="J673" s="132"/>
      <c r="K673" s="132"/>
      <c r="L673" s="132"/>
      <c r="M673" s="1"/>
      <c r="N673" s="1"/>
      <c r="O673" s="132"/>
      <c r="P673" s="132"/>
      <c r="Q673" s="132"/>
      <c r="R673" s="132"/>
      <c r="S673" s="132"/>
      <c r="T673" s="132"/>
      <c r="U673" s="132"/>
      <c r="V673" s="132"/>
      <c r="W673" s="132"/>
      <c r="X673" s="132"/>
      <c r="Y673" s="132"/>
      <c r="Z673" s="132"/>
      <c r="AA673" s="132"/>
      <c r="AB673" s="132"/>
      <c r="AC673" s="132"/>
      <c r="AD673" s="132"/>
      <c r="AE673" s="1"/>
    </row>
    <row r="674" spans="1:31" ht="15.75" customHeight="1">
      <c r="A674" s="132"/>
      <c r="B674" s="132"/>
      <c r="C674" s="132"/>
      <c r="D674" s="132"/>
      <c r="E674" s="132"/>
      <c r="F674" s="132"/>
      <c r="G674" s="132"/>
      <c r="H674" s="132"/>
      <c r="I674" s="132"/>
      <c r="J674" s="132"/>
      <c r="K674" s="132"/>
      <c r="L674" s="132"/>
      <c r="M674" s="1"/>
      <c r="N674" s="1"/>
      <c r="O674" s="132"/>
      <c r="P674" s="132"/>
      <c r="Q674" s="132"/>
      <c r="R674" s="132"/>
      <c r="S674" s="132"/>
      <c r="T674" s="132"/>
      <c r="U674" s="132"/>
      <c r="V674" s="132"/>
      <c r="W674" s="132"/>
      <c r="X674" s="132"/>
      <c r="Y674" s="132"/>
      <c r="Z674" s="132"/>
      <c r="AA674" s="132"/>
      <c r="AB674" s="132"/>
      <c r="AC674" s="132"/>
      <c r="AD674" s="132"/>
      <c r="AE674" s="1"/>
    </row>
    <row r="675" spans="1:31" ht="15.75" customHeight="1">
      <c r="A675" s="132"/>
      <c r="B675" s="132"/>
      <c r="C675" s="132"/>
      <c r="D675" s="132"/>
      <c r="E675" s="132"/>
      <c r="F675" s="132"/>
      <c r="G675" s="132"/>
      <c r="H675" s="132"/>
      <c r="I675" s="132"/>
      <c r="J675" s="132"/>
      <c r="K675" s="132"/>
      <c r="L675" s="132"/>
      <c r="M675" s="1"/>
      <c r="N675" s="1"/>
      <c r="O675" s="132"/>
      <c r="P675" s="132"/>
      <c r="Q675" s="132"/>
      <c r="R675" s="132"/>
      <c r="S675" s="132"/>
      <c r="T675" s="132"/>
      <c r="U675" s="132"/>
      <c r="V675" s="132"/>
      <c r="W675" s="132"/>
      <c r="X675" s="132"/>
      <c r="Y675" s="132"/>
      <c r="Z675" s="132"/>
      <c r="AA675" s="132"/>
      <c r="AB675" s="132"/>
      <c r="AC675" s="132"/>
      <c r="AD675" s="132"/>
      <c r="AE675" s="1"/>
    </row>
    <row r="676" spans="1:31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</row>
    <row r="677" spans="1:31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</row>
    <row r="678" spans="1:31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</row>
    <row r="679" spans="1:31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</row>
    <row r="680" spans="1:31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</row>
    <row r="681" spans="1:3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</row>
    <row r="682" spans="1:31" ht="20.25" customHeight="1" thickBot="1">
      <c r="A682" s="140" t="s">
        <v>21</v>
      </c>
      <c r="B682" s="140"/>
      <c r="C682" s="140"/>
      <c r="D682" s="140"/>
      <c r="E682" s="140"/>
      <c r="F682" s="4"/>
      <c r="G682" s="5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1"/>
      <c r="Z682" s="1"/>
      <c r="AA682" s="1"/>
      <c r="AB682" s="1"/>
      <c r="AC682" s="1"/>
      <c r="AD682" s="1"/>
      <c r="AE682" s="1"/>
    </row>
    <row r="683" spans="1:31" ht="15.75" customHeight="1">
      <c r="A683" s="1"/>
      <c r="B683" s="1"/>
      <c r="C683" s="1"/>
      <c r="D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</row>
    <row r="684" spans="1:31" ht="15.75" customHeight="1">
      <c r="A684" s="142" t="s">
        <v>70</v>
      </c>
      <c r="B684" s="142"/>
      <c r="C684" s="142"/>
      <c r="D684" s="25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</row>
    <row r="685" spans="1:31" ht="15.75" customHeight="1">
      <c r="A685" s="143" t="s">
        <v>135</v>
      </c>
      <c r="B685" s="143"/>
      <c r="C685" s="143"/>
      <c r="D685" s="25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</row>
    <row r="686" spans="1:31" ht="15.75" customHeight="1">
      <c r="A686" s="141" t="s">
        <v>71</v>
      </c>
      <c r="B686" s="141"/>
      <c r="C686" s="141"/>
      <c r="D686" s="25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</row>
    <row r="687" spans="1:31" ht="15.75" customHeight="1">
      <c r="A687" s="139" t="s">
        <v>134</v>
      </c>
      <c r="B687" s="139"/>
      <c r="C687" s="139"/>
      <c r="D687" s="25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</row>
    <row r="688" spans="1:31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</row>
    <row r="689" spans="1:31" ht="32.25" customHeight="1">
      <c r="A689" s="144" t="s">
        <v>136</v>
      </c>
      <c r="B689" s="144"/>
      <c r="C689" s="144"/>
      <c r="D689" s="144" t="s">
        <v>141</v>
      </c>
      <c r="E689" s="144"/>
      <c r="F689" s="144"/>
      <c r="G689" s="144" t="s">
        <v>142</v>
      </c>
      <c r="H689" s="144"/>
      <c r="I689" s="144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</row>
    <row r="690" spans="1:31" ht="32.25" customHeight="1">
      <c r="A690" s="150"/>
      <c r="B690" s="151"/>
      <c r="C690" s="152"/>
      <c r="D690" s="37" t="s">
        <v>92</v>
      </c>
      <c r="E690" s="37" t="s">
        <v>95</v>
      </c>
      <c r="F690" s="37" t="s">
        <v>94</v>
      </c>
      <c r="G690" s="37" t="s">
        <v>92</v>
      </c>
      <c r="H690" s="37" t="s">
        <v>95</v>
      </c>
      <c r="I690" s="37" t="s">
        <v>94</v>
      </c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</row>
    <row r="691" spans="1:31" ht="15.75" customHeight="1">
      <c r="A691" s="138" t="s">
        <v>72</v>
      </c>
      <c r="B691" s="138"/>
      <c r="C691" s="138"/>
      <c r="D691" s="34"/>
      <c r="E691" s="34"/>
      <c r="F691" s="34"/>
      <c r="G691" s="34"/>
      <c r="H691" s="34"/>
      <c r="I691" s="34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</row>
    <row r="692" spans="1:31" ht="15.75" customHeight="1">
      <c r="A692" s="138" t="s">
        <v>137</v>
      </c>
      <c r="B692" s="138"/>
      <c r="C692" s="138"/>
      <c r="D692" s="34"/>
      <c r="E692" s="34"/>
      <c r="F692" s="34"/>
      <c r="G692" s="34"/>
      <c r="H692" s="34"/>
      <c r="I692" s="34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</row>
    <row r="693" spans="1:31" ht="15.75" customHeight="1">
      <c r="A693" s="138" t="s">
        <v>138</v>
      </c>
      <c r="B693" s="138"/>
      <c r="C693" s="138"/>
      <c r="D693" s="34"/>
      <c r="E693" s="34"/>
      <c r="F693" s="34"/>
      <c r="G693" s="34"/>
      <c r="H693" s="34"/>
      <c r="I693" s="34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</row>
    <row r="694" spans="1:31" ht="15.75" customHeight="1">
      <c r="A694" s="138" t="s">
        <v>139</v>
      </c>
      <c r="B694" s="138"/>
      <c r="C694" s="138"/>
      <c r="D694" s="34"/>
      <c r="E694" s="34"/>
      <c r="F694" s="34"/>
      <c r="G694" s="34"/>
      <c r="H694" s="34"/>
      <c r="I694" s="34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</row>
    <row r="695" spans="1:31" ht="15.75" customHeight="1">
      <c r="A695" s="138" t="s">
        <v>140</v>
      </c>
      <c r="B695" s="138"/>
      <c r="C695" s="138"/>
      <c r="D695" s="34"/>
      <c r="E695" s="34"/>
      <c r="F695" s="34"/>
      <c r="G695" s="34"/>
      <c r="H695" s="34"/>
      <c r="I695" s="34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</row>
    <row r="696" spans="1:31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</row>
    <row r="697" spans="1:31" ht="16.5" customHeight="1">
      <c r="A697" s="131" t="s">
        <v>72</v>
      </c>
      <c r="B697" s="131"/>
      <c r="C697" s="131"/>
      <c r="D697" s="13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</row>
    <row r="698" spans="1:31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</row>
    <row r="699" spans="1:31" ht="15.75" customHeight="1">
      <c r="A699" s="132"/>
      <c r="B699" s="132"/>
      <c r="C699" s="132"/>
      <c r="D699" s="132"/>
      <c r="E699" s="132"/>
      <c r="F699" s="132"/>
      <c r="G699" s="132"/>
      <c r="H699" s="132"/>
      <c r="I699" s="132"/>
      <c r="J699" s="132"/>
      <c r="K699" s="132"/>
      <c r="L699" s="132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</row>
    <row r="700" spans="1:31" ht="15.75" customHeight="1">
      <c r="A700" s="132"/>
      <c r="B700" s="132"/>
      <c r="C700" s="132"/>
      <c r="D700" s="132"/>
      <c r="E700" s="132"/>
      <c r="F700" s="132"/>
      <c r="G700" s="132"/>
      <c r="H700" s="132"/>
      <c r="I700" s="132"/>
      <c r="J700" s="132"/>
      <c r="K700" s="132"/>
      <c r="L700" s="132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</row>
    <row r="701" spans="1:31" ht="15.75" customHeight="1">
      <c r="A701" s="132"/>
      <c r="B701" s="132"/>
      <c r="C701" s="132"/>
      <c r="D701" s="132"/>
      <c r="E701" s="132"/>
      <c r="F701" s="132"/>
      <c r="G701" s="132"/>
      <c r="H701" s="132"/>
      <c r="I701" s="132"/>
      <c r="J701" s="132"/>
      <c r="K701" s="132"/>
      <c r="L701" s="132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</row>
    <row r="702" spans="1:31" ht="15.75" customHeight="1">
      <c r="A702" s="132"/>
      <c r="B702" s="132"/>
      <c r="C702" s="132"/>
      <c r="D702" s="132"/>
      <c r="E702" s="132"/>
      <c r="F702" s="132"/>
      <c r="G702" s="132"/>
      <c r="H702" s="132"/>
      <c r="I702" s="132"/>
      <c r="J702" s="132"/>
      <c r="K702" s="132"/>
      <c r="L702" s="132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</row>
    <row r="703" spans="1:31" ht="15.75" customHeight="1">
      <c r="A703" s="132"/>
      <c r="B703" s="132"/>
      <c r="C703" s="132"/>
      <c r="D703" s="132"/>
      <c r="E703" s="132"/>
      <c r="F703" s="132"/>
      <c r="G703" s="132"/>
      <c r="H703" s="132"/>
      <c r="I703" s="132"/>
      <c r="J703" s="132"/>
      <c r="K703" s="132"/>
      <c r="L703" s="132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</row>
    <row r="704" spans="1:31" ht="15.75" customHeight="1">
      <c r="A704" s="132"/>
      <c r="B704" s="132"/>
      <c r="C704" s="132"/>
      <c r="D704" s="132"/>
      <c r="E704" s="132"/>
      <c r="F704" s="132"/>
      <c r="G704" s="132"/>
      <c r="H704" s="132"/>
      <c r="I704" s="132"/>
      <c r="J704" s="132"/>
      <c r="K704" s="132"/>
      <c r="L704" s="132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</row>
    <row r="705" spans="1:31" ht="15.75" customHeight="1">
      <c r="A705" s="132"/>
      <c r="B705" s="132"/>
      <c r="C705" s="132"/>
      <c r="D705" s="132"/>
      <c r="E705" s="132"/>
      <c r="F705" s="132"/>
      <c r="G705" s="132"/>
      <c r="H705" s="132"/>
      <c r="I705" s="132"/>
      <c r="J705" s="132"/>
      <c r="K705" s="132"/>
      <c r="L705" s="132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</row>
    <row r="706" spans="1:31" ht="15.75" customHeight="1">
      <c r="A706" s="132"/>
      <c r="B706" s="132"/>
      <c r="C706" s="132"/>
      <c r="D706" s="132"/>
      <c r="E706" s="132"/>
      <c r="F706" s="132"/>
      <c r="G706" s="132"/>
      <c r="H706" s="132"/>
      <c r="I706" s="132"/>
      <c r="J706" s="132"/>
      <c r="K706" s="132"/>
      <c r="L706" s="132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</row>
    <row r="707" spans="1:31" ht="15.75" customHeight="1">
      <c r="A707" s="132"/>
      <c r="B707" s="132"/>
      <c r="C707" s="132"/>
      <c r="D707" s="132"/>
      <c r="E707" s="132"/>
      <c r="F707" s="132"/>
      <c r="G707" s="132"/>
      <c r="H707" s="132"/>
      <c r="I707" s="132"/>
      <c r="J707" s="132"/>
      <c r="K707" s="132"/>
      <c r="L707" s="132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</row>
    <row r="708" spans="1:31" ht="15.75" customHeight="1">
      <c r="A708" s="132"/>
      <c r="B708" s="132"/>
      <c r="C708" s="132"/>
      <c r="D708" s="132"/>
      <c r="E708" s="132"/>
      <c r="F708" s="132"/>
      <c r="G708" s="132"/>
      <c r="H708" s="132"/>
      <c r="I708" s="132"/>
      <c r="J708" s="132"/>
      <c r="K708" s="132"/>
      <c r="L708" s="132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</row>
    <row r="709" spans="1:31" ht="15.75" customHeight="1">
      <c r="A709" s="132"/>
      <c r="B709" s="132"/>
      <c r="C709" s="132"/>
      <c r="D709" s="132"/>
      <c r="E709" s="132"/>
      <c r="F709" s="132"/>
      <c r="G709" s="132"/>
      <c r="H709" s="132"/>
      <c r="I709" s="132"/>
      <c r="J709" s="132"/>
      <c r="K709" s="132"/>
      <c r="L709" s="132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</row>
    <row r="710" spans="1:31" ht="15.75" customHeight="1">
      <c r="A710" s="132"/>
      <c r="B710" s="132"/>
      <c r="C710" s="132"/>
      <c r="D710" s="132"/>
      <c r="E710" s="132"/>
      <c r="F710" s="132"/>
      <c r="G710" s="132"/>
      <c r="H710" s="132"/>
      <c r="I710" s="132"/>
      <c r="J710" s="132"/>
      <c r="K710" s="132"/>
      <c r="L710" s="132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</row>
    <row r="711" spans="1:31" ht="15.75" customHeight="1">
      <c r="A711" s="132"/>
      <c r="B711" s="132"/>
      <c r="C711" s="132"/>
      <c r="D711" s="132"/>
      <c r="E711" s="132"/>
      <c r="F711" s="132"/>
      <c r="G711" s="132"/>
      <c r="H711" s="132"/>
      <c r="I711" s="132"/>
      <c r="J711" s="132"/>
      <c r="K711" s="132"/>
      <c r="L711" s="132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</row>
    <row r="712" spans="1:31" ht="15.75" customHeight="1">
      <c r="A712" s="132"/>
      <c r="B712" s="132"/>
      <c r="C712" s="132"/>
      <c r="D712" s="132"/>
      <c r="E712" s="132"/>
      <c r="F712" s="132"/>
      <c r="G712" s="132"/>
      <c r="H712" s="132"/>
      <c r="I712" s="132"/>
      <c r="J712" s="132"/>
      <c r="K712" s="132"/>
      <c r="L712" s="132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</row>
    <row r="713" spans="1:31" ht="15.75" customHeight="1">
      <c r="A713" s="132"/>
      <c r="B713" s="132"/>
      <c r="C713" s="132"/>
      <c r="D713" s="132"/>
      <c r="E713" s="132"/>
      <c r="F713" s="132"/>
      <c r="G713" s="132"/>
      <c r="H713" s="132"/>
      <c r="I713" s="132"/>
      <c r="J713" s="132"/>
      <c r="K713" s="132"/>
      <c r="L713" s="132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</row>
    <row r="714" spans="1:31" ht="15.75" customHeight="1">
      <c r="A714" s="132"/>
      <c r="B714" s="132"/>
      <c r="C714" s="132"/>
      <c r="D714" s="132"/>
      <c r="E714" s="132"/>
      <c r="F714" s="132"/>
      <c r="G714" s="132"/>
      <c r="H714" s="132"/>
      <c r="I714" s="132"/>
      <c r="J714" s="132"/>
      <c r="K714" s="132"/>
      <c r="L714" s="132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</row>
    <row r="715" spans="1:31" ht="15.75" customHeight="1">
      <c r="A715" s="132"/>
      <c r="B715" s="132"/>
      <c r="C715" s="132"/>
      <c r="D715" s="132"/>
      <c r="E715" s="132"/>
      <c r="F715" s="132"/>
      <c r="G715" s="132"/>
      <c r="H715" s="132"/>
      <c r="I715" s="132"/>
      <c r="J715" s="132"/>
      <c r="K715" s="132"/>
      <c r="L715" s="132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</row>
    <row r="716" spans="1:31" ht="15.75" customHeight="1">
      <c r="A716" s="132"/>
      <c r="B716" s="132"/>
      <c r="C716" s="132"/>
      <c r="D716" s="132"/>
      <c r="E716" s="132"/>
      <c r="F716" s="132"/>
      <c r="G716" s="132"/>
      <c r="H716" s="132"/>
      <c r="I716" s="132"/>
      <c r="J716" s="132"/>
      <c r="K716" s="132"/>
      <c r="L716" s="132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</row>
    <row r="717" spans="1:31" ht="15.75" customHeight="1">
      <c r="A717" s="132"/>
      <c r="B717" s="132"/>
      <c r="C717" s="132"/>
      <c r="D717" s="132"/>
      <c r="E717" s="132"/>
      <c r="F717" s="132"/>
      <c r="G717" s="132"/>
      <c r="H717" s="132"/>
      <c r="I717" s="132"/>
      <c r="J717" s="132"/>
      <c r="K717" s="132"/>
      <c r="L717" s="132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</row>
    <row r="718" spans="1:31" ht="15.75" customHeight="1">
      <c r="A718" s="132"/>
      <c r="B718" s="132"/>
      <c r="C718" s="132"/>
      <c r="D718" s="132"/>
      <c r="E718" s="132"/>
      <c r="F718" s="132"/>
      <c r="G718" s="132"/>
      <c r="H718" s="132"/>
      <c r="I718" s="132"/>
      <c r="J718" s="132"/>
      <c r="K718" s="132"/>
      <c r="L718" s="132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</row>
    <row r="719" spans="1:31" ht="15.75" customHeight="1">
      <c r="A719" s="132"/>
      <c r="B719" s="132"/>
      <c r="C719" s="132"/>
      <c r="D719" s="132"/>
      <c r="E719" s="132"/>
      <c r="F719" s="132"/>
      <c r="G719" s="132"/>
      <c r="H719" s="132"/>
      <c r="I719" s="132"/>
      <c r="J719" s="132"/>
      <c r="K719" s="132"/>
      <c r="L719" s="132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</row>
    <row r="720" spans="1:31" ht="15.75" customHeight="1">
      <c r="A720" s="132"/>
      <c r="B720" s="132"/>
      <c r="C720" s="132"/>
      <c r="D720" s="132"/>
      <c r="E720" s="132"/>
      <c r="F720" s="132"/>
      <c r="G720" s="132"/>
      <c r="H720" s="132"/>
      <c r="I720" s="132"/>
      <c r="J720" s="132"/>
      <c r="K720" s="132"/>
      <c r="L720" s="132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</row>
    <row r="721" spans="1:31" ht="15.75" customHeight="1">
      <c r="A721" s="132"/>
      <c r="B721" s="132"/>
      <c r="C721" s="132"/>
      <c r="D721" s="132"/>
      <c r="E721" s="132"/>
      <c r="F721" s="132"/>
      <c r="G721" s="132"/>
      <c r="H721" s="132"/>
      <c r="I721" s="132"/>
      <c r="J721" s="132"/>
      <c r="K721" s="132"/>
      <c r="L721" s="132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</row>
    <row r="722" spans="1:31" ht="15.75" customHeight="1">
      <c r="A722" s="132"/>
      <c r="B722" s="132"/>
      <c r="C722" s="132"/>
      <c r="D722" s="132"/>
      <c r="E722" s="132"/>
      <c r="F722" s="132"/>
      <c r="G722" s="132"/>
      <c r="H722" s="132"/>
      <c r="I722" s="132"/>
      <c r="J722" s="132"/>
      <c r="K722" s="132"/>
      <c r="L722" s="132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</row>
    <row r="723" spans="1:31" ht="15.75" customHeight="1">
      <c r="A723" s="132"/>
      <c r="B723" s="132"/>
      <c r="C723" s="132"/>
      <c r="D723" s="132"/>
      <c r="E723" s="132"/>
      <c r="F723" s="132"/>
      <c r="G723" s="132"/>
      <c r="H723" s="132"/>
      <c r="I723" s="132"/>
      <c r="J723" s="132"/>
      <c r="K723" s="132"/>
      <c r="L723" s="132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</row>
    <row r="724" spans="1:31" ht="15.75" customHeight="1">
      <c r="A724" s="132"/>
      <c r="B724" s="132"/>
      <c r="C724" s="132"/>
      <c r="D724" s="132"/>
      <c r="E724" s="132"/>
      <c r="F724" s="132"/>
      <c r="G724" s="132"/>
      <c r="H724" s="132"/>
      <c r="I724" s="132"/>
      <c r="J724" s="132"/>
      <c r="K724" s="132"/>
      <c r="L724" s="132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</row>
    <row r="725" spans="1:31" ht="15.75" customHeight="1">
      <c r="A725" s="132"/>
      <c r="B725" s="132"/>
      <c r="C725" s="132"/>
      <c r="D725" s="132"/>
      <c r="E725" s="132"/>
      <c r="F725" s="132"/>
      <c r="G725" s="132"/>
      <c r="H725" s="132"/>
      <c r="I725" s="132"/>
      <c r="J725" s="132"/>
      <c r="K725" s="132"/>
      <c r="L725" s="132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</row>
    <row r="726" spans="1:31" ht="15.75" customHeight="1">
      <c r="A726" s="132"/>
      <c r="B726" s="132"/>
      <c r="C726" s="132"/>
      <c r="D726" s="132"/>
      <c r="E726" s="132"/>
      <c r="F726" s="132"/>
      <c r="G726" s="132"/>
      <c r="H726" s="132"/>
      <c r="I726" s="132"/>
      <c r="J726" s="132"/>
      <c r="K726" s="132"/>
      <c r="L726" s="132"/>
      <c r="M726" s="1"/>
      <c r="N726" s="1"/>
      <c r="O726" s="1"/>
      <c r="P726" s="1"/>
      <c r="Q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</row>
    <row r="727" spans="1:31" ht="15.75" customHeight="1">
      <c r="A727" s="132"/>
      <c r="B727" s="132"/>
      <c r="C727" s="132"/>
      <c r="D727" s="132"/>
      <c r="E727" s="132"/>
      <c r="F727" s="132"/>
      <c r="G727" s="132"/>
      <c r="H727" s="132"/>
      <c r="I727" s="132"/>
      <c r="J727" s="132"/>
      <c r="K727" s="132"/>
      <c r="L727" s="132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</row>
    <row r="728" spans="1:31" ht="15.75" customHeight="1">
      <c r="A728" s="132"/>
      <c r="B728" s="132"/>
      <c r="C728" s="132"/>
      <c r="D728" s="132"/>
      <c r="E728" s="132"/>
      <c r="F728" s="132"/>
      <c r="G728" s="132"/>
      <c r="H728" s="132"/>
      <c r="I728" s="132"/>
      <c r="J728" s="132"/>
      <c r="K728" s="132"/>
      <c r="L728" s="132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</row>
    <row r="729" spans="1:31" ht="15.75" customHeight="1">
      <c r="A729" s="132"/>
      <c r="B729" s="132"/>
      <c r="C729" s="132"/>
      <c r="D729" s="132"/>
      <c r="E729" s="132"/>
      <c r="F729" s="132"/>
      <c r="G729" s="132"/>
      <c r="H729" s="132"/>
      <c r="I729" s="132"/>
      <c r="J729" s="132"/>
      <c r="K729" s="132"/>
      <c r="L729" s="132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</row>
    <row r="730" spans="1:31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</row>
    <row r="731" spans="1: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</row>
    <row r="732" spans="1:31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</row>
    <row r="733" spans="1:31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</row>
    <row r="734" spans="1:31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</row>
    <row r="735" spans="1:31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</row>
    <row r="736" spans="1:31" ht="16.5" customHeight="1">
      <c r="A736" s="131" t="s">
        <v>73</v>
      </c>
      <c r="B736" s="131"/>
      <c r="C736" s="131"/>
      <c r="D736" s="131"/>
      <c r="E736" s="1"/>
      <c r="F736" s="1"/>
      <c r="G736" s="1"/>
      <c r="H736" s="1"/>
      <c r="I736" s="1"/>
      <c r="K736" s="25"/>
      <c r="L736" s="25"/>
      <c r="M736" s="29"/>
      <c r="N736" s="29"/>
      <c r="O736" s="131" t="s">
        <v>74</v>
      </c>
      <c r="P736" s="131"/>
      <c r="Q736" s="13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</row>
    <row r="737" spans="1:31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</row>
    <row r="738" spans="1:31" ht="15.75" customHeight="1">
      <c r="A738" s="132"/>
      <c r="B738" s="132"/>
      <c r="C738" s="132"/>
      <c r="D738" s="132"/>
      <c r="E738" s="132"/>
      <c r="F738" s="132"/>
      <c r="G738" s="132"/>
      <c r="H738" s="132"/>
      <c r="I738" s="132"/>
      <c r="J738" s="132"/>
      <c r="K738" s="132"/>
      <c r="L738" s="132"/>
      <c r="M738" s="1"/>
      <c r="N738" s="1"/>
      <c r="O738" s="132"/>
      <c r="P738" s="132"/>
      <c r="Q738" s="132"/>
      <c r="R738" s="132"/>
      <c r="S738" s="132"/>
      <c r="T738" s="132"/>
      <c r="U738" s="132"/>
      <c r="V738" s="132"/>
      <c r="W738" s="132"/>
      <c r="X738" s="132"/>
      <c r="Y738" s="132"/>
      <c r="Z738" s="132"/>
      <c r="AA738" s="132"/>
      <c r="AB738" s="132"/>
      <c r="AC738" s="132"/>
      <c r="AD738" s="132"/>
      <c r="AE738" s="1"/>
    </row>
    <row r="739" spans="1:31" ht="15.75" customHeight="1">
      <c r="A739" s="132"/>
      <c r="B739" s="132"/>
      <c r="C739" s="132"/>
      <c r="D739" s="132"/>
      <c r="E739" s="132"/>
      <c r="F739" s="132"/>
      <c r="G739" s="132"/>
      <c r="H739" s="132"/>
      <c r="I739" s="132"/>
      <c r="J739" s="132"/>
      <c r="K739" s="132"/>
      <c r="L739" s="132"/>
      <c r="M739" s="1"/>
      <c r="N739" s="1"/>
      <c r="O739" s="132"/>
      <c r="P739" s="132"/>
      <c r="Q739" s="132"/>
      <c r="R739" s="132"/>
      <c r="S739" s="132"/>
      <c r="T739" s="132"/>
      <c r="U739" s="132"/>
      <c r="V739" s="132"/>
      <c r="W739" s="132"/>
      <c r="X739" s="132"/>
      <c r="Y739" s="132"/>
      <c r="Z739" s="132"/>
      <c r="AA739" s="132"/>
      <c r="AB739" s="132"/>
      <c r="AC739" s="132"/>
      <c r="AD739" s="132"/>
      <c r="AE739" s="1"/>
    </row>
    <row r="740" spans="1:31" ht="15.75" customHeight="1">
      <c r="A740" s="132"/>
      <c r="B740" s="132"/>
      <c r="C740" s="132"/>
      <c r="D740" s="132"/>
      <c r="E740" s="132"/>
      <c r="F740" s="132"/>
      <c r="G740" s="132"/>
      <c r="H740" s="132"/>
      <c r="I740" s="132"/>
      <c r="J740" s="132"/>
      <c r="K740" s="132"/>
      <c r="L740" s="132"/>
      <c r="M740" s="1"/>
      <c r="N740" s="1"/>
      <c r="O740" s="132"/>
      <c r="P740" s="132"/>
      <c r="Q740" s="132"/>
      <c r="R740" s="132"/>
      <c r="S740" s="132"/>
      <c r="T740" s="132"/>
      <c r="U740" s="132"/>
      <c r="V740" s="132"/>
      <c r="W740" s="132"/>
      <c r="X740" s="132"/>
      <c r="Y740" s="132"/>
      <c r="Z740" s="132"/>
      <c r="AA740" s="132"/>
      <c r="AB740" s="132"/>
      <c r="AC740" s="132"/>
      <c r="AD740" s="132"/>
      <c r="AE740" s="1"/>
    </row>
    <row r="741" spans="1:31" ht="15.75" customHeight="1">
      <c r="A741" s="132"/>
      <c r="B741" s="132"/>
      <c r="C741" s="132"/>
      <c r="D741" s="132"/>
      <c r="E741" s="132"/>
      <c r="F741" s="132"/>
      <c r="G741" s="132"/>
      <c r="H741" s="132"/>
      <c r="I741" s="132"/>
      <c r="J741" s="132"/>
      <c r="K741" s="132"/>
      <c r="L741" s="132"/>
      <c r="M741" s="1"/>
      <c r="N741" s="1"/>
      <c r="O741" s="132"/>
      <c r="P741" s="132"/>
      <c r="Q741" s="132"/>
      <c r="R741" s="132"/>
      <c r="S741" s="132"/>
      <c r="T741" s="132"/>
      <c r="U741" s="132"/>
      <c r="V741" s="132"/>
      <c r="W741" s="132"/>
      <c r="X741" s="132"/>
      <c r="Y741" s="132"/>
      <c r="Z741" s="132"/>
      <c r="AA741" s="132"/>
      <c r="AB741" s="132"/>
      <c r="AC741" s="132"/>
      <c r="AD741" s="132"/>
      <c r="AE741" s="1"/>
    </row>
    <row r="742" spans="1:31" ht="15.75" customHeight="1">
      <c r="A742" s="132"/>
      <c r="B742" s="132"/>
      <c r="C742" s="132"/>
      <c r="D742" s="132"/>
      <c r="E742" s="132"/>
      <c r="F742" s="132"/>
      <c r="G742" s="132"/>
      <c r="H742" s="132"/>
      <c r="I742" s="132"/>
      <c r="J742" s="132"/>
      <c r="K742" s="132"/>
      <c r="L742" s="132"/>
      <c r="M742" s="1"/>
      <c r="N742" s="1"/>
      <c r="O742" s="132"/>
      <c r="P742" s="132"/>
      <c r="Q742" s="132"/>
      <c r="R742" s="132"/>
      <c r="S742" s="132"/>
      <c r="T742" s="132"/>
      <c r="U742" s="132"/>
      <c r="V742" s="132"/>
      <c r="W742" s="132"/>
      <c r="X742" s="132"/>
      <c r="Y742" s="132"/>
      <c r="Z742" s="132"/>
      <c r="AA742" s="132"/>
      <c r="AB742" s="132"/>
      <c r="AC742" s="132"/>
      <c r="AD742" s="132"/>
      <c r="AE742" s="1"/>
    </row>
    <row r="743" spans="1:31" ht="15.75" customHeight="1">
      <c r="A743" s="132"/>
      <c r="B743" s="132"/>
      <c r="C743" s="132"/>
      <c r="D743" s="132"/>
      <c r="E743" s="132"/>
      <c r="F743" s="132"/>
      <c r="G743" s="132"/>
      <c r="H743" s="132"/>
      <c r="I743" s="132"/>
      <c r="J743" s="132"/>
      <c r="K743" s="132"/>
      <c r="L743" s="132"/>
      <c r="M743" s="1"/>
      <c r="N743" s="1"/>
      <c r="O743" s="132"/>
      <c r="P743" s="132"/>
      <c r="Q743" s="132"/>
      <c r="R743" s="132"/>
      <c r="S743" s="132"/>
      <c r="T743" s="132"/>
      <c r="U743" s="132"/>
      <c r="V743" s="132"/>
      <c r="W743" s="132"/>
      <c r="X743" s="132"/>
      <c r="Y743" s="132"/>
      <c r="Z743" s="132"/>
      <c r="AA743" s="132"/>
      <c r="AB743" s="132"/>
      <c r="AC743" s="132"/>
      <c r="AD743" s="132"/>
      <c r="AE743" s="1"/>
    </row>
    <row r="744" spans="1:31" ht="15.75" customHeight="1">
      <c r="A744" s="132"/>
      <c r="B744" s="132"/>
      <c r="C744" s="132"/>
      <c r="D744" s="132"/>
      <c r="E744" s="132"/>
      <c r="F744" s="132"/>
      <c r="G744" s="132"/>
      <c r="H744" s="132"/>
      <c r="I744" s="132"/>
      <c r="J744" s="132"/>
      <c r="K744" s="132"/>
      <c r="L744" s="132"/>
      <c r="M744" s="1"/>
      <c r="N744" s="1"/>
      <c r="O744" s="132"/>
      <c r="P744" s="132"/>
      <c r="Q744" s="132"/>
      <c r="R744" s="132"/>
      <c r="S744" s="132"/>
      <c r="T744" s="132"/>
      <c r="U744" s="132"/>
      <c r="V744" s="132"/>
      <c r="W744" s="132"/>
      <c r="X744" s="132"/>
      <c r="Y744" s="132"/>
      <c r="Z744" s="132"/>
      <c r="AA744" s="132"/>
      <c r="AB744" s="132"/>
      <c r="AC744" s="132"/>
      <c r="AD744" s="132"/>
      <c r="AE744" s="1"/>
    </row>
    <row r="745" spans="1:31" ht="15.75" customHeight="1">
      <c r="A745" s="132"/>
      <c r="B745" s="132"/>
      <c r="C745" s="132"/>
      <c r="D745" s="132"/>
      <c r="E745" s="132"/>
      <c r="F745" s="132"/>
      <c r="G745" s="132"/>
      <c r="H745" s="132"/>
      <c r="I745" s="132"/>
      <c r="J745" s="132"/>
      <c r="K745" s="132"/>
      <c r="L745" s="132"/>
      <c r="M745" s="1"/>
      <c r="N745" s="1"/>
      <c r="O745" s="132"/>
      <c r="P745" s="132"/>
      <c r="Q745" s="132"/>
      <c r="R745" s="132"/>
      <c r="S745" s="132"/>
      <c r="T745" s="132"/>
      <c r="U745" s="132"/>
      <c r="V745" s="132"/>
      <c r="W745" s="132"/>
      <c r="X745" s="132"/>
      <c r="Y745" s="132"/>
      <c r="Z745" s="132"/>
      <c r="AA745" s="132"/>
      <c r="AB745" s="132"/>
      <c r="AC745" s="132"/>
      <c r="AD745" s="132"/>
      <c r="AE745" s="1"/>
    </row>
    <row r="746" spans="1:31" ht="15.75" customHeight="1">
      <c r="A746" s="132"/>
      <c r="B746" s="132"/>
      <c r="C746" s="132"/>
      <c r="D746" s="132"/>
      <c r="E746" s="132"/>
      <c r="F746" s="132"/>
      <c r="G746" s="132"/>
      <c r="H746" s="132"/>
      <c r="I746" s="132"/>
      <c r="J746" s="132"/>
      <c r="K746" s="132"/>
      <c r="L746" s="132"/>
      <c r="M746" s="1"/>
      <c r="N746" s="1"/>
      <c r="O746" s="132"/>
      <c r="P746" s="132"/>
      <c r="Q746" s="132"/>
      <c r="R746" s="132"/>
      <c r="S746" s="132"/>
      <c r="T746" s="132"/>
      <c r="U746" s="132"/>
      <c r="V746" s="132"/>
      <c r="W746" s="132"/>
      <c r="X746" s="132"/>
      <c r="Y746" s="132"/>
      <c r="Z746" s="132"/>
      <c r="AA746" s="132"/>
      <c r="AB746" s="132"/>
      <c r="AC746" s="132"/>
      <c r="AD746" s="132"/>
      <c r="AE746" s="1"/>
    </row>
    <row r="747" spans="1:31" ht="15.75" customHeight="1">
      <c r="A747" s="132"/>
      <c r="B747" s="132"/>
      <c r="C747" s="132"/>
      <c r="D747" s="132"/>
      <c r="E747" s="132"/>
      <c r="F747" s="132"/>
      <c r="G747" s="132"/>
      <c r="H747" s="132"/>
      <c r="I747" s="132"/>
      <c r="J747" s="132"/>
      <c r="K747" s="132"/>
      <c r="L747" s="132"/>
      <c r="M747" s="1"/>
      <c r="N747" s="1"/>
      <c r="O747" s="132"/>
      <c r="P747" s="132"/>
      <c r="Q747" s="132"/>
      <c r="R747" s="132"/>
      <c r="S747" s="132"/>
      <c r="T747" s="132"/>
      <c r="U747" s="132"/>
      <c r="V747" s="132"/>
      <c r="W747" s="132"/>
      <c r="X747" s="132"/>
      <c r="Y747" s="132"/>
      <c r="Z747" s="132"/>
      <c r="AA747" s="132"/>
      <c r="AB747" s="132"/>
      <c r="AC747" s="132"/>
      <c r="AD747" s="132"/>
      <c r="AE747" s="1"/>
    </row>
    <row r="748" spans="1:31" ht="15.75" customHeight="1">
      <c r="A748" s="132"/>
      <c r="B748" s="132"/>
      <c r="C748" s="132"/>
      <c r="D748" s="132"/>
      <c r="E748" s="132"/>
      <c r="F748" s="132"/>
      <c r="G748" s="132"/>
      <c r="H748" s="132"/>
      <c r="I748" s="132"/>
      <c r="J748" s="132"/>
      <c r="K748" s="132"/>
      <c r="L748" s="132"/>
      <c r="M748" s="1"/>
      <c r="N748" s="1"/>
      <c r="O748" s="132"/>
      <c r="P748" s="132"/>
      <c r="Q748" s="132"/>
      <c r="R748" s="132"/>
      <c r="S748" s="132"/>
      <c r="T748" s="132"/>
      <c r="U748" s="132"/>
      <c r="V748" s="132"/>
      <c r="W748" s="132"/>
      <c r="X748" s="132"/>
      <c r="Y748" s="132"/>
      <c r="Z748" s="132"/>
      <c r="AA748" s="132"/>
      <c r="AB748" s="132"/>
      <c r="AC748" s="132"/>
      <c r="AD748" s="132"/>
      <c r="AE748" s="1"/>
    </row>
    <row r="749" spans="1:31" ht="15.75" customHeight="1">
      <c r="A749" s="132"/>
      <c r="B749" s="132"/>
      <c r="C749" s="132"/>
      <c r="D749" s="132"/>
      <c r="E749" s="132"/>
      <c r="F749" s="132"/>
      <c r="G749" s="132"/>
      <c r="H749" s="132"/>
      <c r="I749" s="132"/>
      <c r="J749" s="132"/>
      <c r="K749" s="132"/>
      <c r="L749" s="132"/>
      <c r="M749" s="1"/>
      <c r="N749" s="1"/>
      <c r="O749" s="132"/>
      <c r="P749" s="132"/>
      <c r="Q749" s="132"/>
      <c r="R749" s="132"/>
      <c r="S749" s="132"/>
      <c r="T749" s="132"/>
      <c r="U749" s="132"/>
      <c r="V749" s="132"/>
      <c r="W749" s="132"/>
      <c r="X749" s="132"/>
      <c r="Y749" s="132"/>
      <c r="Z749" s="132"/>
      <c r="AA749" s="132"/>
      <c r="AB749" s="132"/>
      <c r="AC749" s="132"/>
      <c r="AD749" s="132"/>
      <c r="AE749" s="1"/>
    </row>
    <row r="750" spans="1:31" ht="15.75" customHeight="1">
      <c r="A750" s="132"/>
      <c r="B750" s="132"/>
      <c r="C750" s="132"/>
      <c r="D750" s="132"/>
      <c r="E750" s="132"/>
      <c r="F750" s="132"/>
      <c r="G750" s="132"/>
      <c r="H750" s="132"/>
      <c r="I750" s="132"/>
      <c r="J750" s="132"/>
      <c r="K750" s="132"/>
      <c r="L750" s="132"/>
      <c r="M750" s="1"/>
      <c r="N750" s="1"/>
      <c r="O750" s="132"/>
      <c r="P750" s="132"/>
      <c r="Q750" s="132"/>
      <c r="R750" s="132"/>
      <c r="S750" s="132"/>
      <c r="T750" s="132"/>
      <c r="U750" s="132"/>
      <c r="V750" s="132"/>
      <c r="W750" s="132"/>
      <c r="X750" s="132"/>
      <c r="Y750" s="132"/>
      <c r="Z750" s="132"/>
      <c r="AA750" s="132"/>
      <c r="AB750" s="132"/>
      <c r="AC750" s="132"/>
      <c r="AD750" s="132"/>
      <c r="AE750" s="1"/>
    </row>
    <row r="751" spans="1:31" ht="15.75" customHeight="1">
      <c r="A751" s="132"/>
      <c r="B751" s="132"/>
      <c r="C751" s="132"/>
      <c r="D751" s="132"/>
      <c r="E751" s="132"/>
      <c r="F751" s="132"/>
      <c r="G751" s="132"/>
      <c r="H751" s="132"/>
      <c r="I751" s="132"/>
      <c r="J751" s="132"/>
      <c r="K751" s="132"/>
      <c r="L751" s="132"/>
      <c r="M751" s="1"/>
      <c r="N751" s="1"/>
      <c r="O751" s="132"/>
      <c r="P751" s="132"/>
      <c r="Q751" s="132"/>
      <c r="R751" s="132"/>
      <c r="S751" s="132"/>
      <c r="T751" s="132"/>
      <c r="U751" s="132"/>
      <c r="V751" s="132"/>
      <c r="W751" s="132"/>
      <c r="X751" s="132"/>
      <c r="Y751" s="132"/>
      <c r="Z751" s="132"/>
      <c r="AA751" s="132"/>
      <c r="AB751" s="132"/>
      <c r="AC751" s="132"/>
      <c r="AD751" s="132"/>
      <c r="AE751" s="1"/>
    </row>
    <row r="752" spans="1:31" ht="15.75" customHeight="1">
      <c r="A752" s="132"/>
      <c r="B752" s="132"/>
      <c r="C752" s="132"/>
      <c r="D752" s="132"/>
      <c r="E752" s="132"/>
      <c r="F752" s="132"/>
      <c r="G752" s="132"/>
      <c r="H752" s="132"/>
      <c r="I752" s="132"/>
      <c r="J752" s="132"/>
      <c r="K752" s="132"/>
      <c r="L752" s="132"/>
      <c r="M752" s="1"/>
      <c r="N752" s="1"/>
      <c r="O752" s="132"/>
      <c r="P752" s="132"/>
      <c r="Q752" s="132"/>
      <c r="R752" s="132"/>
      <c r="S752" s="132"/>
      <c r="T752" s="132"/>
      <c r="U752" s="132"/>
      <c r="V752" s="132"/>
      <c r="W752" s="132"/>
      <c r="X752" s="132"/>
      <c r="Y752" s="132"/>
      <c r="Z752" s="132"/>
      <c r="AA752" s="132"/>
      <c r="AB752" s="132"/>
      <c r="AC752" s="132"/>
      <c r="AD752" s="132"/>
      <c r="AE752" s="1"/>
    </row>
    <row r="753" spans="1:31" ht="15.75" customHeight="1">
      <c r="A753" s="132"/>
      <c r="B753" s="132"/>
      <c r="C753" s="132"/>
      <c r="D753" s="132"/>
      <c r="E753" s="132"/>
      <c r="F753" s="132"/>
      <c r="G753" s="132"/>
      <c r="H753" s="132"/>
      <c r="I753" s="132"/>
      <c r="J753" s="132"/>
      <c r="K753" s="132"/>
      <c r="L753" s="132"/>
      <c r="M753" s="1"/>
      <c r="N753" s="1"/>
      <c r="O753" s="132"/>
      <c r="P753" s="132"/>
      <c r="Q753" s="132"/>
      <c r="R753" s="132"/>
      <c r="S753" s="132"/>
      <c r="T753" s="132"/>
      <c r="U753" s="132"/>
      <c r="V753" s="132"/>
      <c r="W753" s="132"/>
      <c r="X753" s="132"/>
      <c r="Y753" s="132"/>
      <c r="Z753" s="132"/>
      <c r="AA753" s="132"/>
      <c r="AB753" s="132"/>
      <c r="AC753" s="132"/>
      <c r="AD753" s="132"/>
      <c r="AE753" s="1"/>
    </row>
    <row r="754" spans="1:31" ht="15.75" customHeight="1">
      <c r="A754" s="132"/>
      <c r="B754" s="132"/>
      <c r="C754" s="132"/>
      <c r="D754" s="132"/>
      <c r="E754" s="132"/>
      <c r="F754" s="132"/>
      <c r="G754" s="132"/>
      <c r="H754" s="132"/>
      <c r="I754" s="132"/>
      <c r="J754" s="132"/>
      <c r="K754" s="132"/>
      <c r="L754" s="132"/>
      <c r="M754" s="1"/>
      <c r="N754" s="1"/>
      <c r="O754" s="132"/>
      <c r="P754" s="132"/>
      <c r="Q754" s="132"/>
      <c r="R754" s="132"/>
      <c r="S754" s="132"/>
      <c r="T754" s="132"/>
      <c r="U754" s="132"/>
      <c r="V754" s="132"/>
      <c r="W754" s="132"/>
      <c r="X754" s="132"/>
      <c r="Y754" s="132"/>
      <c r="Z754" s="132"/>
      <c r="AA754" s="132"/>
      <c r="AB754" s="132"/>
      <c r="AC754" s="132"/>
      <c r="AD754" s="132"/>
      <c r="AE754" s="1"/>
    </row>
    <row r="755" spans="1:31" ht="15.75" customHeight="1">
      <c r="A755" s="132"/>
      <c r="B755" s="132"/>
      <c r="C755" s="132"/>
      <c r="D755" s="132"/>
      <c r="E755" s="132"/>
      <c r="F755" s="132"/>
      <c r="G755" s="132"/>
      <c r="H755" s="132"/>
      <c r="I755" s="132"/>
      <c r="J755" s="132"/>
      <c r="K755" s="132"/>
      <c r="L755" s="132"/>
      <c r="M755" s="1"/>
      <c r="N755" s="1"/>
      <c r="O755" s="132"/>
      <c r="P755" s="132"/>
      <c r="Q755" s="132"/>
      <c r="R755" s="132"/>
      <c r="S755" s="132"/>
      <c r="T755" s="132"/>
      <c r="U755" s="132"/>
      <c r="V755" s="132"/>
      <c r="W755" s="132"/>
      <c r="X755" s="132"/>
      <c r="Y755" s="132"/>
      <c r="Z755" s="132"/>
      <c r="AA755" s="132"/>
      <c r="AB755" s="132"/>
      <c r="AC755" s="132"/>
      <c r="AD755" s="132"/>
      <c r="AE755" s="1"/>
    </row>
    <row r="756" spans="1:31" ht="15.75" customHeight="1">
      <c r="A756" s="132"/>
      <c r="B756" s="132"/>
      <c r="C756" s="132"/>
      <c r="D756" s="132"/>
      <c r="E756" s="132"/>
      <c r="F756" s="132"/>
      <c r="G756" s="132"/>
      <c r="H756" s="132"/>
      <c r="I756" s="132"/>
      <c r="J756" s="132"/>
      <c r="K756" s="132"/>
      <c r="L756" s="132"/>
      <c r="M756" s="1"/>
      <c r="N756" s="1"/>
      <c r="O756" s="132"/>
      <c r="P756" s="132"/>
      <c r="Q756" s="132"/>
      <c r="R756" s="132"/>
      <c r="S756" s="132"/>
      <c r="T756" s="132"/>
      <c r="U756" s="132"/>
      <c r="V756" s="132"/>
      <c r="W756" s="132"/>
      <c r="X756" s="132"/>
      <c r="Y756" s="132"/>
      <c r="Z756" s="132"/>
      <c r="AA756" s="132"/>
      <c r="AB756" s="132"/>
      <c r="AC756" s="132"/>
      <c r="AD756" s="132"/>
      <c r="AE756" s="1"/>
    </row>
    <row r="757" spans="1:31" ht="15.75" customHeight="1">
      <c r="A757" s="132"/>
      <c r="B757" s="132"/>
      <c r="C757" s="132"/>
      <c r="D757" s="132"/>
      <c r="E757" s="132"/>
      <c r="F757" s="132"/>
      <c r="G757" s="132"/>
      <c r="H757" s="132"/>
      <c r="I757" s="132"/>
      <c r="J757" s="132"/>
      <c r="K757" s="132"/>
      <c r="L757" s="132"/>
      <c r="M757" s="1"/>
      <c r="N757" s="1"/>
      <c r="O757" s="132"/>
      <c r="P757" s="132"/>
      <c r="Q757" s="132"/>
      <c r="R757" s="132"/>
      <c r="S757" s="132"/>
      <c r="T757" s="132"/>
      <c r="U757" s="132"/>
      <c r="V757" s="132"/>
      <c r="W757" s="132"/>
      <c r="X757" s="132"/>
      <c r="Y757" s="132"/>
      <c r="Z757" s="132"/>
      <c r="AA757" s="132"/>
      <c r="AB757" s="132"/>
      <c r="AC757" s="132"/>
      <c r="AD757" s="132"/>
      <c r="AE757" s="1"/>
    </row>
    <row r="758" spans="1:31" ht="15.75" customHeight="1">
      <c r="A758" s="132"/>
      <c r="B758" s="132"/>
      <c r="C758" s="132"/>
      <c r="D758" s="132"/>
      <c r="E758" s="132"/>
      <c r="F758" s="132"/>
      <c r="G758" s="132"/>
      <c r="H758" s="132"/>
      <c r="I758" s="132"/>
      <c r="J758" s="132"/>
      <c r="K758" s="132"/>
      <c r="L758" s="132"/>
      <c r="M758" s="1"/>
      <c r="N758" s="1"/>
      <c r="O758" s="132"/>
      <c r="P758" s="132"/>
      <c r="Q758" s="132"/>
      <c r="R758" s="132"/>
      <c r="S758" s="132"/>
      <c r="T758" s="132"/>
      <c r="U758" s="132"/>
      <c r="V758" s="132"/>
      <c r="W758" s="132"/>
      <c r="X758" s="132"/>
      <c r="Y758" s="132"/>
      <c r="Z758" s="132"/>
      <c r="AA758" s="132"/>
      <c r="AB758" s="132"/>
      <c r="AC758" s="132"/>
      <c r="AD758" s="132"/>
      <c r="AE758" s="1"/>
    </row>
    <row r="759" spans="1:31" ht="15.75" customHeight="1">
      <c r="A759" s="132"/>
      <c r="B759" s="132"/>
      <c r="C759" s="132"/>
      <c r="D759" s="132"/>
      <c r="E759" s="132"/>
      <c r="F759" s="132"/>
      <c r="G759" s="132"/>
      <c r="H759" s="132"/>
      <c r="I759" s="132"/>
      <c r="J759" s="132"/>
      <c r="K759" s="132"/>
      <c r="L759" s="132"/>
      <c r="M759" s="1"/>
      <c r="N759" s="1"/>
      <c r="O759" s="132"/>
      <c r="P759" s="132"/>
      <c r="Q759" s="132"/>
      <c r="R759" s="132"/>
      <c r="S759" s="132"/>
      <c r="T759" s="132"/>
      <c r="U759" s="132"/>
      <c r="V759" s="132"/>
      <c r="W759" s="132"/>
      <c r="X759" s="132"/>
      <c r="Y759" s="132"/>
      <c r="Z759" s="132"/>
      <c r="AA759" s="132"/>
      <c r="AB759" s="132"/>
      <c r="AC759" s="132"/>
      <c r="AD759" s="132"/>
      <c r="AE759" s="1"/>
    </row>
    <row r="760" spans="1:31" ht="15.75" customHeight="1">
      <c r="A760" s="132"/>
      <c r="B760" s="132"/>
      <c r="C760" s="132"/>
      <c r="D760" s="132"/>
      <c r="E760" s="132"/>
      <c r="F760" s="132"/>
      <c r="G760" s="132"/>
      <c r="H760" s="132"/>
      <c r="I760" s="132"/>
      <c r="J760" s="132"/>
      <c r="K760" s="132"/>
      <c r="L760" s="132"/>
      <c r="M760" s="1"/>
      <c r="N760" s="1"/>
      <c r="O760" s="132"/>
      <c r="P760" s="132"/>
      <c r="Q760" s="132"/>
      <c r="R760" s="132"/>
      <c r="S760" s="132"/>
      <c r="T760" s="132"/>
      <c r="U760" s="132"/>
      <c r="V760" s="132"/>
      <c r="W760" s="132"/>
      <c r="X760" s="132"/>
      <c r="Y760" s="132"/>
      <c r="Z760" s="132"/>
      <c r="AA760" s="132"/>
      <c r="AB760" s="132"/>
      <c r="AC760" s="132"/>
      <c r="AD760" s="132"/>
      <c r="AE760" s="1"/>
    </row>
    <row r="761" spans="1:31" ht="15.75" customHeight="1">
      <c r="A761" s="132"/>
      <c r="B761" s="132"/>
      <c r="C761" s="132"/>
      <c r="D761" s="132"/>
      <c r="E761" s="132"/>
      <c r="F761" s="132"/>
      <c r="G761" s="132"/>
      <c r="H761" s="132"/>
      <c r="I761" s="132"/>
      <c r="J761" s="132"/>
      <c r="K761" s="132"/>
      <c r="L761" s="132"/>
      <c r="M761" s="1"/>
      <c r="N761" s="1"/>
      <c r="O761" s="132"/>
      <c r="P761" s="132"/>
      <c r="Q761" s="132"/>
      <c r="R761" s="132"/>
      <c r="S761" s="132"/>
      <c r="T761" s="132"/>
      <c r="U761" s="132"/>
      <c r="V761" s="132"/>
      <c r="W761" s="132"/>
      <c r="X761" s="132"/>
      <c r="Y761" s="132"/>
      <c r="Z761" s="132"/>
      <c r="AA761" s="132"/>
      <c r="AB761" s="132"/>
      <c r="AC761" s="132"/>
      <c r="AD761" s="132"/>
      <c r="AE761" s="1"/>
    </row>
    <row r="762" spans="1:31" ht="15.75" customHeight="1">
      <c r="A762" s="132"/>
      <c r="B762" s="132"/>
      <c r="C762" s="132"/>
      <c r="D762" s="132"/>
      <c r="E762" s="132"/>
      <c r="F762" s="132"/>
      <c r="G762" s="132"/>
      <c r="H762" s="132"/>
      <c r="I762" s="132"/>
      <c r="J762" s="132"/>
      <c r="K762" s="132"/>
      <c r="L762" s="132"/>
      <c r="M762" s="1"/>
      <c r="N762" s="1"/>
      <c r="O762" s="132"/>
      <c r="P762" s="132"/>
      <c r="Q762" s="132"/>
      <c r="R762" s="132"/>
      <c r="S762" s="132"/>
      <c r="T762" s="132"/>
      <c r="U762" s="132"/>
      <c r="V762" s="132"/>
      <c r="W762" s="132"/>
      <c r="X762" s="132"/>
      <c r="Y762" s="132"/>
      <c r="Z762" s="132"/>
      <c r="AA762" s="132"/>
      <c r="AB762" s="132"/>
      <c r="AC762" s="132"/>
      <c r="AD762" s="132"/>
      <c r="AE762" s="1"/>
    </row>
    <row r="763" spans="1:31" ht="15.75" customHeight="1">
      <c r="A763" s="132"/>
      <c r="B763" s="132"/>
      <c r="C763" s="132"/>
      <c r="D763" s="132"/>
      <c r="E763" s="132"/>
      <c r="F763" s="132"/>
      <c r="G763" s="132"/>
      <c r="H763" s="132"/>
      <c r="I763" s="132"/>
      <c r="J763" s="132"/>
      <c r="K763" s="132"/>
      <c r="L763" s="132"/>
      <c r="M763" s="1"/>
      <c r="N763" s="1"/>
      <c r="O763" s="132"/>
      <c r="P763" s="132"/>
      <c r="Q763" s="132"/>
      <c r="R763" s="132"/>
      <c r="S763" s="132"/>
      <c r="T763" s="132"/>
      <c r="U763" s="132"/>
      <c r="V763" s="132"/>
      <c r="W763" s="132"/>
      <c r="X763" s="132"/>
      <c r="Y763" s="132"/>
      <c r="Z763" s="132"/>
      <c r="AA763" s="132"/>
      <c r="AB763" s="132"/>
      <c r="AC763" s="132"/>
      <c r="AD763" s="132"/>
      <c r="AE763" s="1"/>
    </row>
    <row r="764" spans="1:31" ht="15.75" customHeight="1">
      <c r="A764" s="132"/>
      <c r="B764" s="132"/>
      <c r="C764" s="132"/>
      <c r="D764" s="132"/>
      <c r="E764" s="132"/>
      <c r="F764" s="132"/>
      <c r="G764" s="132"/>
      <c r="H764" s="132"/>
      <c r="I764" s="132"/>
      <c r="J764" s="132"/>
      <c r="K764" s="132"/>
      <c r="L764" s="132"/>
      <c r="M764" s="1"/>
      <c r="N764" s="1"/>
      <c r="O764" s="132"/>
      <c r="P764" s="132"/>
      <c r="Q764" s="132"/>
      <c r="R764" s="132"/>
      <c r="S764" s="132"/>
      <c r="T764" s="132"/>
      <c r="U764" s="132"/>
      <c r="V764" s="132"/>
      <c r="W764" s="132"/>
      <c r="X764" s="132"/>
      <c r="Y764" s="132"/>
      <c r="Z764" s="132"/>
      <c r="AA764" s="132"/>
      <c r="AB764" s="132"/>
      <c r="AC764" s="132"/>
      <c r="AD764" s="132"/>
      <c r="AE764" s="1"/>
    </row>
    <row r="765" spans="1:31" ht="15.75" customHeight="1">
      <c r="A765" s="132"/>
      <c r="B765" s="132"/>
      <c r="C765" s="132"/>
      <c r="D765" s="132"/>
      <c r="E765" s="132"/>
      <c r="F765" s="132"/>
      <c r="G765" s="132"/>
      <c r="H765" s="132"/>
      <c r="I765" s="132"/>
      <c r="J765" s="132"/>
      <c r="K765" s="132"/>
      <c r="L765" s="132"/>
      <c r="M765" s="1"/>
      <c r="N765" s="1"/>
      <c r="O765" s="132"/>
      <c r="P765" s="132"/>
      <c r="Q765" s="132"/>
      <c r="R765" s="132"/>
      <c r="S765" s="132"/>
      <c r="T765" s="132"/>
      <c r="U765" s="132"/>
      <c r="V765" s="132"/>
      <c r="W765" s="132"/>
      <c r="X765" s="132"/>
      <c r="Y765" s="132"/>
      <c r="Z765" s="132"/>
      <c r="AA765" s="132"/>
      <c r="AB765" s="132"/>
      <c r="AC765" s="132"/>
      <c r="AD765" s="132"/>
      <c r="AE765" s="1"/>
    </row>
    <row r="766" spans="1:31" ht="15.75" customHeight="1">
      <c r="A766" s="132"/>
      <c r="B766" s="132"/>
      <c r="C766" s="132"/>
      <c r="D766" s="132"/>
      <c r="E766" s="132"/>
      <c r="F766" s="132"/>
      <c r="G766" s="132"/>
      <c r="H766" s="132"/>
      <c r="I766" s="132"/>
      <c r="J766" s="132"/>
      <c r="K766" s="132"/>
      <c r="L766" s="132"/>
      <c r="M766" s="1"/>
      <c r="N766" s="1"/>
      <c r="O766" s="132"/>
      <c r="P766" s="132"/>
      <c r="Q766" s="132"/>
      <c r="R766" s="132"/>
      <c r="S766" s="132"/>
      <c r="T766" s="132"/>
      <c r="U766" s="132"/>
      <c r="V766" s="132"/>
      <c r="W766" s="132"/>
      <c r="X766" s="132"/>
      <c r="Y766" s="132"/>
      <c r="Z766" s="132"/>
      <c r="AA766" s="132"/>
      <c r="AB766" s="132"/>
      <c r="AC766" s="132"/>
      <c r="AD766" s="132"/>
      <c r="AE766" s="1"/>
    </row>
    <row r="767" spans="1:31" ht="15.75" customHeight="1">
      <c r="A767" s="132"/>
      <c r="B767" s="132"/>
      <c r="C767" s="132"/>
      <c r="D767" s="132"/>
      <c r="E767" s="132"/>
      <c r="F767" s="132"/>
      <c r="G767" s="132"/>
      <c r="H767" s="132"/>
      <c r="I767" s="132"/>
      <c r="J767" s="132"/>
      <c r="K767" s="132"/>
      <c r="L767" s="132"/>
      <c r="M767" s="1"/>
      <c r="N767" s="1"/>
      <c r="O767" s="132"/>
      <c r="P767" s="132"/>
      <c r="Q767" s="132"/>
      <c r="R767" s="132"/>
      <c r="S767" s="132"/>
      <c r="T767" s="132"/>
      <c r="U767" s="132"/>
      <c r="V767" s="132"/>
      <c r="W767" s="132"/>
      <c r="X767" s="132"/>
      <c r="Y767" s="132"/>
      <c r="Z767" s="132"/>
      <c r="AA767" s="132"/>
      <c r="AB767" s="132"/>
      <c r="AC767" s="132"/>
      <c r="AD767" s="132"/>
      <c r="AE767" s="1"/>
    </row>
    <row r="768" spans="1:31" ht="15.75" customHeight="1">
      <c r="A768" s="132"/>
      <c r="B768" s="132"/>
      <c r="C768" s="132"/>
      <c r="D768" s="132"/>
      <c r="E768" s="132"/>
      <c r="F768" s="132"/>
      <c r="G768" s="132"/>
      <c r="H768" s="132"/>
      <c r="I768" s="132"/>
      <c r="J768" s="132"/>
      <c r="K768" s="132"/>
      <c r="L768" s="132"/>
      <c r="M768" s="1"/>
      <c r="N768" s="1"/>
      <c r="O768" s="132"/>
      <c r="P768" s="132"/>
      <c r="Q768" s="132"/>
      <c r="R768" s="132"/>
      <c r="S768" s="132"/>
      <c r="T768" s="132"/>
      <c r="U768" s="132"/>
      <c r="V768" s="132"/>
      <c r="W768" s="132"/>
      <c r="X768" s="132"/>
      <c r="Y768" s="132"/>
      <c r="Z768" s="132"/>
      <c r="AA768" s="132"/>
      <c r="AB768" s="132"/>
      <c r="AC768" s="132"/>
      <c r="AD768" s="132"/>
      <c r="AE768" s="1"/>
    </row>
    <row r="769" spans="1:31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</row>
    <row r="770" spans="1:31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</row>
    <row r="771" spans="1:3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</row>
    <row r="772" spans="1:31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</row>
    <row r="773" spans="1:31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</row>
    <row r="774" spans="1:31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</row>
    <row r="775" spans="1:31" ht="16.5" customHeight="1">
      <c r="A775" s="131" t="s">
        <v>75</v>
      </c>
      <c r="B775" s="131"/>
      <c r="C775" s="131"/>
      <c r="D775" s="131"/>
      <c r="E775" s="1"/>
      <c r="F775" s="1"/>
      <c r="G775" s="1"/>
      <c r="H775" s="1"/>
      <c r="I775" s="1"/>
      <c r="K775" s="25"/>
      <c r="L775" s="25"/>
      <c r="M775" s="29"/>
      <c r="N775" s="1"/>
      <c r="O775" s="131" t="s">
        <v>76</v>
      </c>
      <c r="P775" s="131"/>
      <c r="Q775" s="13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</row>
    <row r="776" spans="1:31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</row>
    <row r="777" spans="1:31" ht="15.75" customHeight="1">
      <c r="A777" s="132"/>
      <c r="B777" s="132"/>
      <c r="C777" s="132"/>
      <c r="D777" s="132"/>
      <c r="E777" s="132"/>
      <c r="F777" s="132"/>
      <c r="G777" s="132"/>
      <c r="H777" s="132"/>
      <c r="I777" s="132"/>
      <c r="J777" s="132"/>
      <c r="K777" s="132"/>
      <c r="L777" s="132"/>
      <c r="M777" s="1"/>
      <c r="N777" s="1"/>
      <c r="O777" s="132"/>
      <c r="P777" s="132"/>
      <c r="Q777" s="132"/>
      <c r="R777" s="132"/>
      <c r="S777" s="132"/>
      <c r="T777" s="132"/>
      <c r="U777" s="132"/>
      <c r="V777" s="132"/>
      <c r="W777" s="132"/>
      <c r="X777" s="132"/>
      <c r="Y777" s="132"/>
      <c r="Z777" s="132"/>
      <c r="AA777" s="132"/>
      <c r="AB777" s="132"/>
      <c r="AC777" s="132"/>
      <c r="AD777" s="132"/>
      <c r="AE777" s="1"/>
    </row>
    <row r="778" spans="1:31" ht="15.75" customHeight="1">
      <c r="A778" s="132"/>
      <c r="B778" s="132"/>
      <c r="C778" s="132"/>
      <c r="D778" s="132"/>
      <c r="E778" s="132"/>
      <c r="F778" s="132"/>
      <c r="G778" s="132"/>
      <c r="H778" s="132"/>
      <c r="I778" s="132"/>
      <c r="J778" s="132"/>
      <c r="K778" s="132"/>
      <c r="L778" s="132"/>
      <c r="M778" s="1"/>
      <c r="N778" s="1"/>
      <c r="O778" s="132"/>
      <c r="P778" s="132"/>
      <c r="Q778" s="132"/>
      <c r="R778" s="132"/>
      <c r="S778" s="132"/>
      <c r="T778" s="132"/>
      <c r="U778" s="132"/>
      <c r="V778" s="132"/>
      <c r="W778" s="132"/>
      <c r="X778" s="132"/>
      <c r="Y778" s="132"/>
      <c r="Z778" s="132"/>
      <c r="AA778" s="132"/>
      <c r="AB778" s="132"/>
      <c r="AC778" s="132"/>
      <c r="AD778" s="132"/>
      <c r="AE778" s="1"/>
    </row>
    <row r="779" spans="1:31" ht="15.75" customHeight="1">
      <c r="A779" s="132"/>
      <c r="B779" s="132"/>
      <c r="C779" s="132"/>
      <c r="D779" s="132"/>
      <c r="E779" s="132"/>
      <c r="F779" s="132"/>
      <c r="G779" s="132"/>
      <c r="H779" s="132"/>
      <c r="I779" s="132"/>
      <c r="J779" s="132"/>
      <c r="K779" s="132"/>
      <c r="L779" s="132"/>
      <c r="M779" s="1"/>
      <c r="N779" s="1"/>
      <c r="O779" s="132"/>
      <c r="P779" s="132"/>
      <c r="Q779" s="132"/>
      <c r="R779" s="132"/>
      <c r="S779" s="132"/>
      <c r="T779" s="132"/>
      <c r="U779" s="132"/>
      <c r="V779" s="132"/>
      <c r="W779" s="132"/>
      <c r="X779" s="132"/>
      <c r="Y779" s="132"/>
      <c r="Z779" s="132"/>
      <c r="AA779" s="132"/>
      <c r="AB779" s="132"/>
      <c r="AC779" s="132"/>
      <c r="AD779" s="132"/>
      <c r="AE779" s="1"/>
    </row>
    <row r="780" spans="1:31" ht="15.75" customHeight="1">
      <c r="A780" s="132"/>
      <c r="B780" s="132"/>
      <c r="C780" s="132"/>
      <c r="D780" s="132"/>
      <c r="E780" s="132"/>
      <c r="F780" s="132"/>
      <c r="G780" s="132"/>
      <c r="H780" s="132"/>
      <c r="I780" s="132"/>
      <c r="J780" s="132"/>
      <c r="K780" s="132"/>
      <c r="L780" s="132"/>
      <c r="M780" s="1"/>
      <c r="N780" s="1"/>
      <c r="O780" s="132"/>
      <c r="P780" s="132"/>
      <c r="Q780" s="132"/>
      <c r="R780" s="132"/>
      <c r="S780" s="132"/>
      <c r="T780" s="132"/>
      <c r="U780" s="132"/>
      <c r="V780" s="132"/>
      <c r="W780" s="132"/>
      <c r="X780" s="132"/>
      <c r="Y780" s="132"/>
      <c r="Z780" s="132"/>
      <c r="AA780" s="132"/>
      <c r="AB780" s="132"/>
      <c r="AC780" s="132"/>
      <c r="AD780" s="132"/>
      <c r="AE780" s="1"/>
    </row>
    <row r="781" spans="1:31" ht="15.75" customHeight="1">
      <c r="A781" s="132"/>
      <c r="B781" s="132"/>
      <c r="C781" s="132"/>
      <c r="D781" s="132"/>
      <c r="E781" s="132"/>
      <c r="F781" s="132"/>
      <c r="G781" s="132"/>
      <c r="H781" s="132"/>
      <c r="I781" s="132"/>
      <c r="J781" s="132"/>
      <c r="K781" s="132"/>
      <c r="L781" s="132"/>
      <c r="M781" s="1"/>
      <c r="N781" s="1"/>
      <c r="O781" s="132"/>
      <c r="P781" s="132"/>
      <c r="Q781" s="132"/>
      <c r="R781" s="132"/>
      <c r="S781" s="132"/>
      <c r="T781" s="132"/>
      <c r="U781" s="132"/>
      <c r="V781" s="132"/>
      <c r="W781" s="132"/>
      <c r="X781" s="132"/>
      <c r="Y781" s="132"/>
      <c r="Z781" s="132"/>
      <c r="AA781" s="132"/>
      <c r="AB781" s="132"/>
      <c r="AC781" s="132"/>
      <c r="AD781" s="132"/>
      <c r="AE781" s="1"/>
    </row>
    <row r="782" spans="1:31" ht="15.75" customHeight="1">
      <c r="A782" s="132"/>
      <c r="B782" s="132"/>
      <c r="C782" s="132"/>
      <c r="D782" s="132"/>
      <c r="E782" s="132"/>
      <c r="F782" s="132"/>
      <c r="G782" s="132"/>
      <c r="H782" s="132"/>
      <c r="I782" s="132"/>
      <c r="J782" s="132"/>
      <c r="K782" s="132"/>
      <c r="L782" s="132"/>
      <c r="M782" s="1"/>
      <c r="N782" s="1"/>
      <c r="O782" s="132"/>
      <c r="P782" s="132"/>
      <c r="Q782" s="132"/>
      <c r="R782" s="132"/>
      <c r="S782" s="132"/>
      <c r="T782" s="132"/>
      <c r="U782" s="132"/>
      <c r="V782" s="132"/>
      <c r="W782" s="132"/>
      <c r="X782" s="132"/>
      <c r="Y782" s="132"/>
      <c r="Z782" s="132"/>
      <c r="AA782" s="132"/>
      <c r="AB782" s="132"/>
      <c r="AC782" s="132"/>
      <c r="AD782" s="132"/>
      <c r="AE782" s="1"/>
    </row>
    <row r="783" spans="1:31" ht="15.75" customHeight="1">
      <c r="A783" s="132"/>
      <c r="B783" s="132"/>
      <c r="C783" s="132"/>
      <c r="D783" s="132"/>
      <c r="E783" s="132"/>
      <c r="F783" s="132"/>
      <c r="G783" s="132"/>
      <c r="H783" s="132"/>
      <c r="I783" s="132"/>
      <c r="J783" s="132"/>
      <c r="K783" s="132"/>
      <c r="L783" s="132"/>
      <c r="M783" s="1"/>
      <c r="N783" s="1"/>
      <c r="O783" s="132"/>
      <c r="P783" s="132"/>
      <c r="Q783" s="132"/>
      <c r="R783" s="132"/>
      <c r="S783" s="132"/>
      <c r="T783" s="132"/>
      <c r="U783" s="132"/>
      <c r="V783" s="132"/>
      <c r="W783" s="132"/>
      <c r="X783" s="132"/>
      <c r="Y783" s="132"/>
      <c r="Z783" s="132"/>
      <c r="AA783" s="132"/>
      <c r="AB783" s="132"/>
      <c r="AC783" s="132"/>
      <c r="AD783" s="132"/>
      <c r="AE783" s="1"/>
    </row>
    <row r="784" spans="1:31" ht="15.75" customHeight="1">
      <c r="A784" s="132"/>
      <c r="B784" s="132"/>
      <c r="C784" s="132"/>
      <c r="D784" s="132"/>
      <c r="E784" s="132"/>
      <c r="F784" s="132"/>
      <c r="G784" s="132"/>
      <c r="H784" s="132"/>
      <c r="I784" s="132"/>
      <c r="J784" s="132"/>
      <c r="K784" s="132"/>
      <c r="L784" s="132"/>
      <c r="M784" s="1"/>
      <c r="N784" s="1"/>
      <c r="O784" s="132"/>
      <c r="P784" s="132"/>
      <c r="Q784" s="132"/>
      <c r="R784" s="132"/>
      <c r="S784" s="132"/>
      <c r="T784" s="132"/>
      <c r="U784" s="132"/>
      <c r="V784" s="132"/>
      <c r="W784" s="132"/>
      <c r="X784" s="132"/>
      <c r="Y784" s="132"/>
      <c r="Z784" s="132"/>
      <c r="AA784" s="132"/>
      <c r="AB784" s="132"/>
      <c r="AC784" s="132"/>
      <c r="AD784" s="132"/>
      <c r="AE784" s="1"/>
    </row>
    <row r="785" spans="1:31" ht="15.75" customHeight="1">
      <c r="A785" s="132"/>
      <c r="B785" s="132"/>
      <c r="C785" s="132"/>
      <c r="D785" s="132"/>
      <c r="E785" s="132"/>
      <c r="F785" s="132"/>
      <c r="G785" s="132"/>
      <c r="H785" s="132"/>
      <c r="I785" s="132"/>
      <c r="J785" s="132"/>
      <c r="K785" s="132"/>
      <c r="L785" s="132"/>
      <c r="M785" s="1"/>
      <c r="N785" s="1"/>
      <c r="O785" s="132"/>
      <c r="P785" s="132"/>
      <c r="Q785" s="132"/>
      <c r="R785" s="132"/>
      <c r="S785" s="132"/>
      <c r="T785" s="132"/>
      <c r="U785" s="132"/>
      <c r="V785" s="132"/>
      <c r="W785" s="132"/>
      <c r="X785" s="132"/>
      <c r="Y785" s="132"/>
      <c r="Z785" s="132"/>
      <c r="AA785" s="132"/>
      <c r="AB785" s="132"/>
      <c r="AC785" s="132"/>
      <c r="AD785" s="132"/>
      <c r="AE785" s="1"/>
    </row>
    <row r="786" spans="1:31" ht="15.75" customHeight="1">
      <c r="A786" s="132"/>
      <c r="B786" s="132"/>
      <c r="C786" s="132"/>
      <c r="D786" s="132"/>
      <c r="E786" s="132"/>
      <c r="F786" s="132"/>
      <c r="G786" s="132"/>
      <c r="H786" s="132"/>
      <c r="I786" s="132"/>
      <c r="J786" s="132"/>
      <c r="K786" s="132"/>
      <c r="L786" s="132"/>
      <c r="M786" s="1"/>
      <c r="N786" s="1"/>
      <c r="O786" s="132"/>
      <c r="P786" s="132"/>
      <c r="Q786" s="132"/>
      <c r="R786" s="132"/>
      <c r="S786" s="132"/>
      <c r="T786" s="132"/>
      <c r="U786" s="132"/>
      <c r="V786" s="132"/>
      <c r="W786" s="132"/>
      <c r="X786" s="132"/>
      <c r="Y786" s="132"/>
      <c r="Z786" s="132"/>
      <c r="AA786" s="132"/>
      <c r="AB786" s="132"/>
      <c r="AC786" s="132"/>
      <c r="AD786" s="132"/>
      <c r="AE786" s="1"/>
    </row>
    <row r="787" spans="1:31" ht="15.75" customHeight="1">
      <c r="A787" s="132"/>
      <c r="B787" s="132"/>
      <c r="C787" s="132"/>
      <c r="D787" s="132"/>
      <c r="E787" s="132"/>
      <c r="F787" s="132"/>
      <c r="G787" s="132"/>
      <c r="H787" s="132"/>
      <c r="I787" s="132"/>
      <c r="J787" s="132"/>
      <c r="K787" s="132"/>
      <c r="L787" s="132"/>
      <c r="M787" s="1"/>
      <c r="N787" s="1"/>
      <c r="O787" s="132"/>
      <c r="P787" s="132"/>
      <c r="Q787" s="132"/>
      <c r="R787" s="132"/>
      <c r="S787" s="132"/>
      <c r="T787" s="132"/>
      <c r="U787" s="132"/>
      <c r="V787" s="132"/>
      <c r="W787" s="132"/>
      <c r="X787" s="132"/>
      <c r="Y787" s="132"/>
      <c r="Z787" s="132"/>
      <c r="AA787" s="132"/>
      <c r="AB787" s="132"/>
      <c r="AC787" s="132"/>
      <c r="AD787" s="132"/>
      <c r="AE787" s="1"/>
    </row>
    <row r="788" spans="1:31" ht="15.75" customHeight="1">
      <c r="A788" s="132"/>
      <c r="B788" s="132"/>
      <c r="C788" s="132"/>
      <c r="D788" s="132"/>
      <c r="E788" s="132"/>
      <c r="F788" s="132"/>
      <c r="G788" s="132"/>
      <c r="H788" s="132"/>
      <c r="I788" s="132"/>
      <c r="J788" s="132"/>
      <c r="K788" s="132"/>
      <c r="L788" s="132"/>
      <c r="M788" s="1"/>
      <c r="N788" s="1"/>
      <c r="O788" s="132"/>
      <c r="P788" s="132"/>
      <c r="Q788" s="132"/>
      <c r="R788" s="132"/>
      <c r="S788" s="132"/>
      <c r="T788" s="132"/>
      <c r="U788" s="132"/>
      <c r="V788" s="132"/>
      <c r="W788" s="132"/>
      <c r="X788" s="132"/>
      <c r="Y788" s="132"/>
      <c r="Z788" s="132"/>
      <c r="AA788" s="132"/>
      <c r="AB788" s="132"/>
      <c r="AC788" s="132"/>
      <c r="AD788" s="132"/>
      <c r="AE788" s="1"/>
    </row>
    <row r="789" spans="1:31" ht="15.75" customHeight="1">
      <c r="A789" s="132"/>
      <c r="B789" s="132"/>
      <c r="C789" s="132"/>
      <c r="D789" s="132"/>
      <c r="E789" s="132"/>
      <c r="F789" s="132"/>
      <c r="G789" s="132"/>
      <c r="H789" s="132"/>
      <c r="I789" s="132"/>
      <c r="J789" s="132"/>
      <c r="K789" s="132"/>
      <c r="L789" s="132"/>
      <c r="M789" s="1"/>
      <c r="N789" s="1"/>
      <c r="O789" s="132"/>
      <c r="P789" s="132"/>
      <c r="Q789" s="132"/>
      <c r="R789" s="132"/>
      <c r="S789" s="132"/>
      <c r="T789" s="132"/>
      <c r="U789" s="132"/>
      <c r="V789" s="132"/>
      <c r="W789" s="132"/>
      <c r="X789" s="132"/>
      <c r="Y789" s="132"/>
      <c r="Z789" s="132"/>
      <c r="AA789" s="132"/>
      <c r="AB789" s="132"/>
      <c r="AC789" s="132"/>
      <c r="AD789" s="132"/>
      <c r="AE789" s="1"/>
    </row>
    <row r="790" spans="1:31" ht="15.75" customHeight="1">
      <c r="A790" s="132"/>
      <c r="B790" s="132"/>
      <c r="C790" s="132"/>
      <c r="D790" s="132"/>
      <c r="E790" s="132"/>
      <c r="F790" s="132"/>
      <c r="G790" s="132"/>
      <c r="H790" s="132"/>
      <c r="I790" s="132"/>
      <c r="J790" s="132"/>
      <c r="K790" s="132"/>
      <c r="L790" s="132"/>
      <c r="M790" s="1"/>
      <c r="N790" s="1"/>
      <c r="O790" s="132"/>
      <c r="P790" s="132"/>
      <c r="Q790" s="132"/>
      <c r="R790" s="132"/>
      <c r="S790" s="132"/>
      <c r="T790" s="132"/>
      <c r="U790" s="132"/>
      <c r="V790" s="132"/>
      <c r="W790" s="132"/>
      <c r="X790" s="132"/>
      <c r="Y790" s="132"/>
      <c r="Z790" s="132"/>
      <c r="AA790" s="132"/>
      <c r="AB790" s="132"/>
      <c r="AC790" s="132"/>
      <c r="AD790" s="132"/>
      <c r="AE790" s="1"/>
    </row>
    <row r="791" spans="1:31" ht="15.75" customHeight="1">
      <c r="A791" s="132"/>
      <c r="B791" s="132"/>
      <c r="C791" s="132"/>
      <c r="D791" s="132"/>
      <c r="E791" s="132"/>
      <c r="F791" s="132"/>
      <c r="G791" s="132"/>
      <c r="H791" s="132"/>
      <c r="I791" s="132"/>
      <c r="J791" s="132"/>
      <c r="K791" s="132"/>
      <c r="L791" s="132"/>
      <c r="M791" s="1"/>
      <c r="N791" s="1"/>
      <c r="O791" s="132"/>
      <c r="P791" s="132"/>
      <c r="Q791" s="132"/>
      <c r="R791" s="132"/>
      <c r="S791" s="132"/>
      <c r="T791" s="132"/>
      <c r="U791" s="132"/>
      <c r="V791" s="132"/>
      <c r="W791" s="132"/>
      <c r="X791" s="132"/>
      <c r="Y791" s="132"/>
      <c r="Z791" s="132"/>
      <c r="AA791" s="132"/>
      <c r="AB791" s="132"/>
      <c r="AC791" s="132"/>
      <c r="AD791" s="132"/>
      <c r="AE791" s="1"/>
    </row>
    <row r="792" spans="1:31" ht="15.75" customHeight="1">
      <c r="A792" s="132"/>
      <c r="B792" s="132"/>
      <c r="C792" s="132"/>
      <c r="D792" s="132"/>
      <c r="E792" s="132"/>
      <c r="F792" s="132"/>
      <c r="G792" s="132"/>
      <c r="H792" s="132"/>
      <c r="I792" s="132"/>
      <c r="J792" s="132"/>
      <c r="K792" s="132"/>
      <c r="L792" s="132"/>
      <c r="M792" s="1"/>
      <c r="N792" s="1"/>
      <c r="O792" s="132"/>
      <c r="P792" s="132"/>
      <c r="Q792" s="132"/>
      <c r="R792" s="132"/>
      <c r="S792" s="132"/>
      <c r="T792" s="132"/>
      <c r="U792" s="132"/>
      <c r="V792" s="132"/>
      <c r="W792" s="132"/>
      <c r="X792" s="132"/>
      <c r="Y792" s="132"/>
      <c r="Z792" s="132"/>
      <c r="AA792" s="132"/>
      <c r="AB792" s="132"/>
      <c r="AC792" s="132"/>
      <c r="AD792" s="132"/>
      <c r="AE792" s="1"/>
    </row>
    <row r="793" spans="1:31" ht="15.75" customHeight="1">
      <c r="A793" s="132"/>
      <c r="B793" s="132"/>
      <c r="C793" s="132"/>
      <c r="D793" s="132"/>
      <c r="E793" s="132"/>
      <c r="F793" s="132"/>
      <c r="G793" s="132"/>
      <c r="H793" s="132"/>
      <c r="I793" s="132"/>
      <c r="J793" s="132"/>
      <c r="K793" s="132"/>
      <c r="L793" s="132"/>
      <c r="M793" s="1"/>
      <c r="N793" s="1"/>
      <c r="O793" s="132"/>
      <c r="P793" s="132"/>
      <c r="Q793" s="132"/>
      <c r="R793" s="132"/>
      <c r="S793" s="132"/>
      <c r="T793" s="132"/>
      <c r="U793" s="132"/>
      <c r="V793" s="132"/>
      <c r="W793" s="132"/>
      <c r="X793" s="132"/>
      <c r="Y793" s="132"/>
      <c r="Z793" s="132"/>
      <c r="AA793" s="132"/>
      <c r="AB793" s="132"/>
      <c r="AC793" s="132"/>
      <c r="AD793" s="132"/>
      <c r="AE793" s="1"/>
    </row>
    <row r="794" spans="1:31" ht="15.75" customHeight="1">
      <c r="A794" s="132"/>
      <c r="B794" s="132"/>
      <c r="C794" s="132"/>
      <c r="D794" s="132"/>
      <c r="E794" s="132"/>
      <c r="F794" s="132"/>
      <c r="G794" s="132"/>
      <c r="H794" s="132"/>
      <c r="I794" s="132"/>
      <c r="J794" s="132"/>
      <c r="K794" s="132"/>
      <c r="L794" s="132"/>
      <c r="M794" s="1"/>
      <c r="N794" s="1"/>
      <c r="O794" s="132"/>
      <c r="P794" s="132"/>
      <c r="Q794" s="132"/>
      <c r="R794" s="132"/>
      <c r="S794" s="132"/>
      <c r="T794" s="132"/>
      <c r="U794" s="132"/>
      <c r="V794" s="132"/>
      <c r="W794" s="132"/>
      <c r="X794" s="132"/>
      <c r="Y794" s="132"/>
      <c r="Z794" s="132"/>
      <c r="AA794" s="132"/>
      <c r="AB794" s="132"/>
      <c r="AC794" s="132"/>
      <c r="AD794" s="132"/>
      <c r="AE794" s="1"/>
    </row>
    <row r="795" spans="1:31" ht="15.75" customHeight="1">
      <c r="A795" s="132"/>
      <c r="B795" s="132"/>
      <c r="C795" s="132"/>
      <c r="D795" s="132"/>
      <c r="E795" s="132"/>
      <c r="F795" s="132"/>
      <c r="G795" s="132"/>
      <c r="H795" s="132"/>
      <c r="I795" s="132"/>
      <c r="J795" s="132"/>
      <c r="K795" s="132"/>
      <c r="L795" s="132"/>
      <c r="M795" s="1"/>
      <c r="N795" s="1"/>
      <c r="O795" s="132"/>
      <c r="P795" s="132"/>
      <c r="Q795" s="132"/>
      <c r="R795" s="132"/>
      <c r="S795" s="132"/>
      <c r="T795" s="132"/>
      <c r="U795" s="132"/>
      <c r="V795" s="132"/>
      <c r="W795" s="132"/>
      <c r="X795" s="132"/>
      <c r="Y795" s="132"/>
      <c r="Z795" s="132"/>
      <c r="AA795" s="132"/>
      <c r="AB795" s="132"/>
      <c r="AC795" s="132"/>
      <c r="AD795" s="132"/>
      <c r="AE795" s="1"/>
    </row>
    <row r="796" spans="1:31" ht="15.75" customHeight="1">
      <c r="A796" s="132"/>
      <c r="B796" s="132"/>
      <c r="C796" s="132"/>
      <c r="D796" s="132"/>
      <c r="E796" s="132"/>
      <c r="F796" s="132"/>
      <c r="G796" s="132"/>
      <c r="H796" s="132"/>
      <c r="I796" s="132"/>
      <c r="J796" s="132"/>
      <c r="K796" s="132"/>
      <c r="L796" s="132"/>
      <c r="M796" s="1"/>
      <c r="N796" s="1"/>
      <c r="O796" s="132"/>
      <c r="P796" s="132"/>
      <c r="Q796" s="132"/>
      <c r="R796" s="132"/>
      <c r="S796" s="132"/>
      <c r="T796" s="132"/>
      <c r="U796" s="132"/>
      <c r="V796" s="132"/>
      <c r="W796" s="132"/>
      <c r="X796" s="132"/>
      <c r="Y796" s="132"/>
      <c r="Z796" s="132"/>
      <c r="AA796" s="132"/>
      <c r="AB796" s="132"/>
      <c r="AC796" s="132"/>
      <c r="AD796" s="132"/>
      <c r="AE796" s="1"/>
    </row>
    <row r="797" spans="1:31" ht="15.75" customHeight="1">
      <c r="A797" s="132"/>
      <c r="B797" s="132"/>
      <c r="C797" s="132"/>
      <c r="D797" s="132"/>
      <c r="E797" s="132"/>
      <c r="F797" s="132"/>
      <c r="G797" s="132"/>
      <c r="H797" s="132"/>
      <c r="I797" s="132"/>
      <c r="J797" s="132"/>
      <c r="K797" s="132"/>
      <c r="L797" s="132"/>
      <c r="M797" s="1"/>
      <c r="N797" s="1"/>
      <c r="O797" s="132"/>
      <c r="P797" s="132"/>
      <c r="Q797" s="132"/>
      <c r="R797" s="132"/>
      <c r="S797" s="132"/>
      <c r="T797" s="132"/>
      <c r="U797" s="132"/>
      <c r="V797" s="132"/>
      <c r="W797" s="132"/>
      <c r="X797" s="132"/>
      <c r="Y797" s="132"/>
      <c r="Z797" s="132"/>
      <c r="AA797" s="132"/>
      <c r="AB797" s="132"/>
      <c r="AC797" s="132"/>
      <c r="AD797" s="132"/>
      <c r="AE797" s="1"/>
    </row>
    <row r="798" spans="1:31" ht="15.75" customHeight="1">
      <c r="A798" s="132"/>
      <c r="B798" s="132"/>
      <c r="C798" s="132"/>
      <c r="D798" s="132"/>
      <c r="E798" s="132"/>
      <c r="F798" s="132"/>
      <c r="G798" s="132"/>
      <c r="H798" s="132"/>
      <c r="I798" s="132"/>
      <c r="J798" s="132"/>
      <c r="K798" s="132"/>
      <c r="L798" s="132"/>
      <c r="M798" s="1"/>
      <c r="N798" s="1"/>
      <c r="O798" s="132"/>
      <c r="P798" s="132"/>
      <c r="Q798" s="132"/>
      <c r="R798" s="132"/>
      <c r="S798" s="132"/>
      <c r="T798" s="132"/>
      <c r="U798" s="132"/>
      <c r="V798" s="132"/>
      <c r="W798" s="132"/>
      <c r="X798" s="132"/>
      <c r="Y798" s="132"/>
      <c r="Z798" s="132"/>
      <c r="AA798" s="132"/>
      <c r="AB798" s="132"/>
      <c r="AC798" s="132"/>
      <c r="AD798" s="132"/>
      <c r="AE798" s="1"/>
    </row>
    <row r="799" spans="1:31" ht="15.75" customHeight="1">
      <c r="A799" s="132"/>
      <c r="B799" s="132"/>
      <c r="C799" s="132"/>
      <c r="D799" s="132"/>
      <c r="E799" s="132"/>
      <c r="F799" s="132"/>
      <c r="G799" s="132"/>
      <c r="H799" s="132"/>
      <c r="I799" s="132"/>
      <c r="J799" s="132"/>
      <c r="K799" s="132"/>
      <c r="L799" s="132"/>
      <c r="M799" s="1"/>
      <c r="N799" s="1"/>
      <c r="O799" s="132"/>
      <c r="P799" s="132"/>
      <c r="Q799" s="132"/>
      <c r="R799" s="132"/>
      <c r="S799" s="132"/>
      <c r="T799" s="132"/>
      <c r="U799" s="132"/>
      <c r="V799" s="132"/>
      <c r="W799" s="132"/>
      <c r="X799" s="132"/>
      <c r="Y799" s="132"/>
      <c r="Z799" s="132"/>
      <c r="AA799" s="132"/>
      <c r="AB799" s="132"/>
      <c r="AC799" s="132"/>
      <c r="AD799" s="132"/>
      <c r="AE799" s="1"/>
    </row>
    <row r="800" spans="1:31" ht="15.75" customHeight="1">
      <c r="A800" s="132"/>
      <c r="B800" s="132"/>
      <c r="C800" s="132"/>
      <c r="D800" s="132"/>
      <c r="E800" s="132"/>
      <c r="F800" s="132"/>
      <c r="G800" s="132"/>
      <c r="H800" s="132"/>
      <c r="I800" s="132"/>
      <c r="J800" s="132"/>
      <c r="K800" s="132"/>
      <c r="L800" s="132"/>
      <c r="M800" s="1"/>
      <c r="N800" s="1"/>
      <c r="O800" s="132"/>
      <c r="P800" s="132"/>
      <c r="Q800" s="132"/>
      <c r="R800" s="132"/>
      <c r="S800" s="132"/>
      <c r="T800" s="132"/>
      <c r="U800" s="132"/>
      <c r="V800" s="132"/>
      <c r="W800" s="132"/>
      <c r="X800" s="132"/>
      <c r="Y800" s="132"/>
      <c r="Z800" s="132"/>
      <c r="AA800" s="132"/>
      <c r="AB800" s="132"/>
      <c r="AC800" s="132"/>
      <c r="AD800" s="132"/>
      <c r="AE800" s="1"/>
    </row>
    <row r="801" spans="1:31" ht="15.75" customHeight="1">
      <c r="A801" s="132"/>
      <c r="B801" s="132"/>
      <c r="C801" s="132"/>
      <c r="D801" s="132"/>
      <c r="E801" s="132"/>
      <c r="F801" s="132"/>
      <c r="G801" s="132"/>
      <c r="H801" s="132"/>
      <c r="I801" s="132"/>
      <c r="J801" s="132"/>
      <c r="K801" s="132"/>
      <c r="L801" s="132"/>
      <c r="M801" s="1"/>
      <c r="N801" s="1"/>
      <c r="O801" s="132"/>
      <c r="P801" s="132"/>
      <c r="Q801" s="132"/>
      <c r="R801" s="132"/>
      <c r="S801" s="132"/>
      <c r="T801" s="132"/>
      <c r="U801" s="132"/>
      <c r="V801" s="132"/>
      <c r="W801" s="132"/>
      <c r="X801" s="132"/>
      <c r="Y801" s="132"/>
      <c r="Z801" s="132"/>
      <c r="AA801" s="132"/>
      <c r="AB801" s="132"/>
      <c r="AC801" s="132"/>
      <c r="AD801" s="132"/>
      <c r="AE801" s="1"/>
    </row>
    <row r="802" spans="1:31" ht="15.75" customHeight="1">
      <c r="A802" s="132"/>
      <c r="B802" s="132"/>
      <c r="C802" s="132"/>
      <c r="D802" s="132"/>
      <c r="E802" s="132"/>
      <c r="F802" s="132"/>
      <c r="G802" s="132"/>
      <c r="H802" s="132"/>
      <c r="I802" s="132"/>
      <c r="J802" s="132"/>
      <c r="K802" s="132"/>
      <c r="L802" s="132"/>
      <c r="M802" s="1"/>
      <c r="N802" s="1"/>
      <c r="O802" s="132"/>
      <c r="P802" s="132"/>
      <c r="Q802" s="132"/>
      <c r="R802" s="132"/>
      <c r="S802" s="132"/>
      <c r="T802" s="132"/>
      <c r="U802" s="132"/>
      <c r="V802" s="132"/>
      <c r="W802" s="132"/>
      <c r="X802" s="132"/>
      <c r="Y802" s="132"/>
      <c r="Z802" s="132"/>
      <c r="AA802" s="132"/>
      <c r="AB802" s="132"/>
      <c r="AC802" s="132"/>
      <c r="AD802" s="132"/>
      <c r="AE802" s="1"/>
    </row>
    <row r="803" spans="1:31" ht="15.75" customHeight="1">
      <c r="A803" s="132"/>
      <c r="B803" s="132"/>
      <c r="C803" s="132"/>
      <c r="D803" s="132"/>
      <c r="E803" s="132"/>
      <c r="F803" s="132"/>
      <c r="G803" s="132"/>
      <c r="H803" s="132"/>
      <c r="I803" s="132"/>
      <c r="J803" s="132"/>
      <c r="K803" s="132"/>
      <c r="L803" s="132"/>
      <c r="M803" s="1"/>
      <c r="N803" s="1"/>
      <c r="O803" s="132"/>
      <c r="P803" s="132"/>
      <c r="Q803" s="132"/>
      <c r="R803" s="132"/>
      <c r="S803" s="132"/>
      <c r="T803" s="132"/>
      <c r="U803" s="132"/>
      <c r="V803" s="132"/>
      <c r="W803" s="132"/>
      <c r="X803" s="132"/>
      <c r="Y803" s="132"/>
      <c r="Z803" s="132"/>
      <c r="AA803" s="132"/>
      <c r="AB803" s="132"/>
      <c r="AC803" s="132"/>
      <c r="AD803" s="132"/>
      <c r="AE803" s="1"/>
    </row>
    <row r="804" spans="1:31" ht="15.75" customHeight="1">
      <c r="A804" s="132"/>
      <c r="B804" s="132"/>
      <c r="C804" s="132"/>
      <c r="D804" s="132"/>
      <c r="E804" s="132"/>
      <c r="F804" s="132"/>
      <c r="G804" s="132"/>
      <c r="H804" s="132"/>
      <c r="I804" s="132"/>
      <c r="J804" s="132"/>
      <c r="K804" s="132"/>
      <c r="L804" s="132"/>
      <c r="M804" s="1"/>
      <c r="N804" s="1"/>
      <c r="O804" s="132"/>
      <c r="P804" s="132"/>
      <c r="Q804" s="132"/>
      <c r="R804" s="132"/>
      <c r="S804" s="132"/>
      <c r="T804" s="132"/>
      <c r="U804" s="132"/>
      <c r="V804" s="132"/>
      <c r="W804" s="132"/>
      <c r="X804" s="132"/>
      <c r="Y804" s="132"/>
      <c r="Z804" s="132"/>
      <c r="AA804" s="132"/>
      <c r="AB804" s="132"/>
      <c r="AC804" s="132"/>
      <c r="AD804" s="132"/>
      <c r="AE804" s="1"/>
    </row>
    <row r="805" spans="1:31" ht="15.75" customHeight="1">
      <c r="A805" s="132"/>
      <c r="B805" s="132"/>
      <c r="C805" s="132"/>
      <c r="D805" s="132"/>
      <c r="E805" s="132"/>
      <c r="F805" s="132"/>
      <c r="G805" s="132"/>
      <c r="H805" s="132"/>
      <c r="I805" s="132"/>
      <c r="J805" s="132"/>
      <c r="K805" s="132"/>
      <c r="L805" s="132"/>
      <c r="M805" s="1"/>
      <c r="N805" s="1"/>
      <c r="O805" s="132"/>
      <c r="P805" s="132"/>
      <c r="Q805" s="132"/>
      <c r="R805" s="132"/>
      <c r="S805" s="132"/>
      <c r="T805" s="132"/>
      <c r="U805" s="132"/>
      <c r="V805" s="132"/>
      <c r="W805" s="132"/>
      <c r="X805" s="132"/>
      <c r="Y805" s="132"/>
      <c r="Z805" s="132"/>
      <c r="AA805" s="132"/>
      <c r="AB805" s="132"/>
      <c r="AC805" s="132"/>
      <c r="AD805" s="132"/>
      <c r="AE805" s="1"/>
    </row>
    <row r="806" spans="1:31" ht="15.75" customHeight="1">
      <c r="A806" s="132"/>
      <c r="B806" s="132"/>
      <c r="C806" s="132"/>
      <c r="D806" s="132"/>
      <c r="E806" s="132"/>
      <c r="F806" s="132"/>
      <c r="G806" s="132"/>
      <c r="H806" s="132"/>
      <c r="I806" s="132"/>
      <c r="J806" s="132"/>
      <c r="K806" s="132"/>
      <c r="L806" s="132"/>
      <c r="M806" s="1"/>
      <c r="N806" s="1"/>
      <c r="O806" s="132"/>
      <c r="P806" s="132"/>
      <c r="Q806" s="132"/>
      <c r="R806" s="132"/>
      <c r="S806" s="132"/>
      <c r="T806" s="132"/>
      <c r="U806" s="132"/>
      <c r="V806" s="132"/>
      <c r="W806" s="132"/>
      <c r="X806" s="132"/>
      <c r="Y806" s="132"/>
      <c r="Z806" s="132"/>
      <c r="AA806" s="132"/>
      <c r="AB806" s="132"/>
      <c r="AC806" s="132"/>
      <c r="AD806" s="132"/>
      <c r="AE806" s="1"/>
    </row>
    <row r="807" spans="1:31" ht="15.75" customHeight="1">
      <c r="A807" s="132"/>
      <c r="B807" s="132"/>
      <c r="C807" s="132"/>
      <c r="D807" s="132"/>
      <c r="E807" s="132"/>
      <c r="F807" s="132"/>
      <c r="G807" s="132"/>
      <c r="H807" s="132"/>
      <c r="I807" s="132"/>
      <c r="J807" s="132"/>
      <c r="K807" s="132"/>
      <c r="L807" s="132"/>
      <c r="M807" s="1"/>
      <c r="N807" s="1"/>
      <c r="O807" s="132"/>
      <c r="P807" s="132"/>
      <c r="Q807" s="132"/>
      <c r="R807" s="132"/>
      <c r="S807" s="132"/>
      <c r="T807" s="132"/>
      <c r="U807" s="132"/>
      <c r="V807" s="132"/>
      <c r="W807" s="132"/>
      <c r="X807" s="132"/>
      <c r="Y807" s="132"/>
      <c r="Z807" s="132"/>
      <c r="AA807" s="132"/>
      <c r="AB807" s="132"/>
      <c r="AC807" s="132"/>
      <c r="AD807" s="132"/>
      <c r="AE807" s="1"/>
    </row>
    <row r="808" spans="1:31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</row>
    <row r="809" spans="1:31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</row>
    <row r="810" spans="1:31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</row>
    <row r="811" spans="1:3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</row>
    <row r="812" spans="1:31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</row>
    <row r="813" spans="1:31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</row>
    <row r="814" spans="1:31" ht="20.25" customHeight="1" thickBot="1">
      <c r="A814" s="140" t="s">
        <v>23</v>
      </c>
      <c r="B814" s="140"/>
      <c r="C814" s="140"/>
      <c r="D814" s="140"/>
      <c r="E814" s="140"/>
      <c r="F814" s="4"/>
      <c r="G814" s="5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1"/>
      <c r="Z814" s="1"/>
      <c r="AA814" s="1"/>
      <c r="AB814" s="1"/>
      <c r="AC814" s="1"/>
      <c r="AD814" s="1"/>
      <c r="AE814" s="1"/>
    </row>
    <row r="815" spans="1:31" ht="15.75" customHeight="1">
      <c r="A815" s="1"/>
      <c r="B815" s="1"/>
      <c r="C815" s="1"/>
      <c r="D815" s="1"/>
      <c r="E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</row>
    <row r="816" spans="1:31" ht="15.75" customHeight="1">
      <c r="A816" s="142" t="s">
        <v>70</v>
      </c>
      <c r="B816" s="142"/>
      <c r="C816" s="142"/>
      <c r="D816" s="25"/>
      <c r="E816" s="25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</row>
    <row r="817" spans="1:44" ht="15.75" customHeight="1">
      <c r="A817" s="143" t="s">
        <v>135</v>
      </c>
      <c r="B817" s="143"/>
      <c r="C817" s="143"/>
      <c r="D817" s="25"/>
      <c r="E817" s="25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</row>
    <row r="818" spans="1:44" ht="15.75" customHeight="1">
      <c r="A818" s="141" t="s">
        <v>71</v>
      </c>
      <c r="B818" s="141"/>
      <c r="C818" s="141"/>
      <c r="D818" s="25"/>
      <c r="E818" s="25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</row>
    <row r="819" spans="1:44" ht="15.75" customHeight="1">
      <c r="A819" s="139" t="s">
        <v>134</v>
      </c>
      <c r="B819" s="139"/>
      <c r="C819" s="139"/>
      <c r="D819" s="25"/>
      <c r="E819" s="25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</row>
    <row r="820" spans="1:44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</row>
    <row r="821" spans="1:44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</row>
    <row r="822" spans="1:44" ht="34.5" customHeight="1">
      <c r="A822" s="144" t="s">
        <v>136</v>
      </c>
      <c r="B822" s="144"/>
      <c r="C822" s="144"/>
      <c r="D822" s="144" t="s">
        <v>141</v>
      </c>
      <c r="E822" s="144"/>
      <c r="F822" s="144"/>
      <c r="G822" s="144" t="s">
        <v>142</v>
      </c>
      <c r="H822" s="144"/>
      <c r="I822" s="144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</row>
    <row r="823" spans="1:44" ht="15.75" customHeight="1">
      <c r="A823" s="150"/>
      <c r="B823" s="151"/>
      <c r="C823" s="152"/>
      <c r="D823" s="37" t="s">
        <v>92</v>
      </c>
      <c r="E823" s="37" t="s">
        <v>95</v>
      </c>
      <c r="F823" s="37" t="s">
        <v>94</v>
      </c>
      <c r="G823" s="37" t="s">
        <v>92</v>
      </c>
      <c r="H823" s="37" t="s">
        <v>95</v>
      </c>
      <c r="I823" s="37" t="s">
        <v>94</v>
      </c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</row>
    <row r="824" spans="1:44" ht="15.75" customHeight="1">
      <c r="A824" s="138" t="s">
        <v>143</v>
      </c>
      <c r="B824" s="138"/>
      <c r="C824" s="138"/>
      <c r="D824" s="34"/>
      <c r="E824" s="34"/>
      <c r="F824" s="34"/>
      <c r="G824" s="34"/>
      <c r="H824" s="34"/>
      <c r="I824" s="34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</row>
    <row r="825" spans="1:44" ht="15.75" customHeight="1">
      <c r="A825" s="138" t="s">
        <v>147</v>
      </c>
      <c r="B825" s="138"/>
      <c r="C825" s="138"/>
      <c r="D825" s="34"/>
      <c r="E825" s="34"/>
      <c r="F825" s="34"/>
      <c r="G825" s="34"/>
      <c r="H825" s="34"/>
      <c r="I825" s="34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</row>
    <row r="826" spans="1:44" s="1" customFormat="1" ht="15.75" customHeight="1">
      <c r="AF826"/>
      <c r="AG826"/>
      <c r="AH826"/>
      <c r="AI826"/>
      <c r="AJ826"/>
      <c r="AK826"/>
      <c r="AL826"/>
      <c r="AM826"/>
      <c r="AN826"/>
      <c r="AO826"/>
      <c r="AP826"/>
      <c r="AQ826"/>
      <c r="AR826"/>
    </row>
    <row r="827" spans="1:44" ht="16.5" customHeight="1">
      <c r="A827" s="131" t="s">
        <v>77</v>
      </c>
      <c r="B827" s="131"/>
      <c r="C827" s="131"/>
      <c r="D827" s="13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</row>
    <row r="828" spans="1:44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</row>
    <row r="829" spans="1:44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</row>
    <row r="830" spans="1:44" ht="15.75" customHeight="1">
      <c r="A830" s="132"/>
      <c r="B830" s="132"/>
      <c r="C830" s="132"/>
      <c r="D830" s="132"/>
      <c r="E830" s="132"/>
      <c r="F830" s="132"/>
      <c r="G830" s="132"/>
      <c r="H830" s="132"/>
      <c r="I830" s="132"/>
      <c r="J830" s="132"/>
      <c r="K830" s="132"/>
      <c r="L830" s="132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</row>
    <row r="831" spans="1:44" ht="15.75" customHeight="1">
      <c r="A831" s="132"/>
      <c r="B831" s="132"/>
      <c r="C831" s="132"/>
      <c r="D831" s="132"/>
      <c r="E831" s="132"/>
      <c r="F831" s="132"/>
      <c r="G831" s="132"/>
      <c r="H831" s="132"/>
      <c r="I831" s="132"/>
      <c r="J831" s="132"/>
      <c r="K831" s="132"/>
      <c r="L831" s="132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</row>
    <row r="832" spans="1:44" ht="15.75" customHeight="1">
      <c r="A832" s="132"/>
      <c r="B832" s="132"/>
      <c r="C832" s="132"/>
      <c r="D832" s="132"/>
      <c r="E832" s="132"/>
      <c r="F832" s="132"/>
      <c r="G832" s="132"/>
      <c r="H832" s="132"/>
      <c r="I832" s="132"/>
      <c r="J832" s="132"/>
      <c r="K832" s="132"/>
      <c r="L832" s="132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</row>
    <row r="833" spans="1:31" ht="15.75" customHeight="1">
      <c r="A833" s="132"/>
      <c r="B833" s="132"/>
      <c r="C833" s="132"/>
      <c r="D833" s="132"/>
      <c r="E833" s="132"/>
      <c r="F833" s="132"/>
      <c r="G833" s="132"/>
      <c r="H833" s="132"/>
      <c r="I833" s="132"/>
      <c r="J833" s="132"/>
      <c r="K833" s="132"/>
      <c r="L833" s="132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</row>
    <row r="834" spans="1:31" ht="15.75" customHeight="1">
      <c r="A834" s="132"/>
      <c r="B834" s="132"/>
      <c r="C834" s="132"/>
      <c r="D834" s="132"/>
      <c r="E834" s="132"/>
      <c r="F834" s="132"/>
      <c r="G834" s="132"/>
      <c r="H834" s="132"/>
      <c r="I834" s="132"/>
      <c r="J834" s="132"/>
      <c r="K834" s="132"/>
      <c r="L834" s="132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</row>
    <row r="835" spans="1:31" ht="15.75" customHeight="1">
      <c r="A835" s="132"/>
      <c r="B835" s="132"/>
      <c r="C835" s="132"/>
      <c r="D835" s="132"/>
      <c r="E835" s="132"/>
      <c r="F835" s="132"/>
      <c r="G835" s="132"/>
      <c r="H835" s="132"/>
      <c r="I835" s="132"/>
      <c r="J835" s="132"/>
      <c r="K835" s="132"/>
      <c r="L835" s="132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</row>
    <row r="836" spans="1:31" ht="15.75" customHeight="1">
      <c r="A836" s="132"/>
      <c r="B836" s="132"/>
      <c r="C836" s="132"/>
      <c r="D836" s="132"/>
      <c r="E836" s="132"/>
      <c r="F836" s="132"/>
      <c r="G836" s="132"/>
      <c r="H836" s="132"/>
      <c r="I836" s="132"/>
      <c r="J836" s="132"/>
      <c r="K836" s="132"/>
      <c r="L836" s="132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</row>
    <row r="837" spans="1:31" ht="15.75" customHeight="1">
      <c r="A837" s="132"/>
      <c r="B837" s="132"/>
      <c r="C837" s="132"/>
      <c r="D837" s="132"/>
      <c r="E837" s="132"/>
      <c r="F837" s="132"/>
      <c r="G837" s="132"/>
      <c r="H837" s="132"/>
      <c r="I837" s="132"/>
      <c r="J837" s="132"/>
      <c r="K837" s="132"/>
      <c r="L837" s="132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</row>
    <row r="838" spans="1:31" ht="15.75" customHeight="1">
      <c r="A838" s="132"/>
      <c r="B838" s="132"/>
      <c r="C838" s="132"/>
      <c r="D838" s="132"/>
      <c r="E838" s="132"/>
      <c r="F838" s="132"/>
      <c r="G838" s="132"/>
      <c r="H838" s="132"/>
      <c r="I838" s="132"/>
      <c r="J838" s="132"/>
      <c r="K838" s="132"/>
      <c r="L838" s="132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</row>
    <row r="839" spans="1:31" ht="15.75" customHeight="1">
      <c r="A839" s="132"/>
      <c r="B839" s="132"/>
      <c r="C839" s="132"/>
      <c r="D839" s="132"/>
      <c r="E839" s="132"/>
      <c r="F839" s="132"/>
      <c r="G839" s="132"/>
      <c r="H839" s="132"/>
      <c r="I839" s="132"/>
      <c r="J839" s="132"/>
      <c r="K839" s="132"/>
      <c r="L839" s="132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</row>
    <row r="840" spans="1:31" ht="15.75" customHeight="1">
      <c r="A840" s="132"/>
      <c r="B840" s="132"/>
      <c r="C840" s="132"/>
      <c r="D840" s="132"/>
      <c r="E840" s="132"/>
      <c r="F840" s="132"/>
      <c r="G840" s="132"/>
      <c r="H840" s="132"/>
      <c r="I840" s="132"/>
      <c r="J840" s="132"/>
      <c r="K840" s="132"/>
      <c r="L840" s="132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</row>
    <row r="841" spans="1:31" ht="15.75" customHeight="1">
      <c r="A841" s="132"/>
      <c r="B841" s="132"/>
      <c r="C841" s="132"/>
      <c r="D841" s="132"/>
      <c r="E841" s="132"/>
      <c r="F841" s="132"/>
      <c r="G841" s="132"/>
      <c r="H841" s="132"/>
      <c r="I841" s="132"/>
      <c r="J841" s="132"/>
      <c r="K841" s="132"/>
      <c r="L841" s="132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</row>
    <row r="842" spans="1:31" ht="15.75" customHeight="1">
      <c r="A842" s="132"/>
      <c r="B842" s="132"/>
      <c r="C842" s="132"/>
      <c r="D842" s="132"/>
      <c r="E842" s="132"/>
      <c r="F842" s="132"/>
      <c r="G842" s="132"/>
      <c r="H842" s="132"/>
      <c r="I842" s="132"/>
      <c r="J842" s="132"/>
      <c r="K842" s="132"/>
      <c r="L842" s="132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</row>
    <row r="843" spans="1:31" ht="15.75" customHeight="1">
      <c r="A843" s="132"/>
      <c r="B843" s="132"/>
      <c r="C843" s="132"/>
      <c r="D843" s="132"/>
      <c r="E843" s="132"/>
      <c r="F843" s="132"/>
      <c r="G843" s="132"/>
      <c r="H843" s="132"/>
      <c r="I843" s="132"/>
      <c r="J843" s="132"/>
      <c r="K843" s="132"/>
      <c r="L843" s="132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</row>
    <row r="844" spans="1:31" ht="15.75" customHeight="1">
      <c r="A844" s="132"/>
      <c r="B844" s="132"/>
      <c r="C844" s="132"/>
      <c r="D844" s="132"/>
      <c r="E844" s="132"/>
      <c r="F844" s="132"/>
      <c r="G844" s="132"/>
      <c r="H844" s="132"/>
      <c r="I844" s="132"/>
      <c r="J844" s="132"/>
      <c r="K844" s="132"/>
      <c r="L844" s="132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</row>
    <row r="845" spans="1:31" ht="15.75" customHeight="1">
      <c r="A845" s="132"/>
      <c r="B845" s="132"/>
      <c r="C845" s="132"/>
      <c r="D845" s="132"/>
      <c r="E845" s="132"/>
      <c r="F845" s="132"/>
      <c r="G845" s="132"/>
      <c r="H845" s="132"/>
      <c r="I845" s="132"/>
      <c r="J845" s="132"/>
      <c r="K845" s="132"/>
      <c r="L845" s="132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</row>
    <row r="846" spans="1:31" ht="15.75" customHeight="1">
      <c r="A846" s="132"/>
      <c r="B846" s="132"/>
      <c r="C846" s="132"/>
      <c r="D846" s="132"/>
      <c r="E846" s="132"/>
      <c r="F846" s="132"/>
      <c r="G846" s="132"/>
      <c r="H846" s="132"/>
      <c r="I846" s="132"/>
      <c r="J846" s="132"/>
      <c r="K846" s="132"/>
      <c r="L846" s="132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</row>
    <row r="847" spans="1:31" ht="15.75" customHeight="1">
      <c r="A847" s="132"/>
      <c r="B847" s="132"/>
      <c r="C847" s="132"/>
      <c r="D847" s="132"/>
      <c r="E847" s="132"/>
      <c r="F847" s="132"/>
      <c r="G847" s="132"/>
      <c r="H847" s="132"/>
      <c r="I847" s="132"/>
      <c r="J847" s="132"/>
      <c r="K847" s="132"/>
      <c r="L847" s="132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</row>
    <row r="848" spans="1:31" ht="15.75" customHeight="1">
      <c r="A848" s="132"/>
      <c r="B848" s="132"/>
      <c r="C848" s="132"/>
      <c r="D848" s="132"/>
      <c r="E848" s="132"/>
      <c r="F848" s="132"/>
      <c r="G848" s="132"/>
      <c r="H848" s="132"/>
      <c r="I848" s="132"/>
      <c r="J848" s="132"/>
      <c r="K848" s="132"/>
      <c r="L848" s="132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</row>
    <row r="849" spans="1:31" ht="15.75" customHeight="1">
      <c r="A849" s="132"/>
      <c r="B849" s="132"/>
      <c r="C849" s="132"/>
      <c r="D849" s="132"/>
      <c r="E849" s="132"/>
      <c r="F849" s="132"/>
      <c r="G849" s="132"/>
      <c r="H849" s="132"/>
      <c r="I849" s="132"/>
      <c r="J849" s="132"/>
      <c r="K849" s="132"/>
      <c r="L849" s="132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</row>
    <row r="850" spans="1:31" ht="15.75" customHeight="1">
      <c r="A850" s="132"/>
      <c r="B850" s="132"/>
      <c r="C850" s="132"/>
      <c r="D850" s="132"/>
      <c r="E850" s="132"/>
      <c r="F850" s="132"/>
      <c r="G850" s="132"/>
      <c r="H850" s="132"/>
      <c r="I850" s="132"/>
      <c r="J850" s="132"/>
      <c r="K850" s="132"/>
      <c r="L850" s="132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</row>
    <row r="851" spans="1:31" ht="15.75" customHeight="1">
      <c r="A851" s="132"/>
      <c r="B851" s="132"/>
      <c r="C851" s="132"/>
      <c r="D851" s="132"/>
      <c r="E851" s="132"/>
      <c r="F851" s="132"/>
      <c r="G851" s="132"/>
      <c r="H851" s="132"/>
      <c r="I851" s="132"/>
      <c r="J851" s="132"/>
      <c r="K851" s="132"/>
      <c r="L851" s="132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</row>
    <row r="852" spans="1:31" ht="15.75" customHeight="1">
      <c r="A852" s="132"/>
      <c r="B852" s="132"/>
      <c r="C852" s="132"/>
      <c r="D852" s="132"/>
      <c r="E852" s="132"/>
      <c r="F852" s="132"/>
      <c r="G852" s="132"/>
      <c r="H852" s="132"/>
      <c r="I852" s="132"/>
      <c r="J852" s="132"/>
      <c r="K852" s="132"/>
      <c r="L852" s="132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</row>
    <row r="853" spans="1:31" ht="15.75" customHeight="1">
      <c r="A853" s="132"/>
      <c r="B853" s="132"/>
      <c r="C853" s="132"/>
      <c r="D853" s="132"/>
      <c r="E853" s="132"/>
      <c r="F853" s="132"/>
      <c r="G853" s="132"/>
      <c r="H853" s="132"/>
      <c r="I853" s="132"/>
      <c r="J853" s="132"/>
      <c r="K853" s="132"/>
      <c r="L853" s="132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</row>
    <row r="854" spans="1:31" ht="15.75" customHeight="1">
      <c r="A854" s="132"/>
      <c r="B854" s="132"/>
      <c r="C854" s="132"/>
      <c r="D854" s="132"/>
      <c r="E854" s="132"/>
      <c r="F854" s="132"/>
      <c r="G854" s="132"/>
      <c r="H854" s="132"/>
      <c r="I854" s="132"/>
      <c r="J854" s="132"/>
      <c r="K854" s="132"/>
      <c r="L854" s="132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</row>
    <row r="855" spans="1:31" ht="15.75" customHeight="1">
      <c r="A855" s="132"/>
      <c r="B855" s="132"/>
      <c r="C855" s="132"/>
      <c r="D855" s="132"/>
      <c r="E855" s="132"/>
      <c r="F855" s="132"/>
      <c r="G855" s="132"/>
      <c r="H855" s="132"/>
      <c r="I855" s="132"/>
      <c r="J855" s="132"/>
      <c r="K855" s="132"/>
      <c r="L855" s="132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</row>
    <row r="856" spans="1:31" ht="15.75" customHeight="1">
      <c r="A856" s="132"/>
      <c r="B856" s="132"/>
      <c r="C856" s="132"/>
      <c r="D856" s="132"/>
      <c r="E856" s="132"/>
      <c r="F856" s="132"/>
      <c r="G856" s="132"/>
      <c r="H856" s="132"/>
      <c r="I856" s="132"/>
      <c r="J856" s="132"/>
      <c r="K856" s="132"/>
      <c r="L856" s="132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</row>
    <row r="857" spans="1:31" ht="15.75" customHeight="1">
      <c r="A857" s="132"/>
      <c r="B857" s="132"/>
      <c r="C857" s="132"/>
      <c r="D857" s="132"/>
      <c r="E857" s="132"/>
      <c r="F857" s="132"/>
      <c r="G857" s="132"/>
      <c r="H857" s="132"/>
      <c r="I857" s="132"/>
      <c r="J857" s="132"/>
      <c r="K857" s="132"/>
      <c r="L857" s="132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</row>
    <row r="858" spans="1:31" ht="15.75" customHeight="1">
      <c r="A858" s="132"/>
      <c r="B858" s="132"/>
      <c r="C858" s="132"/>
      <c r="D858" s="132"/>
      <c r="E858" s="132"/>
      <c r="F858" s="132"/>
      <c r="G858" s="132"/>
      <c r="H858" s="132"/>
      <c r="I858" s="132"/>
      <c r="J858" s="132"/>
      <c r="K858" s="132"/>
      <c r="L858" s="132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</row>
    <row r="859" spans="1:31" ht="15.75" customHeight="1">
      <c r="A859" s="132"/>
      <c r="B859" s="132"/>
      <c r="C859" s="132"/>
      <c r="D859" s="132"/>
      <c r="E859" s="132"/>
      <c r="F859" s="132"/>
      <c r="G859" s="132"/>
      <c r="H859" s="132"/>
      <c r="I859" s="132"/>
      <c r="J859" s="132"/>
      <c r="K859" s="132"/>
      <c r="L859" s="132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</row>
    <row r="860" spans="1:31" ht="15.75" customHeight="1">
      <c r="A860" s="132"/>
      <c r="B860" s="132"/>
      <c r="C860" s="132"/>
      <c r="D860" s="132"/>
      <c r="E860" s="132"/>
      <c r="F860" s="132"/>
      <c r="G860" s="132"/>
      <c r="H860" s="132"/>
      <c r="I860" s="132"/>
      <c r="J860" s="132"/>
      <c r="K860" s="132"/>
      <c r="L860" s="132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</row>
    <row r="861" spans="1:31" ht="15.75" customHeight="1">
      <c r="A861" s="1"/>
      <c r="B861" s="1"/>
      <c r="C861" s="1"/>
      <c r="D861" s="1"/>
      <c r="E861" s="1"/>
      <c r="F861" s="1"/>
      <c r="G861" s="1"/>
      <c r="H861" s="1"/>
      <c r="I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</row>
    <row r="862" spans="1:31" ht="15.75" customHeight="1">
      <c r="A862" s="1"/>
      <c r="B862" s="1"/>
      <c r="C862" s="1"/>
      <c r="D862" s="1"/>
      <c r="E862" s="1"/>
      <c r="F862" s="1"/>
      <c r="G862" s="1"/>
      <c r="H862" s="1"/>
      <c r="I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</row>
    <row r="863" spans="1:31" ht="15.75" customHeight="1">
      <c r="A863" s="1"/>
      <c r="B863" s="1"/>
      <c r="C863" s="1"/>
      <c r="D863" s="1"/>
      <c r="E863" s="1"/>
      <c r="F863" s="1"/>
      <c r="G863" s="1"/>
      <c r="H863" s="1"/>
      <c r="I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</row>
    <row r="864" spans="1:31" ht="15.75" customHeight="1">
      <c r="A864" s="1"/>
      <c r="B864" s="1"/>
      <c r="C864" s="1"/>
      <c r="D864" s="1"/>
      <c r="E864" s="1"/>
      <c r="F864" s="1"/>
      <c r="G864" s="1"/>
      <c r="H864" s="1"/>
      <c r="I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</row>
    <row r="865" spans="1:31" ht="15.75" customHeight="1">
      <c r="A865" s="1"/>
      <c r="B865" s="1"/>
      <c r="C865" s="1"/>
      <c r="D865" s="1"/>
      <c r="E865" s="1"/>
      <c r="F865" s="1"/>
      <c r="G865" s="1"/>
      <c r="H865" s="1"/>
      <c r="I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</row>
    <row r="866" spans="1:31" ht="15.75" customHeight="1">
      <c r="A866" s="1"/>
      <c r="B866" s="1"/>
      <c r="C866" s="1"/>
      <c r="D866" s="1"/>
      <c r="E866" s="1"/>
      <c r="F866" s="1"/>
      <c r="G866" s="1"/>
      <c r="H866" s="1"/>
      <c r="I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</row>
    <row r="867" spans="1:31" ht="16.5" customHeight="1">
      <c r="A867" s="131" t="s">
        <v>78</v>
      </c>
      <c r="B867" s="131"/>
      <c r="C867" s="131"/>
      <c r="D867" s="131"/>
      <c r="E867" s="1"/>
      <c r="F867" s="1"/>
      <c r="G867" s="1"/>
      <c r="H867" s="1"/>
      <c r="I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</row>
    <row r="868" spans="1:31" ht="15.75" customHeight="1">
      <c r="A868" s="1"/>
      <c r="B868" s="1"/>
      <c r="C868" s="1"/>
      <c r="D868" s="1"/>
      <c r="E868" s="1"/>
      <c r="F868" s="1"/>
      <c r="G868" s="1"/>
      <c r="H868" s="1"/>
      <c r="I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</row>
    <row r="869" spans="1:31" ht="15.75" customHeight="1">
      <c r="A869" s="132"/>
      <c r="B869" s="132"/>
      <c r="C869" s="132"/>
      <c r="D869" s="132"/>
      <c r="E869" s="132"/>
      <c r="F869" s="132"/>
      <c r="G869" s="132"/>
      <c r="H869" s="132"/>
      <c r="I869" s="132"/>
      <c r="J869" s="132"/>
      <c r="K869" s="132"/>
      <c r="L869" s="132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</row>
    <row r="870" spans="1:31" ht="15.75" customHeight="1">
      <c r="A870" s="132"/>
      <c r="B870" s="132"/>
      <c r="C870" s="132"/>
      <c r="D870" s="132"/>
      <c r="E870" s="132"/>
      <c r="F870" s="132"/>
      <c r="G870" s="132"/>
      <c r="H870" s="132"/>
      <c r="I870" s="132"/>
      <c r="J870" s="132"/>
      <c r="K870" s="132"/>
      <c r="L870" s="132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</row>
    <row r="871" spans="1:31" ht="15.75" customHeight="1">
      <c r="A871" s="132"/>
      <c r="B871" s="132"/>
      <c r="C871" s="132"/>
      <c r="D871" s="132"/>
      <c r="E871" s="132"/>
      <c r="F871" s="132"/>
      <c r="G871" s="132"/>
      <c r="H871" s="132"/>
      <c r="I871" s="132"/>
      <c r="J871" s="132"/>
      <c r="K871" s="132"/>
      <c r="L871" s="132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</row>
    <row r="872" spans="1:31" ht="15.75" customHeight="1">
      <c r="A872" s="132"/>
      <c r="B872" s="132"/>
      <c r="C872" s="132"/>
      <c r="D872" s="132"/>
      <c r="E872" s="132"/>
      <c r="F872" s="132"/>
      <c r="G872" s="132"/>
      <c r="H872" s="132"/>
      <c r="I872" s="132"/>
      <c r="J872" s="132"/>
      <c r="K872" s="132"/>
      <c r="L872" s="132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</row>
    <row r="873" spans="1:31" ht="15.75" customHeight="1">
      <c r="A873" s="132"/>
      <c r="B873" s="132"/>
      <c r="C873" s="132"/>
      <c r="D873" s="132"/>
      <c r="E873" s="132"/>
      <c r="F873" s="132"/>
      <c r="G873" s="132"/>
      <c r="H873" s="132"/>
      <c r="I873" s="132"/>
      <c r="J873" s="132"/>
      <c r="K873" s="132"/>
      <c r="L873" s="132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</row>
    <row r="874" spans="1:31" ht="15.75" customHeight="1">
      <c r="A874" s="132"/>
      <c r="B874" s="132"/>
      <c r="C874" s="132"/>
      <c r="D874" s="132"/>
      <c r="E874" s="132"/>
      <c r="F874" s="132"/>
      <c r="G874" s="132"/>
      <c r="H874" s="132"/>
      <c r="I874" s="132"/>
      <c r="J874" s="132"/>
      <c r="K874" s="132"/>
      <c r="L874" s="132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</row>
    <row r="875" spans="1:31" ht="15.75" customHeight="1">
      <c r="A875" s="132"/>
      <c r="B875" s="132"/>
      <c r="C875" s="132"/>
      <c r="D875" s="132"/>
      <c r="E875" s="132"/>
      <c r="F875" s="132"/>
      <c r="G875" s="132"/>
      <c r="H875" s="132"/>
      <c r="I875" s="132"/>
      <c r="J875" s="132"/>
      <c r="K875" s="132"/>
      <c r="L875" s="132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</row>
    <row r="876" spans="1:31" ht="15.75" customHeight="1">
      <c r="A876" s="132"/>
      <c r="B876" s="132"/>
      <c r="C876" s="132"/>
      <c r="D876" s="132"/>
      <c r="E876" s="132"/>
      <c r="F876" s="132"/>
      <c r="G876" s="132"/>
      <c r="H876" s="132"/>
      <c r="I876" s="132"/>
      <c r="J876" s="132"/>
      <c r="K876" s="132"/>
      <c r="L876" s="132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</row>
    <row r="877" spans="1:31" ht="15.75" customHeight="1">
      <c r="A877" s="132"/>
      <c r="B877" s="132"/>
      <c r="C877" s="132"/>
      <c r="D877" s="132"/>
      <c r="E877" s="132"/>
      <c r="F877" s="132"/>
      <c r="G877" s="132"/>
      <c r="H877" s="132"/>
      <c r="I877" s="132"/>
      <c r="J877" s="132"/>
      <c r="K877" s="132"/>
      <c r="L877" s="132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</row>
    <row r="878" spans="1:31" ht="15.75" customHeight="1">
      <c r="A878" s="132"/>
      <c r="B878" s="132"/>
      <c r="C878" s="132"/>
      <c r="D878" s="132"/>
      <c r="E878" s="132"/>
      <c r="F878" s="132"/>
      <c r="G878" s="132"/>
      <c r="H878" s="132"/>
      <c r="I878" s="132"/>
      <c r="J878" s="132"/>
      <c r="K878" s="132"/>
      <c r="L878" s="132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</row>
    <row r="879" spans="1:31" ht="15.75" customHeight="1">
      <c r="A879" s="132"/>
      <c r="B879" s="132"/>
      <c r="C879" s="132"/>
      <c r="D879" s="132"/>
      <c r="E879" s="132"/>
      <c r="F879" s="132"/>
      <c r="G879" s="132"/>
      <c r="H879" s="132"/>
      <c r="I879" s="132"/>
      <c r="J879" s="132"/>
      <c r="K879" s="132"/>
      <c r="L879" s="132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</row>
    <row r="880" spans="1:31" ht="15.75" customHeight="1">
      <c r="A880" s="132"/>
      <c r="B880" s="132"/>
      <c r="C880" s="132"/>
      <c r="D880" s="132"/>
      <c r="E880" s="132"/>
      <c r="F880" s="132"/>
      <c r="G880" s="132"/>
      <c r="H880" s="132"/>
      <c r="I880" s="132"/>
      <c r="J880" s="132"/>
      <c r="K880" s="132"/>
      <c r="L880" s="132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</row>
    <row r="881" spans="1:31" ht="15.75" customHeight="1">
      <c r="A881" s="132"/>
      <c r="B881" s="132"/>
      <c r="C881" s="132"/>
      <c r="D881" s="132"/>
      <c r="E881" s="132"/>
      <c r="F881" s="132"/>
      <c r="G881" s="132"/>
      <c r="H881" s="132"/>
      <c r="I881" s="132"/>
      <c r="J881" s="132"/>
      <c r="K881" s="132"/>
      <c r="L881" s="132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</row>
    <row r="882" spans="1:31" ht="15.75" customHeight="1">
      <c r="A882" s="132"/>
      <c r="B882" s="132"/>
      <c r="C882" s="132"/>
      <c r="D882" s="132"/>
      <c r="E882" s="132"/>
      <c r="F882" s="132"/>
      <c r="G882" s="132"/>
      <c r="H882" s="132"/>
      <c r="I882" s="132"/>
      <c r="J882" s="132"/>
      <c r="K882" s="132"/>
      <c r="L882" s="132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</row>
    <row r="883" spans="1:31" ht="15.75" customHeight="1">
      <c r="A883" s="132"/>
      <c r="B883" s="132"/>
      <c r="C883" s="132"/>
      <c r="D883" s="132"/>
      <c r="E883" s="132"/>
      <c r="F883" s="132"/>
      <c r="G883" s="132"/>
      <c r="H883" s="132"/>
      <c r="I883" s="132"/>
      <c r="J883" s="132"/>
      <c r="K883" s="132"/>
      <c r="L883" s="132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</row>
    <row r="884" spans="1:31" ht="15.75" customHeight="1">
      <c r="A884" s="132"/>
      <c r="B884" s="132"/>
      <c r="C884" s="132"/>
      <c r="D884" s="132"/>
      <c r="E884" s="132"/>
      <c r="F884" s="132"/>
      <c r="G884" s="132"/>
      <c r="H884" s="132"/>
      <c r="I884" s="132"/>
      <c r="J884" s="132"/>
      <c r="K884" s="132"/>
      <c r="L884" s="132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</row>
    <row r="885" spans="1:31" ht="15.75" customHeight="1">
      <c r="A885" s="132"/>
      <c r="B885" s="132"/>
      <c r="C885" s="132"/>
      <c r="D885" s="132"/>
      <c r="E885" s="132"/>
      <c r="F885" s="132"/>
      <c r="G885" s="132"/>
      <c r="H885" s="132"/>
      <c r="I885" s="132"/>
      <c r="J885" s="132"/>
      <c r="K885" s="132"/>
      <c r="L885" s="132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</row>
    <row r="886" spans="1:31" ht="15.75" customHeight="1">
      <c r="A886" s="132"/>
      <c r="B886" s="132"/>
      <c r="C886" s="132"/>
      <c r="D886" s="132"/>
      <c r="E886" s="132"/>
      <c r="F886" s="132"/>
      <c r="G886" s="132"/>
      <c r="H886" s="132"/>
      <c r="I886" s="132"/>
      <c r="J886" s="132"/>
      <c r="K886" s="132"/>
      <c r="L886" s="132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</row>
    <row r="887" spans="1:31" ht="15.75" customHeight="1">
      <c r="A887" s="132"/>
      <c r="B887" s="132"/>
      <c r="C887" s="132"/>
      <c r="D887" s="132"/>
      <c r="E887" s="132"/>
      <c r="F887" s="132"/>
      <c r="G887" s="132"/>
      <c r="H887" s="132"/>
      <c r="I887" s="132"/>
      <c r="J887" s="132"/>
      <c r="K887" s="132"/>
      <c r="L887" s="132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</row>
    <row r="888" spans="1:31" ht="15.75" customHeight="1">
      <c r="A888" s="132"/>
      <c r="B888" s="132"/>
      <c r="C888" s="132"/>
      <c r="D888" s="132"/>
      <c r="E888" s="132"/>
      <c r="F888" s="132"/>
      <c r="G888" s="132"/>
      <c r="H888" s="132"/>
      <c r="I888" s="132"/>
      <c r="J888" s="132"/>
      <c r="K888" s="132"/>
      <c r="L888" s="132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</row>
    <row r="889" spans="1:31" ht="15.75" customHeight="1">
      <c r="A889" s="132"/>
      <c r="B889" s="132"/>
      <c r="C889" s="132"/>
      <c r="D889" s="132"/>
      <c r="E889" s="132"/>
      <c r="F889" s="132"/>
      <c r="G889" s="132"/>
      <c r="H889" s="132"/>
      <c r="I889" s="132"/>
      <c r="J889" s="132"/>
      <c r="K889" s="132"/>
      <c r="L889" s="132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</row>
    <row r="890" spans="1:31" ht="15.75" customHeight="1">
      <c r="A890" s="132"/>
      <c r="B890" s="132"/>
      <c r="C890" s="132"/>
      <c r="D890" s="132"/>
      <c r="E890" s="132"/>
      <c r="F890" s="132"/>
      <c r="G890" s="132"/>
      <c r="H890" s="132"/>
      <c r="I890" s="132"/>
      <c r="J890" s="132"/>
      <c r="K890" s="132"/>
      <c r="L890" s="132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</row>
    <row r="891" spans="1:31" ht="15.75" customHeight="1">
      <c r="A891" s="132"/>
      <c r="B891" s="132"/>
      <c r="C891" s="132"/>
      <c r="D891" s="132"/>
      <c r="E891" s="132"/>
      <c r="F891" s="132"/>
      <c r="G891" s="132"/>
      <c r="H891" s="132"/>
      <c r="I891" s="132"/>
      <c r="J891" s="132"/>
      <c r="K891" s="132"/>
      <c r="L891" s="132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</row>
    <row r="892" spans="1:31" ht="15.75" customHeight="1">
      <c r="A892" s="132"/>
      <c r="B892" s="132"/>
      <c r="C892" s="132"/>
      <c r="D892" s="132"/>
      <c r="E892" s="132"/>
      <c r="F892" s="132"/>
      <c r="G892" s="132"/>
      <c r="H892" s="132"/>
      <c r="I892" s="132"/>
      <c r="J892" s="132"/>
      <c r="K892" s="132"/>
      <c r="L892" s="132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</row>
    <row r="893" spans="1:31" ht="15.75" customHeight="1">
      <c r="A893" s="132"/>
      <c r="B893" s="132"/>
      <c r="C893" s="132"/>
      <c r="D893" s="132"/>
      <c r="E893" s="132"/>
      <c r="F893" s="132"/>
      <c r="G893" s="132"/>
      <c r="H893" s="132"/>
      <c r="I893" s="132"/>
      <c r="J893" s="132"/>
      <c r="K893" s="132"/>
      <c r="L893" s="132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</row>
    <row r="894" spans="1:31" ht="15.75" customHeight="1">
      <c r="A894" s="132"/>
      <c r="B894" s="132"/>
      <c r="C894" s="132"/>
      <c r="D894" s="132"/>
      <c r="E894" s="132"/>
      <c r="F894" s="132"/>
      <c r="G894" s="132"/>
      <c r="H894" s="132"/>
      <c r="I894" s="132"/>
      <c r="J894" s="132"/>
      <c r="K894" s="132"/>
      <c r="L894" s="132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</row>
    <row r="895" spans="1:31" ht="15.75" customHeight="1">
      <c r="A895" s="132"/>
      <c r="B895" s="132"/>
      <c r="C895" s="132"/>
      <c r="D895" s="132"/>
      <c r="E895" s="132"/>
      <c r="F895" s="132"/>
      <c r="G895" s="132"/>
      <c r="H895" s="132"/>
      <c r="I895" s="132"/>
      <c r="J895" s="132"/>
      <c r="K895" s="132"/>
      <c r="L895" s="132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</row>
    <row r="896" spans="1:31" ht="15.75" customHeight="1">
      <c r="A896" s="132"/>
      <c r="B896" s="132"/>
      <c r="C896" s="132"/>
      <c r="D896" s="132"/>
      <c r="E896" s="132"/>
      <c r="F896" s="132"/>
      <c r="G896" s="132"/>
      <c r="H896" s="132"/>
      <c r="I896" s="132"/>
      <c r="J896" s="132"/>
      <c r="K896" s="132"/>
      <c r="L896" s="132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</row>
    <row r="897" spans="1:31" ht="15.75" customHeight="1">
      <c r="A897" s="132"/>
      <c r="B897" s="132"/>
      <c r="C897" s="132"/>
      <c r="D897" s="132"/>
      <c r="E897" s="132"/>
      <c r="F897" s="132"/>
      <c r="G897" s="132"/>
      <c r="H897" s="132"/>
      <c r="I897" s="132"/>
      <c r="J897" s="132"/>
      <c r="K897" s="132"/>
      <c r="L897" s="132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</row>
    <row r="898" spans="1:31" ht="15.75" customHeight="1">
      <c r="A898" s="132"/>
      <c r="B898" s="132"/>
      <c r="C898" s="132"/>
      <c r="D898" s="132"/>
      <c r="E898" s="132"/>
      <c r="F898" s="132"/>
      <c r="G898" s="132"/>
      <c r="H898" s="132"/>
      <c r="I898" s="132"/>
      <c r="J898" s="132"/>
      <c r="K898" s="132"/>
      <c r="L898" s="132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</row>
    <row r="899" spans="1:31" ht="15.75" customHeight="1">
      <c r="A899" s="132"/>
      <c r="B899" s="132"/>
      <c r="C899" s="132"/>
      <c r="D899" s="132"/>
      <c r="E899" s="132"/>
      <c r="F899" s="132"/>
      <c r="G899" s="132"/>
      <c r="H899" s="132"/>
      <c r="I899" s="132"/>
      <c r="J899" s="132"/>
      <c r="K899" s="132"/>
      <c r="L899" s="132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</row>
    <row r="900" spans="1:31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</row>
    <row r="901" spans="1:3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</row>
    <row r="902" spans="1:31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</row>
    <row r="903" spans="1:31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</row>
    <row r="904" spans="1:31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</row>
    <row r="905" spans="1:31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</row>
    <row r="906" spans="1:31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</row>
    <row r="907" spans="1:31" ht="15.75" customHeight="1" thickBot="1">
      <c r="A907" s="140" t="s">
        <v>79</v>
      </c>
      <c r="B907" s="140"/>
      <c r="C907" s="140"/>
      <c r="D907" s="140"/>
      <c r="E907" s="140"/>
      <c r="F907" s="4"/>
      <c r="G907" s="5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1"/>
      <c r="Z907" s="1"/>
      <c r="AA907" s="1"/>
      <c r="AB907" s="1"/>
      <c r="AC907" s="1"/>
      <c r="AD907" s="1"/>
      <c r="AE907" s="1"/>
    </row>
    <row r="908" spans="1:31" ht="15.75" customHeight="1">
      <c r="A908" s="1"/>
      <c r="B908" s="1"/>
      <c r="C908" s="1"/>
      <c r="D908" s="1"/>
      <c r="E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</row>
    <row r="909" spans="1:31" ht="15.75" customHeight="1">
      <c r="A909" s="142" t="s">
        <v>70</v>
      </c>
      <c r="B909" s="142"/>
      <c r="C909" s="142"/>
      <c r="D909" s="25"/>
      <c r="E909" s="25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</row>
    <row r="910" spans="1:31" ht="15.75" customHeight="1">
      <c r="A910" s="143" t="s">
        <v>135</v>
      </c>
      <c r="B910" s="143"/>
      <c r="C910" s="143"/>
      <c r="D910" s="25"/>
      <c r="E910" s="25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</row>
    <row r="911" spans="1:31" ht="15.75" customHeight="1">
      <c r="A911" s="141" t="s">
        <v>71</v>
      </c>
      <c r="B911" s="141"/>
      <c r="C911" s="141"/>
      <c r="D911" s="25"/>
      <c r="E911" s="25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</row>
    <row r="912" spans="1:31" ht="15.75" customHeight="1">
      <c r="A912" s="139" t="s">
        <v>134</v>
      </c>
      <c r="B912" s="139"/>
      <c r="C912" s="139"/>
      <c r="D912" s="25"/>
      <c r="E912" s="25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</row>
    <row r="913" spans="1:31" ht="15.75" customHeight="1">
      <c r="A913" s="1"/>
      <c r="B913" s="1"/>
      <c r="C913" s="1"/>
      <c r="D913" s="1"/>
      <c r="E913" s="1"/>
      <c r="F913" s="1"/>
      <c r="G913" s="1"/>
      <c r="H913" s="1"/>
      <c r="I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</row>
    <row r="914" spans="1:31" ht="15.75" customHeight="1">
      <c r="A914" s="144" t="s">
        <v>136</v>
      </c>
      <c r="B914" s="144"/>
      <c r="C914" s="144"/>
      <c r="D914" s="144" t="s">
        <v>141</v>
      </c>
      <c r="E914" s="144"/>
      <c r="F914" s="144"/>
      <c r="G914" s="144" t="s">
        <v>142</v>
      </c>
      <c r="H914" s="144"/>
      <c r="I914" s="144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</row>
    <row r="915" spans="1:31" ht="15.75" customHeight="1">
      <c r="A915" s="150"/>
      <c r="B915" s="151"/>
      <c r="C915" s="152"/>
      <c r="D915" s="37" t="s">
        <v>92</v>
      </c>
      <c r="E915" s="37" t="s">
        <v>95</v>
      </c>
      <c r="F915" s="37" t="s">
        <v>94</v>
      </c>
      <c r="G915" s="37" t="s">
        <v>92</v>
      </c>
      <c r="H915" s="37" t="s">
        <v>95</v>
      </c>
      <c r="I915" s="37" t="s">
        <v>94</v>
      </c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</row>
    <row r="916" spans="1:31" ht="15.75" customHeight="1">
      <c r="A916" s="138" t="s">
        <v>146</v>
      </c>
      <c r="B916" s="138"/>
      <c r="C916" s="138"/>
      <c r="D916" s="34"/>
      <c r="E916" s="34"/>
      <c r="F916" s="34"/>
      <c r="G916" s="34"/>
      <c r="H916" s="34"/>
      <c r="I916" s="34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</row>
    <row r="917" spans="1:31" ht="15.75" customHeight="1">
      <c r="A917" s="138" t="s">
        <v>144</v>
      </c>
      <c r="B917" s="138"/>
      <c r="C917" s="138"/>
      <c r="D917" s="34"/>
      <c r="E917" s="34"/>
      <c r="F917" s="34"/>
      <c r="G917" s="34"/>
      <c r="H917" s="34"/>
      <c r="I917" s="34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</row>
    <row r="918" spans="1:31" ht="15.75" customHeight="1">
      <c r="A918" s="138" t="s">
        <v>145</v>
      </c>
      <c r="B918" s="138"/>
      <c r="C918" s="138"/>
      <c r="D918" s="34"/>
      <c r="E918" s="34"/>
      <c r="F918" s="34"/>
      <c r="G918" s="34"/>
      <c r="H918" s="34"/>
      <c r="I918" s="34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</row>
    <row r="919" spans="1:31" ht="15.75" customHeight="1">
      <c r="A919" s="1"/>
      <c r="B919" s="1"/>
      <c r="C919" s="1"/>
      <c r="D919" s="1"/>
      <c r="E919" s="1"/>
      <c r="F919" s="1"/>
      <c r="G919" s="1"/>
      <c r="H919" s="1"/>
      <c r="I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</row>
    <row r="920" spans="1:31" ht="16.5" customHeight="1">
      <c r="A920" s="131" t="s">
        <v>80</v>
      </c>
      <c r="B920" s="131"/>
      <c r="C920" s="131"/>
      <c r="D920" s="131"/>
      <c r="E920" s="1"/>
      <c r="F920" s="1"/>
      <c r="G920" s="1"/>
      <c r="H920" s="1"/>
      <c r="I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</row>
    <row r="921" spans="1:31" ht="15.75" customHeight="1">
      <c r="A921" s="1"/>
      <c r="B921" s="1"/>
      <c r="C921" s="1"/>
      <c r="D921" s="1"/>
      <c r="E921" s="1"/>
      <c r="F921" s="1"/>
      <c r="G921" s="1"/>
      <c r="H921" s="1"/>
      <c r="I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</row>
    <row r="922" spans="1:31" ht="15.75" customHeight="1">
      <c r="A922" s="132"/>
      <c r="B922" s="132"/>
      <c r="C922" s="132"/>
      <c r="D922" s="132"/>
      <c r="E922" s="132"/>
      <c r="F922" s="132"/>
      <c r="G922" s="132"/>
      <c r="H922" s="132"/>
      <c r="I922" s="132"/>
      <c r="J922" s="132"/>
      <c r="K922" s="132"/>
      <c r="L922" s="132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</row>
    <row r="923" spans="1:31" ht="15.75" customHeight="1">
      <c r="A923" s="132"/>
      <c r="B923" s="132"/>
      <c r="C923" s="132"/>
      <c r="D923" s="132"/>
      <c r="E923" s="132"/>
      <c r="F923" s="132"/>
      <c r="G923" s="132"/>
      <c r="H923" s="132"/>
      <c r="I923" s="132"/>
      <c r="J923" s="132"/>
      <c r="K923" s="132"/>
      <c r="L923" s="132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</row>
    <row r="924" spans="1:31" ht="15.75" customHeight="1">
      <c r="A924" s="132"/>
      <c r="B924" s="132"/>
      <c r="C924" s="132"/>
      <c r="D924" s="132"/>
      <c r="E924" s="132"/>
      <c r="F924" s="132"/>
      <c r="G924" s="132"/>
      <c r="H924" s="132"/>
      <c r="I924" s="132"/>
      <c r="J924" s="132"/>
      <c r="K924" s="132"/>
      <c r="L924" s="132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</row>
    <row r="925" spans="1:31" ht="15.75" customHeight="1">
      <c r="A925" s="132"/>
      <c r="B925" s="132"/>
      <c r="C925" s="132"/>
      <c r="D925" s="132"/>
      <c r="E925" s="132"/>
      <c r="F925" s="132"/>
      <c r="G925" s="132"/>
      <c r="H925" s="132"/>
      <c r="I925" s="132"/>
      <c r="J925" s="132"/>
      <c r="K925" s="132"/>
      <c r="L925" s="132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</row>
    <row r="926" spans="1:31" ht="15.75" customHeight="1">
      <c r="A926" s="132"/>
      <c r="B926" s="132"/>
      <c r="C926" s="132"/>
      <c r="D926" s="132"/>
      <c r="E926" s="132"/>
      <c r="F926" s="132"/>
      <c r="G926" s="132"/>
      <c r="H926" s="132"/>
      <c r="I926" s="132"/>
      <c r="J926" s="132"/>
      <c r="K926" s="132"/>
      <c r="L926" s="132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</row>
    <row r="927" spans="1:31" ht="15.75" customHeight="1">
      <c r="A927" s="132"/>
      <c r="B927" s="132"/>
      <c r="C927" s="132"/>
      <c r="D927" s="132"/>
      <c r="E927" s="132"/>
      <c r="F927" s="132"/>
      <c r="G927" s="132"/>
      <c r="H927" s="132"/>
      <c r="I927" s="132"/>
      <c r="J927" s="132"/>
      <c r="K927" s="132"/>
      <c r="L927" s="132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</row>
    <row r="928" spans="1:31" ht="15.75" customHeight="1">
      <c r="A928" s="132"/>
      <c r="B928" s="132"/>
      <c r="C928" s="132"/>
      <c r="D928" s="132"/>
      <c r="E928" s="132"/>
      <c r="F928" s="132"/>
      <c r="G928" s="132"/>
      <c r="H928" s="132"/>
      <c r="I928" s="132"/>
      <c r="J928" s="132"/>
      <c r="K928" s="132"/>
      <c r="L928" s="132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</row>
    <row r="929" spans="1:31" ht="15.75" customHeight="1">
      <c r="A929" s="132"/>
      <c r="B929" s="132"/>
      <c r="C929" s="132"/>
      <c r="D929" s="132"/>
      <c r="E929" s="132"/>
      <c r="F929" s="132"/>
      <c r="G929" s="132"/>
      <c r="H929" s="132"/>
      <c r="I929" s="132"/>
      <c r="J929" s="132"/>
      <c r="K929" s="132"/>
      <c r="L929" s="132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</row>
    <row r="930" spans="1:31" ht="15.75" customHeight="1">
      <c r="A930" s="132"/>
      <c r="B930" s="132"/>
      <c r="C930" s="132"/>
      <c r="D930" s="132"/>
      <c r="E930" s="132"/>
      <c r="F930" s="132"/>
      <c r="G930" s="132"/>
      <c r="H930" s="132"/>
      <c r="I930" s="132"/>
      <c r="J930" s="132"/>
      <c r="K930" s="132"/>
      <c r="L930" s="132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</row>
    <row r="931" spans="1:31" ht="15.75" customHeight="1">
      <c r="A931" s="132"/>
      <c r="B931" s="132"/>
      <c r="C931" s="132"/>
      <c r="D931" s="132"/>
      <c r="E931" s="132"/>
      <c r="F931" s="132"/>
      <c r="G931" s="132"/>
      <c r="H931" s="132"/>
      <c r="I931" s="132"/>
      <c r="J931" s="132"/>
      <c r="K931" s="132"/>
      <c r="L931" s="132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</row>
    <row r="932" spans="1:31" ht="15.75" customHeight="1">
      <c r="A932" s="132"/>
      <c r="B932" s="132"/>
      <c r="C932" s="132"/>
      <c r="D932" s="132"/>
      <c r="E932" s="132"/>
      <c r="F932" s="132"/>
      <c r="G932" s="132"/>
      <c r="H932" s="132"/>
      <c r="I932" s="132"/>
      <c r="J932" s="132"/>
      <c r="K932" s="132"/>
      <c r="L932" s="132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</row>
    <row r="933" spans="1:31" ht="15.75" customHeight="1">
      <c r="A933" s="132"/>
      <c r="B933" s="132"/>
      <c r="C933" s="132"/>
      <c r="D933" s="132"/>
      <c r="E933" s="132"/>
      <c r="F933" s="132"/>
      <c r="G933" s="132"/>
      <c r="H933" s="132"/>
      <c r="I933" s="132"/>
      <c r="J933" s="132"/>
      <c r="K933" s="132"/>
      <c r="L933" s="132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</row>
    <row r="934" spans="1:31" ht="15.75" customHeight="1">
      <c r="A934" s="132"/>
      <c r="B934" s="132"/>
      <c r="C934" s="132"/>
      <c r="D934" s="132"/>
      <c r="E934" s="132"/>
      <c r="F934" s="132"/>
      <c r="G934" s="132"/>
      <c r="H934" s="132"/>
      <c r="I934" s="132"/>
      <c r="J934" s="132"/>
      <c r="K934" s="132"/>
      <c r="L934" s="132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</row>
    <row r="935" spans="1:31" ht="15.75" customHeight="1">
      <c r="A935" s="132"/>
      <c r="B935" s="132"/>
      <c r="C935" s="132"/>
      <c r="D935" s="132"/>
      <c r="E935" s="132"/>
      <c r="F935" s="132"/>
      <c r="G935" s="132"/>
      <c r="H935" s="132"/>
      <c r="I935" s="132"/>
      <c r="J935" s="132"/>
      <c r="K935" s="132"/>
      <c r="L935" s="132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</row>
    <row r="936" spans="1:31" ht="15.75" customHeight="1">
      <c r="A936" s="132"/>
      <c r="B936" s="132"/>
      <c r="C936" s="132"/>
      <c r="D936" s="132"/>
      <c r="E936" s="132"/>
      <c r="F936" s="132"/>
      <c r="G936" s="132"/>
      <c r="H936" s="132"/>
      <c r="I936" s="132"/>
      <c r="J936" s="132"/>
      <c r="K936" s="132"/>
      <c r="L936" s="132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</row>
    <row r="937" spans="1:31" ht="15.75" customHeight="1">
      <c r="A937" s="132"/>
      <c r="B937" s="132"/>
      <c r="C937" s="132"/>
      <c r="D937" s="132"/>
      <c r="E937" s="132"/>
      <c r="F937" s="132"/>
      <c r="G937" s="132"/>
      <c r="H937" s="132"/>
      <c r="I937" s="132"/>
      <c r="J937" s="132"/>
      <c r="K937" s="132"/>
      <c r="L937" s="132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</row>
    <row r="938" spans="1:31" ht="15.75" customHeight="1">
      <c r="A938" s="132"/>
      <c r="B938" s="132"/>
      <c r="C938" s="132"/>
      <c r="D938" s="132"/>
      <c r="E938" s="132"/>
      <c r="F938" s="132"/>
      <c r="G938" s="132"/>
      <c r="H938" s="132"/>
      <c r="I938" s="132"/>
      <c r="J938" s="132"/>
      <c r="K938" s="132"/>
      <c r="L938" s="132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</row>
    <row r="939" spans="1:31" ht="15.75" customHeight="1">
      <c r="A939" s="132"/>
      <c r="B939" s="132"/>
      <c r="C939" s="132"/>
      <c r="D939" s="132"/>
      <c r="E939" s="132"/>
      <c r="F939" s="132"/>
      <c r="G939" s="132"/>
      <c r="H939" s="132"/>
      <c r="I939" s="132"/>
      <c r="J939" s="132"/>
      <c r="K939" s="132"/>
      <c r="L939" s="132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</row>
    <row r="940" spans="1:31" ht="15.75" customHeight="1">
      <c r="A940" s="132"/>
      <c r="B940" s="132"/>
      <c r="C940" s="132"/>
      <c r="D940" s="132"/>
      <c r="E940" s="132"/>
      <c r="F940" s="132"/>
      <c r="G940" s="132"/>
      <c r="H940" s="132"/>
      <c r="I940" s="132"/>
      <c r="J940" s="132"/>
      <c r="K940" s="132"/>
      <c r="L940" s="132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</row>
    <row r="941" spans="1:31" ht="15.75" customHeight="1">
      <c r="A941" s="132"/>
      <c r="B941" s="132"/>
      <c r="C941" s="132"/>
      <c r="D941" s="132"/>
      <c r="E941" s="132"/>
      <c r="F941" s="132"/>
      <c r="G941" s="132"/>
      <c r="H941" s="132"/>
      <c r="I941" s="132"/>
      <c r="J941" s="132"/>
      <c r="K941" s="132"/>
      <c r="L941" s="132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</row>
    <row r="942" spans="1:31" ht="15.75" customHeight="1">
      <c r="A942" s="132"/>
      <c r="B942" s="132"/>
      <c r="C942" s="132"/>
      <c r="D942" s="132"/>
      <c r="E942" s="132"/>
      <c r="F942" s="132"/>
      <c r="G942" s="132"/>
      <c r="H942" s="132"/>
      <c r="I942" s="132"/>
      <c r="J942" s="132"/>
      <c r="K942" s="132"/>
      <c r="L942" s="132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</row>
    <row r="943" spans="1:31" ht="15.75" customHeight="1">
      <c r="A943" s="132"/>
      <c r="B943" s="132"/>
      <c r="C943" s="132"/>
      <c r="D943" s="132"/>
      <c r="E943" s="132"/>
      <c r="F943" s="132"/>
      <c r="G943" s="132"/>
      <c r="H943" s="132"/>
      <c r="I943" s="132"/>
      <c r="J943" s="132"/>
      <c r="K943" s="132"/>
      <c r="L943" s="132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</row>
    <row r="944" spans="1:31" ht="15.75" customHeight="1">
      <c r="A944" s="132"/>
      <c r="B944" s="132"/>
      <c r="C944" s="132"/>
      <c r="D944" s="132"/>
      <c r="E944" s="132"/>
      <c r="F944" s="132"/>
      <c r="G944" s="132"/>
      <c r="H944" s="132"/>
      <c r="I944" s="132"/>
      <c r="J944" s="132"/>
      <c r="K944" s="132"/>
      <c r="L944" s="132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</row>
    <row r="945" spans="1:31" ht="15.75" customHeight="1">
      <c r="A945" s="132"/>
      <c r="B945" s="132"/>
      <c r="C945" s="132"/>
      <c r="D945" s="132"/>
      <c r="E945" s="132"/>
      <c r="F945" s="132"/>
      <c r="G945" s="132"/>
      <c r="H945" s="132"/>
      <c r="I945" s="132"/>
      <c r="J945" s="132"/>
      <c r="K945" s="132"/>
      <c r="L945" s="132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</row>
    <row r="946" spans="1:31" ht="15.75" customHeight="1">
      <c r="A946" s="132"/>
      <c r="B946" s="132"/>
      <c r="C946" s="132"/>
      <c r="D946" s="132"/>
      <c r="E946" s="132"/>
      <c r="F946" s="132"/>
      <c r="G946" s="132"/>
      <c r="H946" s="132"/>
      <c r="I946" s="132"/>
      <c r="J946" s="132"/>
      <c r="K946" s="132"/>
      <c r="L946" s="132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</row>
    <row r="947" spans="1:31" ht="15.75" customHeight="1">
      <c r="A947" s="132"/>
      <c r="B947" s="132"/>
      <c r="C947" s="132"/>
      <c r="D947" s="132"/>
      <c r="E947" s="132"/>
      <c r="F947" s="132"/>
      <c r="G947" s="132"/>
      <c r="H947" s="132"/>
      <c r="I947" s="132"/>
      <c r="J947" s="132"/>
      <c r="K947" s="132"/>
      <c r="L947" s="132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</row>
    <row r="948" spans="1:31" ht="15.75" customHeight="1">
      <c r="A948" s="132"/>
      <c r="B948" s="132"/>
      <c r="C948" s="132"/>
      <c r="D948" s="132"/>
      <c r="E948" s="132"/>
      <c r="F948" s="132"/>
      <c r="G948" s="132"/>
      <c r="H948" s="132"/>
      <c r="I948" s="132"/>
      <c r="J948" s="132"/>
      <c r="K948" s="132"/>
      <c r="L948" s="132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</row>
    <row r="949" spans="1:31" ht="15.75" customHeight="1">
      <c r="A949" s="132"/>
      <c r="B949" s="132"/>
      <c r="C949" s="132"/>
      <c r="D949" s="132"/>
      <c r="E949" s="132"/>
      <c r="F949" s="132"/>
      <c r="G949" s="132"/>
      <c r="H949" s="132"/>
      <c r="I949" s="132"/>
      <c r="J949" s="132"/>
      <c r="K949" s="132"/>
      <c r="L949" s="132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</row>
    <row r="950" spans="1:31" ht="15.75" customHeight="1">
      <c r="A950" s="132"/>
      <c r="B950" s="132"/>
      <c r="C950" s="132"/>
      <c r="D950" s="132"/>
      <c r="E950" s="132"/>
      <c r="F950" s="132"/>
      <c r="G950" s="132"/>
      <c r="H950" s="132"/>
      <c r="I950" s="132"/>
      <c r="J950" s="132"/>
      <c r="K950" s="132"/>
      <c r="L950" s="132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</row>
    <row r="951" spans="1:31" ht="15.75" customHeight="1">
      <c r="A951" s="132"/>
      <c r="B951" s="132"/>
      <c r="C951" s="132"/>
      <c r="D951" s="132"/>
      <c r="E951" s="132"/>
      <c r="F951" s="132"/>
      <c r="G951" s="132"/>
      <c r="H951" s="132"/>
      <c r="I951" s="132"/>
      <c r="J951" s="132"/>
      <c r="K951" s="132"/>
      <c r="L951" s="132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</row>
    <row r="952" spans="1:31" ht="15.75" customHeight="1">
      <c r="A952" s="132"/>
      <c r="B952" s="132"/>
      <c r="C952" s="132"/>
      <c r="D952" s="132"/>
      <c r="E952" s="132"/>
      <c r="F952" s="132"/>
      <c r="G952" s="132"/>
      <c r="H952" s="132"/>
      <c r="I952" s="132"/>
      <c r="J952" s="132"/>
      <c r="K952" s="132"/>
      <c r="L952" s="132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</row>
    <row r="953" spans="1:31" ht="15.75" customHeight="1">
      <c r="A953" s="1"/>
      <c r="B953" s="1"/>
      <c r="C953" s="1"/>
      <c r="D953" s="1"/>
      <c r="E953" s="1"/>
      <c r="F953" s="1"/>
      <c r="G953" s="1"/>
      <c r="H953" s="1"/>
      <c r="I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</row>
    <row r="954" spans="1:31" ht="15.75" customHeight="1">
      <c r="A954" s="1"/>
      <c r="B954" s="1"/>
      <c r="C954" s="1"/>
      <c r="D954" s="1"/>
      <c r="E954" s="1"/>
      <c r="F954" s="1"/>
      <c r="G954" s="1"/>
      <c r="H954" s="1"/>
      <c r="I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</row>
    <row r="955" spans="1:31" ht="15.75" customHeight="1">
      <c r="A955" s="1"/>
      <c r="B955" s="1"/>
      <c r="C955" s="1"/>
      <c r="D955" s="1"/>
      <c r="E955" s="1"/>
      <c r="F955" s="1"/>
      <c r="G955" s="1"/>
      <c r="H955" s="1"/>
      <c r="I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</row>
    <row r="956" spans="1:31" ht="15.75" customHeight="1">
      <c r="A956" s="1"/>
      <c r="B956" s="1"/>
      <c r="C956" s="1"/>
      <c r="D956" s="1"/>
      <c r="E956" s="1"/>
      <c r="F956" s="1"/>
      <c r="G956" s="1"/>
      <c r="H956" s="1"/>
      <c r="I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</row>
    <row r="957" spans="1:31" ht="15.75" customHeight="1">
      <c r="A957" s="1"/>
      <c r="B957" s="1"/>
      <c r="C957" s="1"/>
      <c r="D957" s="1"/>
      <c r="E957" s="1"/>
      <c r="F957" s="1"/>
      <c r="G957" s="1"/>
      <c r="H957" s="1"/>
      <c r="I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</row>
    <row r="958" spans="1:31" ht="15.75" customHeight="1">
      <c r="A958" s="1"/>
      <c r="B958" s="1"/>
      <c r="C958" s="1"/>
      <c r="D958" s="1"/>
      <c r="E958" s="1"/>
      <c r="F958" s="1"/>
      <c r="G958" s="1"/>
      <c r="H958" s="1"/>
      <c r="I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</row>
    <row r="959" spans="1:31" ht="15.75" customHeight="1">
      <c r="A959" s="131" t="s">
        <v>81</v>
      </c>
      <c r="B959" s="131"/>
      <c r="C959" s="131"/>
      <c r="D959" s="131"/>
      <c r="E959" s="1"/>
      <c r="F959" s="1"/>
      <c r="G959" s="1"/>
      <c r="H959" s="1"/>
      <c r="I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</row>
    <row r="960" spans="1:31" ht="15.75" customHeight="1">
      <c r="A960" s="1"/>
      <c r="B960" s="1"/>
      <c r="C960" s="1"/>
      <c r="D960" s="1"/>
      <c r="E960" s="1"/>
      <c r="F960" s="1"/>
      <c r="G960" s="1"/>
      <c r="H960" s="1"/>
      <c r="I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</row>
    <row r="961" spans="1:31" ht="15.75" customHeight="1">
      <c r="A961" s="132"/>
      <c r="B961" s="132"/>
      <c r="C961" s="132"/>
      <c r="D961" s="132"/>
      <c r="E961" s="132"/>
      <c r="F961" s="132"/>
      <c r="G961" s="132"/>
      <c r="H961" s="132"/>
      <c r="I961" s="132"/>
      <c r="J961" s="132"/>
      <c r="K961" s="132"/>
      <c r="L961" s="132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</row>
    <row r="962" spans="1:31" ht="15.75" customHeight="1">
      <c r="A962" s="132"/>
      <c r="B962" s="132"/>
      <c r="C962" s="132"/>
      <c r="D962" s="132"/>
      <c r="E962" s="132"/>
      <c r="F962" s="132"/>
      <c r="G962" s="132"/>
      <c r="H962" s="132"/>
      <c r="I962" s="132"/>
      <c r="J962" s="132"/>
      <c r="K962" s="132"/>
      <c r="L962" s="132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</row>
    <row r="963" spans="1:31" ht="15.75" customHeight="1">
      <c r="A963" s="132"/>
      <c r="B963" s="132"/>
      <c r="C963" s="132"/>
      <c r="D963" s="132"/>
      <c r="E963" s="132"/>
      <c r="F963" s="132"/>
      <c r="G963" s="132"/>
      <c r="H963" s="132"/>
      <c r="I963" s="132"/>
      <c r="J963" s="132"/>
      <c r="K963" s="132"/>
      <c r="L963" s="132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</row>
    <row r="964" spans="1:31" ht="15.75" customHeight="1">
      <c r="A964" s="132"/>
      <c r="B964" s="132"/>
      <c r="C964" s="132"/>
      <c r="D964" s="132"/>
      <c r="E964" s="132"/>
      <c r="F964" s="132"/>
      <c r="G964" s="132"/>
      <c r="H964" s="132"/>
      <c r="I964" s="132"/>
      <c r="J964" s="132"/>
      <c r="K964" s="132"/>
      <c r="L964" s="132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</row>
    <row r="965" spans="1:31" ht="15.75" customHeight="1">
      <c r="A965" s="132"/>
      <c r="B965" s="132"/>
      <c r="C965" s="132"/>
      <c r="D965" s="132"/>
      <c r="E965" s="132"/>
      <c r="F965" s="132"/>
      <c r="G965" s="132"/>
      <c r="H965" s="132"/>
      <c r="I965" s="132"/>
      <c r="J965" s="132"/>
      <c r="K965" s="132"/>
      <c r="L965" s="132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</row>
    <row r="966" spans="1:31" ht="15.75" customHeight="1">
      <c r="A966" s="132"/>
      <c r="B966" s="132"/>
      <c r="C966" s="132"/>
      <c r="D966" s="132"/>
      <c r="E966" s="132"/>
      <c r="F966" s="132"/>
      <c r="G966" s="132"/>
      <c r="H966" s="132"/>
      <c r="I966" s="132"/>
      <c r="J966" s="132"/>
      <c r="K966" s="132"/>
      <c r="L966" s="132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</row>
    <row r="967" spans="1:31" ht="15.75" customHeight="1">
      <c r="A967" s="132"/>
      <c r="B967" s="132"/>
      <c r="C967" s="132"/>
      <c r="D967" s="132"/>
      <c r="E967" s="132"/>
      <c r="F967" s="132"/>
      <c r="G967" s="132"/>
      <c r="H967" s="132"/>
      <c r="I967" s="132"/>
      <c r="J967" s="132"/>
      <c r="K967" s="132"/>
      <c r="L967" s="132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</row>
    <row r="968" spans="1:31" ht="15.75" customHeight="1">
      <c r="A968" s="132"/>
      <c r="B968" s="132"/>
      <c r="C968" s="132"/>
      <c r="D968" s="132"/>
      <c r="E968" s="132"/>
      <c r="F968" s="132"/>
      <c r="G968" s="132"/>
      <c r="H968" s="132"/>
      <c r="I968" s="132"/>
      <c r="J968" s="132"/>
      <c r="K968" s="132"/>
      <c r="L968" s="132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</row>
    <row r="969" spans="1:31" ht="15.75" customHeight="1">
      <c r="A969" s="132"/>
      <c r="B969" s="132"/>
      <c r="C969" s="132"/>
      <c r="D969" s="132"/>
      <c r="E969" s="132"/>
      <c r="F969" s="132"/>
      <c r="G969" s="132"/>
      <c r="H969" s="132"/>
      <c r="I969" s="132"/>
      <c r="J969" s="132"/>
      <c r="K969" s="132"/>
      <c r="L969" s="132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</row>
    <row r="970" spans="1:31" ht="15.75" customHeight="1">
      <c r="A970" s="132"/>
      <c r="B970" s="132"/>
      <c r="C970" s="132"/>
      <c r="D970" s="132"/>
      <c r="E970" s="132"/>
      <c r="F970" s="132"/>
      <c r="G970" s="132"/>
      <c r="H970" s="132"/>
      <c r="I970" s="132"/>
      <c r="J970" s="132"/>
      <c r="K970" s="132"/>
      <c r="L970" s="132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</row>
    <row r="971" spans="1:31" ht="15.75" customHeight="1">
      <c r="A971" s="132"/>
      <c r="B971" s="132"/>
      <c r="C971" s="132"/>
      <c r="D971" s="132"/>
      <c r="E971" s="132"/>
      <c r="F971" s="132"/>
      <c r="G971" s="132"/>
      <c r="H971" s="132"/>
      <c r="I971" s="132"/>
      <c r="J971" s="132"/>
      <c r="K971" s="132"/>
      <c r="L971" s="132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</row>
    <row r="972" spans="1:31" ht="15.75" customHeight="1">
      <c r="A972" s="132"/>
      <c r="B972" s="132"/>
      <c r="C972" s="132"/>
      <c r="D972" s="132"/>
      <c r="E972" s="132"/>
      <c r="F972" s="132"/>
      <c r="G972" s="132"/>
      <c r="H972" s="132"/>
      <c r="I972" s="132"/>
      <c r="J972" s="132"/>
      <c r="K972" s="132"/>
      <c r="L972" s="132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</row>
    <row r="973" spans="1:31" ht="15.75" customHeight="1">
      <c r="A973" s="132"/>
      <c r="B973" s="132"/>
      <c r="C973" s="132"/>
      <c r="D973" s="132"/>
      <c r="E973" s="132"/>
      <c r="F973" s="132"/>
      <c r="G973" s="132"/>
      <c r="H973" s="132"/>
      <c r="I973" s="132"/>
      <c r="J973" s="132"/>
      <c r="K973" s="132"/>
      <c r="L973" s="132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</row>
    <row r="974" spans="1:31" ht="15.75" customHeight="1">
      <c r="A974" s="132"/>
      <c r="B974" s="132"/>
      <c r="C974" s="132"/>
      <c r="D974" s="132"/>
      <c r="E974" s="132"/>
      <c r="F974" s="132"/>
      <c r="G974" s="132"/>
      <c r="H974" s="132"/>
      <c r="I974" s="132"/>
      <c r="J974" s="132"/>
      <c r="K974" s="132"/>
      <c r="L974" s="132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</row>
    <row r="975" spans="1:31" ht="15.75" customHeight="1">
      <c r="A975" s="132"/>
      <c r="B975" s="132"/>
      <c r="C975" s="132"/>
      <c r="D975" s="132"/>
      <c r="E975" s="132"/>
      <c r="F975" s="132"/>
      <c r="G975" s="132"/>
      <c r="H975" s="132"/>
      <c r="I975" s="132"/>
      <c r="J975" s="132"/>
      <c r="K975" s="132"/>
      <c r="L975" s="132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</row>
    <row r="976" spans="1:31" ht="15.75" customHeight="1">
      <c r="A976" s="132"/>
      <c r="B976" s="132"/>
      <c r="C976" s="132"/>
      <c r="D976" s="132"/>
      <c r="E976" s="132"/>
      <c r="F976" s="132"/>
      <c r="G976" s="132"/>
      <c r="H976" s="132"/>
      <c r="I976" s="132"/>
      <c r="J976" s="132"/>
      <c r="K976" s="132"/>
      <c r="L976" s="132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</row>
    <row r="977" spans="1:31" ht="15.75" customHeight="1">
      <c r="A977" s="132"/>
      <c r="B977" s="132"/>
      <c r="C977" s="132"/>
      <c r="D977" s="132"/>
      <c r="E977" s="132"/>
      <c r="F977" s="132"/>
      <c r="G977" s="132"/>
      <c r="H977" s="132"/>
      <c r="I977" s="132"/>
      <c r="J977" s="132"/>
      <c r="K977" s="132"/>
      <c r="L977" s="132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</row>
    <row r="978" spans="1:31" ht="15.75" customHeight="1">
      <c r="A978" s="132"/>
      <c r="B978" s="132"/>
      <c r="C978" s="132"/>
      <c r="D978" s="132"/>
      <c r="E978" s="132"/>
      <c r="F978" s="132"/>
      <c r="G978" s="132"/>
      <c r="H978" s="132"/>
      <c r="I978" s="132"/>
      <c r="J978" s="132"/>
      <c r="K978" s="132"/>
      <c r="L978" s="132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</row>
    <row r="979" spans="1:31" ht="15.75" customHeight="1">
      <c r="A979" s="132"/>
      <c r="B979" s="132"/>
      <c r="C979" s="132"/>
      <c r="D979" s="132"/>
      <c r="E979" s="132"/>
      <c r="F979" s="132"/>
      <c r="G979" s="132"/>
      <c r="H979" s="132"/>
      <c r="I979" s="132"/>
      <c r="J979" s="132"/>
      <c r="K979" s="132"/>
      <c r="L979" s="132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</row>
    <row r="980" spans="1:31" ht="15.75" customHeight="1">
      <c r="A980" s="132"/>
      <c r="B980" s="132"/>
      <c r="C980" s="132"/>
      <c r="D980" s="132"/>
      <c r="E980" s="132"/>
      <c r="F980" s="132"/>
      <c r="G980" s="132"/>
      <c r="H980" s="132"/>
      <c r="I980" s="132"/>
      <c r="J980" s="132"/>
      <c r="K980" s="132"/>
      <c r="L980" s="132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</row>
    <row r="981" spans="1:31" ht="15.75" customHeight="1">
      <c r="A981" s="132"/>
      <c r="B981" s="132"/>
      <c r="C981" s="132"/>
      <c r="D981" s="132"/>
      <c r="E981" s="132"/>
      <c r="F981" s="132"/>
      <c r="G981" s="132"/>
      <c r="H981" s="132"/>
      <c r="I981" s="132"/>
      <c r="J981" s="132"/>
      <c r="K981" s="132"/>
      <c r="L981" s="132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</row>
    <row r="982" spans="1:31" ht="15.75" customHeight="1">
      <c r="A982" s="132"/>
      <c r="B982" s="132"/>
      <c r="C982" s="132"/>
      <c r="D982" s="132"/>
      <c r="E982" s="132"/>
      <c r="F982" s="132"/>
      <c r="G982" s="132"/>
      <c r="H982" s="132"/>
      <c r="I982" s="132"/>
      <c r="J982" s="132"/>
      <c r="K982" s="132"/>
      <c r="L982" s="132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</row>
    <row r="983" spans="1:31" ht="15.75" customHeight="1">
      <c r="A983" s="132"/>
      <c r="B983" s="132"/>
      <c r="C983" s="132"/>
      <c r="D983" s="132"/>
      <c r="E983" s="132"/>
      <c r="F983" s="132"/>
      <c r="G983" s="132"/>
      <c r="H983" s="132"/>
      <c r="I983" s="132"/>
      <c r="J983" s="132"/>
      <c r="K983" s="132"/>
      <c r="L983" s="132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</row>
    <row r="984" spans="1:31" ht="15.75" customHeight="1">
      <c r="A984" s="132"/>
      <c r="B984" s="132"/>
      <c r="C984" s="132"/>
      <c r="D984" s="132"/>
      <c r="E984" s="132"/>
      <c r="F984" s="132"/>
      <c r="G984" s="132"/>
      <c r="H984" s="132"/>
      <c r="I984" s="132"/>
      <c r="J984" s="132"/>
      <c r="K984" s="132"/>
      <c r="L984" s="132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</row>
    <row r="985" spans="1:31" ht="15.75" customHeight="1">
      <c r="A985" s="132"/>
      <c r="B985" s="132"/>
      <c r="C985" s="132"/>
      <c r="D985" s="132"/>
      <c r="E985" s="132"/>
      <c r="F985" s="132"/>
      <c r="G985" s="132"/>
      <c r="H985" s="132"/>
      <c r="I985" s="132"/>
      <c r="J985" s="132"/>
      <c r="K985" s="132"/>
      <c r="L985" s="132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</row>
    <row r="986" spans="1:31" ht="15.75" customHeight="1">
      <c r="A986" s="132"/>
      <c r="B986" s="132"/>
      <c r="C986" s="132"/>
      <c r="D986" s="132"/>
      <c r="E986" s="132"/>
      <c r="F986" s="132"/>
      <c r="G986" s="132"/>
      <c r="H986" s="132"/>
      <c r="I986" s="132"/>
      <c r="J986" s="132"/>
      <c r="K986" s="132"/>
      <c r="L986" s="132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</row>
    <row r="987" spans="1:31" ht="15.75" customHeight="1">
      <c r="A987" s="132"/>
      <c r="B987" s="132"/>
      <c r="C987" s="132"/>
      <c r="D987" s="132"/>
      <c r="E987" s="132"/>
      <c r="F987" s="132"/>
      <c r="G987" s="132"/>
      <c r="H987" s="132"/>
      <c r="I987" s="132"/>
      <c r="J987" s="132"/>
      <c r="K987" s="132"/>
      <c r="L987" s="132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</row>
    <row r="988" spans="1:31" ht="15.75" customHeight="1">
      <c r="A988" s="132"/>
      <c r="B988" s="132"/>
      <c r="C988" s="132"/>
      <c r="D988" s="132"/>
      <c r="E988" s="132"/>
      <c r="F988" s="132"/>
      <c r="G988" s="132"/>
      <c r="H988" s="132"/>
      <c r="I988" s="132"/>
      <c r="J988" s="132"/>
      <c r="K988" s="132"/>
      <c r="L988" s="132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</row>
    <row r="989" spans="1:31" ht="15.75" customHeight="1">
      <c r="A989" s="132"/>
      <c r="B989" s="132"/>
      <c r="C989" s="132"/>
      <c r="D989" s="132"/>
      <c r="E989" s="132"/>
      <c r="F989" s="132"/>
      <c r="G989" s="132"/>
      <c r="H989" s="132"/>
      <c r="I989" s="132"/>
      <c r="J989" s="132"/>
      <c r="K989" s="132"/>
      <c r="L989" s="132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</row>
    <row r="990" spans="1:31" ht="15.75" customHeight="1">
      <c r="A990" s="132"/>
      <c r="B990" s="132"/>
      <c r="C990" s="132"/>
      <c r="D990" s="132"/>
      <c r="E990" s="132"/>
      <c r="F990" s="132"/>
      <c r="G990" s="132"/>
      <c r="H990" s="132"/>
      <c r="I990" s="132"/>
      <c r="J990" s="132"/>
      <c r="K990" s="132"/>
      <c r="L990" s="132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</row>
    <row r="991" spans="1:31" ht="15.75" customHeight="1">
      <c r="A991" s="132"/>
      <c r="B991" s="132"/>
      <c r="C991" s="132"/>
      <c r="D991" s="132"/>
      <c r="E991" s="132"/>
      <c r="F991" s="132"/>
      <c r="G991" s="132"/>
      <c r="H991" s="132"/>
      <c r="I991" s="132"/>
      <c r="J991" s="132"/>
      <c r="K991" s="132"/>
      <c r="L991" s="132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</row>
    <row r="992" spans="1:31" ht="15.75" customHeight="1">
      <c r="A992" s="1"/>
      <c r="B992" s="1"/>
      <c r="C992" s="1"/>
      <c r="D992" s="1"/>
      <c r="E992" s="1"/>
      <c r="F992" s="1"/>
      <c r="G992" s="1"/>
      <c r="H992" s="1"/>
      <c r="I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</row>
    <row r="993" spans="1:31" ht="15.75" customHeight="1">
      <c r="A993" s="1"/>
      <c r="B993" s="1"/>
      <c r="C993" s="1"/>
      <c r="D993" s="1"/>
      <c r="E993" s="1"/>
      <c r="F993" s="1"/>
      <c r="G993" s="1"/>
      <c r="H993" s="1"/>
      <c r="I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</row>
    <row r="994" spans="1:31" ht="15.75" customHeight="1">
      <c r="A994" s="1"/>
      <c r="B994" s="1"/>
      <c r="C994" s="1"/>
      <c r="D994" s="1"/>
      <c r="E994" s="1"/>
      <c r="F994" s="1"/>
      <c r="G994" s="1"/>
      <c r="H994" s="1"/>
      <c r="I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</row>
    <row r="995" spans="1:31" ht="15.75" customHeight="1">
      <c r="A995" s="1"/>
      <c r="B995" s="1"/>
      <c r="C995" s="1"/>
      <c r="D995" s="1"/>
      <c r="E995" s="1"/>
      <c r="F995" s="1"/>
      <c r="G995" s="1"/>
      <c r="H995" s="1"/>
      <c r="I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</row>
    <row r="996" spans="1:31" ht="15.75" customHeight="1">
      <c r="A996" s="1"/>
      <c r="B996" s="1"/>
      <c r="C996" s="1"/>
      <c r="D996" s="1"/>
      <c r="E996" s="1"/>
      <c r="F996" s="1"/>
      <c r="G996" s="1"/>
      <c r="H996" s="1"/>
      <c r="I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</row>
    <row r="997" spans="1:31" ht="15.75" customHeight="1">
      <c r="A997" s="1"/>
      <c r="B997" s="1"/>
      <c r="C997" s="1"/>
      <c r="D997" s="1"/>
      <c r="E997" s="1"/>
      <c r="F997" s="1"/>
      <c r="G997" s="1"/>
      <c r="H997" s="1"/>
      <c r="I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</row>
    <row r="998" spans="1:31" ht="16.5" customHeight="1">
      <c r="A998" s="131" t="s">
        <v>82</v>
      </c>
      <c r="B998" s="131"/>
      <c r="C998" s="131"/>
      <c r="D998" s="131"/>
      <c r="E998" s="1"/>
      <c r="F998" s="1"/>
      <c r="G998" s="1"/>
      <c r="H998" s="1"/>
      <c r="I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</row>
    <row r="999" spans="1:31" ht="15.75" customHeight="1">
      <c r="A999" s="1"/>
      <c r="B999" s="1"/>
      <c r="C999" s="1"/>
      <c r="D999" s="1"/>
      <c r="E999" s="1"/>
      <c r="F999" s="1"/>
      <c r="G999" s="1"/>
      <c r="H999" s="1"/>
      <c r="I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</row>
    <row r="1000" spans="1:31" ht="15.75" customHeight="1">
      <c r="A1000" s="132"/>
      <c r="B1000" s="132"/>
      <c r="C1000" s="132"/>
      <c r="D1000" s="132"/>
      <c r="E1000" s="132"/>
      <c r="F1000" s="132"/>
      <c r="G1000" s="132"/>
      <c r="H1000" s="132"/>
      <c r="I1000" s="132"/>
      <c r="J1000" s="132"/>
      <c r="K1000" s="132"/>
      <c r="L1000" s="132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</row>
    <row r="1001" spans="1:31" ht="15.75" customHeight="1">
      <c r="A1001" s="132"/>
      <c r="B1001" s="132"/>
      <c r="C1001" s="132"/>
      <c r="D1001" s="132"/>
      <c r="E1001" s="132"/>
      <c r="F1001" s="132"/>
      <c r="G1001" s="132"/>
      <c r="H1001" s="132"/>
      <c r="I1001" s="132"/>
      <c r="J1001" s="132"/>
      <c r="K1001" s="132"/>
      <c r="L1001" s="132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</row>
    <row r="1002" spans="1:31" ht="15.75" customHeight="1">
      <c r="A1002" s="132"/>
      <c r="B1002" s="132"/>
      <c r="C1002" s="132"/>
      <c r="D1002" s="132"/>
      <c r="E1002" s="132"/>
      <c r="F1002" s="132"/>
      <c r="G1002" s="132"/>
      <c r="H1002" s="132"/>
      <c r="I1002" s="132"/>
      <c r="J1002" s="132"/>
      <c r="K1002" s="132"/>
      <c r="L1002" s="132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</row>
    <row r="1003" spans="1:31" ht="15.75" customHeight="1">
      <c r="A1003" s="132"/>
      <c r="B1003" s="132"/>
      <c r="C1003" s="132"/>
      <c r="D1003" s="132"/>
      <c r="E1003" s="132"/>
      <c r="F1003" s="132"/>
      <c r="G1003" s="132"/>
      <c r="H1003" s="132"/>
      <c r="I1003" s="132"/>
      <c r="J1003" s="132"/>
      <c r="K1003" s="132"/>
      <c r="L1003" s="132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</row>
    <row r="1004" spans="1:31" ht="15.75" customHeight="1">
      <c r="A1004" s="132"/>
      <c r="B1004" s="132"/>
      <c r="C1004" s="132"/>
      <c r="D1004" s="132"/>
      <c r="E1004" s="132"/>
      <c r="F1004" s="132"/>
      <c r="G1004" s="132"/>
      <c r="H1004" s="132"/>
      <c r="I1004" s="132"/>
      <c r="J1004" s="132"/>
      <c r="K1004" s="132"/>
      <c r="L1004" s="132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</row>
    <row r="1005" spans="1:31" ht="15.75" customHeight="1">
      <c r="A1005" s="132"/>
      <c r="B1005" s="132"/>
      <c r="C1005" s="132"/>
      <c r="D1005" s="132"/>
      <c r="E1005" s="132"/>
      <c r="F1005" s="132"/>
      <c r="G1005" s="132"/>
      <c r="H1005" s="132"/>
      <c r="I1005" s="132"/>
      <c r="J1005" s="132"/>
      <c r="K1005" s="132"/>
      <c r="L1005" s="132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</row>
    <row r="1006" spans="1:31" ht="15.75" customHeight="1">
      <c r="A1006" s="132"/>
      <c r="B1006" s="132"/>
      <c r="C1006" s="132"/>
      <c r="D1006" s="132"/>
      <c r="E1006" s="132"/>
      <c r="F1006" s="132"/>
      <c r="G1006" s="132"/>
      <c r="H1006" s="132"/>
      <c r="I1006" s="132"/>
      <c r="J1006" s="132"/>
      <c r="K1006" s="132"/>
      <c r="L1006" s="132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</row>
    <row r="1007" spans="1:31" ht="15.75" customHeight="1">
      <c r="A1007" s="132"/>
      <c r="B1007" s="132"/>
      <c r="C1007" s="132"/>
      <c r="D1007" s="132"/>
      <c r="E1007" s="132"/>
      <c r="F1007" s="132"/>
      <c r="G1007" s="132"/>
      <c r="H1007" s="132"/>
      <c r="I1007" s="132"/>
      <c r="J1007" s="132"/>
      <c r="K1007" s="132"/>
      <c r="L1007" s="132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</row>
    <row r="1008" spans="1:31" ht="15.75" customHeight="1">
      <c r="A1008" s="132"/>
      <c r="B1008" s="132"/>
      <c r="C1008" s="132"/>
      <c r="D1008" s="132"/>
      <c r="E1008" s="132"/>
      <c r="F1008" s="132"/>
      <c r="G1008" s="132"/>
      <c r="H1008" s="132"/>
      <c r="I1008" s="132"/>
      <c r="J1008" s="132"/>
      <c r="K1008" s="132"/>
      <c r="L1008" s="132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</row>
    <row r="1009" spans="1:31" ht="15.75" customHeight="1">
      <c r="A1009" s="132"/>
      <c r="B1009" s="132"/>
      <c r="C1009" s="132"/>
      <c r="D1009" s="132"/>
      <c r="E1009" s="132"/>
      <c r="F1009" s="132"/>
      <c r="G1009" s="132"/>
      <c r="H1009" s="132"/>
      <c r="I1009" s="132"/>
      <c r="J1009" s="132"/>
      <c r="K1009" s="132"/>
      <c r="L1009" s="132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</row>
    <row r="1010" spans="1:31" ht="15.75" customHeight="1">
      <c r="A1010" s="132"/>
      <c r="B1010" s="132"/>
      <c r="C1010" s="132"/>
      <c r="D1010" s="132"/>
      <c r="E1010" s="132"/>
      <c r="F1010" s="132"/>
      <c r="G1010" s="132"/>
      <c r="H1010" s="132"/>
      <c r="I1010" s="132"/>
      <c r="J1010" s="132"/>
      <c r="K1010" s="132"/>
      <c r="L1010" s="132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</row>
    <row r="1011" spans="1:31" ht="15.75" customHeight="1">
      <c r="A1011" s="132"/>
      <c r="B1011" s="132"/>
      <c r="C1011" s="132"/>
      <c r="D1011" s="132"/>
      <c r="E1011" s="132"/>
      <c r="F1011" s="132"/>
      <c r="G1011" s="132"/>
      <c r="H1011" s="132"/>
      <c r="I1011" s="132"/>
      <c r="J1011" s="132"/>
      <c r="K1011" s="132"/>
      <c r="L1011" s="132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</row>
    <row r="1012" spans="1:31" ht="15.75" customHeight="1">
      <c r="A1012" s="132"/>
      <c r="B1012" s="132"/>
      <c r="C1012" s="132"/>
      <c r="D1012" s="132"/>
      <c r="E1012" s="132"/>
      <c r="F1012" s="132"/>
      <c r="G1012" s="132"/>
      <c r="H1012" s="132"/>
      <c r="I1012" s="132"/>
      <c r="J1012" s="132"/>
      <c r="K1012" s="132"/>
      <c r="L1012" s="132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</row>
    <row r="1013" spans="1:31" ht="15.75" customHeight="1">
      <c r="A1013" s="132"/>
      <c r="B1013" s="132"/>
      <c r="C1013" s="132"/>
      <c r="D1013" s="132"/>
      <c r="E1013" s="132"/>
      <c r="F1013" s="132"/>
      <c r="G1013" s="132"/>
      <c r="H1013" s="132"/>
      <c r="I1013" s="132"/>
      <c r="J1013" s="132"/>
      <c r="K1013" s="132"/>
      <c r="L1013" s="132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</row>
    <row r="1014" spans="1:31" ht="15.75" customHeight="1">
      <c r="A1014" s="132"/>
      <c r="B1014" s="132"/>
      <c r="C1014" s="132"/>
      <c r="D1014" s="132"/>
      <c r="E1014" s="132"/>
      <c r="F1014" s="132"/>
      <c r="G1014" s="132"/>
      <c r="H1014" s="132"/>
      <c r="I1014" s="132"/>
      <c r="J1014" s="132"/>
      <c r="K1014" s="132"/>
      <c r="L1014" s="132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</row>
    <row r="1015" spans="1:31" ht="15.75" customHeight="1">
      <c r="A1015" s="132"/>
      <c r="B1015" s="132"/>
      <c r="C1015" s="132"/>
      <c r="D1015" s="132"/>
      <c r="E1015" s="132"/>
      <c r="F1015" s="132"/>
      <c r="G1015" s="132"/>
      <c r="H1015" s="132"/>
      <c r="I1015" s="132"/>
      <c r="J1015" s="132"/>
      <c r="K1015" s="132"/>
      <c r="L1015" s="132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</row>
    <row r="1016" spans="1:31" ht="15.75" customHeight="1">
      <c r="A1016" s="132"/>
      <c r="B1016" s="132"/>
      <c r="C1016" s="132"/>
      <c r="D1016" s="132"/>
      <c r="E1016" s="132"/>
      <c r="F1016" s="132"/>
      <c r="G1016" s="132"/>
      <c r="H1016" s="132"/>
      <c r="I1016" s="132"/>
      <c r="J1016" s="132"/>
      <c r="K1016" s="132"/>
      <c r="L1016" s="132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</row>
    <row r="1017" spans="1:31" ht="15.75" customHeight="1">
      <c r="A1017" s="132"/>
      <c r="B1017" s="132"/>
      <c r="C1017" s="132"/>
      <c r="D1017" s="132"/>
      <c r="E1017" s="132"/>
      <c r="F1017" s="132"/>
      <c r="G1017" s="132"/>
      <c r="H1017" s="132"/>
      <c r="I1017" s="132"/>
      <c r="J1017" s="132"/>
      <c r="K1017" s="132"/>
      <c r="L1017" s="132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</row>
    <row r="1018" spans="1:31" ht="15.75" customHeight="1">
      <c r="A1018" s="132"/>
      <c r="B1018" s="132"/>
      <c r="C1018" s="132"/>
      <c r="D1018" s="132"/>
      <c r="E1018" s="132"/>
      <c r="F1018" s="132"/>
      <c r="G1018" s="132"/>
      <c r="H1018" s="132"/>
      <c r="I1018" s="132"/>
      <c r="J1018" s="132"/>
      <c r="K1018" s="132"/>
      <c r="L1018" s="132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</row>
    <row r="1019" spans="1:31" ht="15.75" customHeight="1">
      <c r="A1019" s="132"/>
      <c r="B1019" s="132"/>
      <c r="C1019" s="132"/>
      <c r="D1019" s="132"/>
      <c r="E1019" s="132"/>
      <c r="F1019" s="132"/>
      <c r="G1019" s="132"/>
      <c r="H1019" s="132"/>
      <c r="I1019" s="132"/>
      <c r="J1019" s="132"/>
      <c r="K1019" s="132"/>
      <c r="L1019" s="132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</row>
    <row r="1020" spans="1:31" ht="15.75" customHeight="1">
      <c r="A1020" s="132"/>
      <c r="B1020" s="132"/>
      <c r="C1020" s="132"/>
      <c r="D1020" s="132"/>
      <c r="E1020" s="132"/>
      <c r="F1020" s="132"/>
      <c r="G1020" s="132"/>
      <c r="H1020" s="132"/>
      <c r="I1020" s="132"/>
      <c r="J1020" s="132"/>
      <c r="K1020" s="132"/>
      <c r="L1020" s="132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</row>
    <row r="1021" spans="1:31" ht="15.75" customHeight="1">
      <c r="A1021" s="132"/>
      <c r="B1021" s="132"/>
      <c r="C1021" s="132"/>
      <c r="D1021" s="132"/>
      <c r="E1021" s="132"/>
      <c r="F1021" s="132"/>
      <c r="G1021" s="132"/>
      <c r="H1021" s="132"/>
      <c r="I1021" s="132"/>
      <c r="J1021" s="132"/>
      <c r="K1021" s="132"/>
      <c r="L1021" s="132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</row>
    <row r="1022" spans="1:31" ht="15.75" customHeight="1">
      <c r="A1022" s="132"/>
      <c r="B1022" s="132"/>
      <c r="C1022" s="132"/>
      <c r="D1022" s="132"/>
      <c r="E1022" s="132"/>
      <c r="F1022" s="132"/>
      <c r="G1022" s="132"/>
      <c r="H1022" s="132"/>
      <c r="I1022" s="132"/>
      <c r="J1022" s="132"/>
      <c r="K1022" s="132"/>
      <c r="L1022" s="132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</row>
    <row r="1023" spans="1:31" ht="15.75" customHeight="1">
      <c r="A1023" s="132"/>
      <c r="B1023" s="132"/>
      <c r="C1023" s="132"/>
      <c r="D1023" s="132"/>
      <c r="E1023" s="132"/>
      <c r="F1023" s="132"/>
      <c r="G1023" s="132"/>
      <c r="H1023" s="132"/>
      <c r="I1023" s="132"/>
      <c r="J1023" s="132"/>
      <c r="K1023" s="132"/>
      <c r="L1023" s="132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</row>
    <row r="1024" spans="1:31" ht="15.75" customHeight="1">
      <c r="A1024" s="132"/>
      <c r="B1024" s="132"/>
      <c r="C1024" s="132"/>
      <c r="D1024" s="132"/>
      <c r="E1024" s="132"/>
      <c r="F1024" s="132"/>
      <c r="G1024" s="132"/>
      <c r="H1024" s="132"/>
      <c r="I1024" s="132"/>
      <c r="J1024" s="132"/>
      <c r="K1024" s="132"/>
      <c r="L1024" s="132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</row>
    <row r="1025" spans="1:31" ht="15.75" customHeight="1">
      <c r="A1025" s="132"/>
      <c r="B1025" s="132"/>
      <c r="C1025" s="132"/>
      <c r="D1025" s="132"/>
      <c r="E1025" s="132"/>
      <c r="F1025" s="132"/>
      <c r="G1025" s="132"/>
      <c r="H1025" s="132"/>
      <c r="I1025" s="132"/>
      <c r="J1025" s="132"/>
      <c r="K1025" s="132"/>
      <c r="L1025" s="132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</row>
    <row r="1026" spans="1:31" ht="15.75" customHeight="1">
      <c r="A1026" s="132"/>
      <c r="B1026" s="132"/>
      <c r="C1026" s="132"/>
      <c r="D1026" s="132"/>
      <c r="E1026" s="132"/>
      <c r="F1026" s="132"/>
      <c r="G1026" s="132"/>
      <c r="H1026" s="132"/>
      <c r="I1026" s="132"/>
      <c r="J1026" s="132"/>
      <c r="K1026" s="132"/>
      <c r="L1026" s="132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</row>
    <row r="1027" spans="1:31" ht="15.75" customHeight="1">
      <c r="A1027" s="132"/>
      <c r="B1027" s="132"/>
      <c r="C1027" s="132"/>
      <c r="D1027" s="132"/>
      <c r="E1027" s="132"/>
      <c r="F1027" s="132"/>
      <c r="G1027" s="132"/>
      <c r="H1027" s="132"/>
      <c r="I1027" s="132"/>
      <c r="J1027" s="132"/>
      <c r="K1027" s="132"/>
      <c r="L1027" s="132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</row>
    <row r="1028" spans="1:31" ht="15.75" customHeight="1">
      <c r="A1028" s="132"/>
      <c r="B1028" s="132"/>
      <c r="C1028" s="132"/>
      <c r="D1028" s="132"/>
      <c r="E1028" s="132"/>
      <c r="F1028" s="132"/>
      <c r="G1028" s="132"/>
      <c r="H1028" s="132"/>
      <c r="I1028" s="132"/>
      <c r="J1028" s="132"/>
      <c r="K1028" s="132"/>
      <c r="L1028" s="132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</row>
    <row r="1029" spans="1:31" ht="15.75" customHeight="1">
      <c r="A1029" s="132"/>
      <c r="B1029" s="132"/>
      <c r="C1029" s="132"/>
      <c r="D1029" s="132"/>
      <c r="E1029" s="132"/>
      <c r="F1029" s="132"/>
      <c r="G1029" s="132"/>
      <c r="H1029" s="132"/>
      <c r="I1029" s="132"/>
      <c r="J1029" s="132"/>
      <c r="K1029" s="132"/>
      <c r="L1029" s="132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</row>
    <row r="1030" spans="1:31" ht="15.75" customHeight="1">
      <c r="A1030" s="132"/>
      <c r="B1030" s="132"/>
      <c r="C1030" s="132"/>
      <c r="D1030" s="132"/>
      <c r="E1030" s="132"/>
      <c r="F1030" s="132"/>
      <c r="G1030" s="132"/>
      <c r="H1030" s="132"/>
      <c r="I1030" s="132"/>
      <c r="J1030" s="132"/>
      <c r="K1030" s="132"/>
      <c r="L1030" s="132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</row>
    <row r="1031" spans="1:31" ht="15.75" customHeight="1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</row>
    <row r="1032" spans="1:31" ht="15.75" customHeight="1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</row>
    <row r="1033" spans="1:31" ht="15.75" customHeight="1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</row>
    <row r="1034" spans="1:31" ht="15.75" customHeight="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</row>
    <row r="1035" spans="1:31" ht="15.75" customHeight="1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</row>
    <row r="1036" spans="1:31" ht="15.75" customHeight="1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</row>
    <row r="1037" spans="1:31" ht="20.25" customHeight="1" thickBot="1">
      <c r="A1037" s="140" t="s">
        <v>25</v>
      </c>
      <c r="B1037" s="140"/>
      <c r="C1037" s="140"/>
      <c r="D1037" s="140"/>
      <c r="E1037" s="140"/>
      <c r="F1037" s="4"/>
      <c r="G1037" s="5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1"/>
      <c r="Z1037" s="1"/>
      <c r="AA1037" s="1"/>
      <c r="AB1037" s="1"/>
      <c r="AC1037" s="1"/>
      <c r="AD1037" s="1"/>
      <c r="AE1037" s="1"/>
    </row>
    <row r="1038" spans="1:31" ht="15.75" customHeight="1">
      <c r="A1038" s="1"/>
      <c r="B1038" s="1"/>
      <c r="C1038" s="1"/>
      <c r="D1038" s="1"/>
      <c r="E1038" s="1"/>
      <c r="F1038" s="1"/>
      <c r="H1038" s="25"/>
      <c r="I1038" s="25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</row>
    <row r="1039" spans="1:31" ht="15.75" customHeight="1">
      <c r="A1039" s="142" t="s">
        <v>83</v>
      </c>
      <c r="B1039" s="142"/>
      <c r="C1039" s="142"/>
      <c r="D1039" s="25"/>
      <c r="E1039" s="25"/>
      <c r="F1039" s="1"/>
      <c r="P1039" s="1"/>
    </row>
    <row r="1040" spans="1:31" ht="15.75" customHeight="1">
      <c r="A1040" s="139" t="s">
        <v>84</v>
      </c>
      <c r="B1040" s="139"/>
      <c r="C1040" s="139"/>
      <c r="D1040" s="25"/>
      <c r="E1040" s="25"/>
      <c r="F1040" s="1"/>
      <c r="P1040" s="1"/>
    </row>
    <row r="1041" spans="1:44" ht="16.5" customHeight="1">
      <c r="A1041" s="147" t="s">
        <v>85</v>
      </c>
      <c r="B1041" s="147"/>
      <c r="C1041" s="147"/>
      <c r="D1041" s="25"/>
      <c r="E1041" s="25"/>
      <c r="F1041" s="1"/>
      <c r="P1041" s="1"/>
    </row>
    <row r="1042" spans="1:44" ht="15.75" customHeight="1">
      <c r="A1042" s="1"/>
      <c r="B1042" s="1"/>
      <c r="C1042" s="1"/>
      <c r="D1042" s="1"/>
      <c r="E1042" s="1"/>
      <c r="F1042" s="1"/>
      <c r="H1042" s="25"/>
      <c r="I1042" s="25"/>
      <c r="P1042" s="1"/>
    </row>
    <row r="1043" spans="1:44" ht="15.75" customHeight="1">
      <c r="A1043" s="148" t="s">
        <v>89</v>
      </c>
      <c r="B1043" s="148"/>
      <c r="C1043" s="148"/>
      <c r="D1043" s="148"/>
      <c r="E1043" s="148"/>
      <c r="F1043" s="148"/>
      <c r="G1043" s="148"/>
      <c r="H1043" s="148"/>
      <c r="I1043" s="148"/>
      <c r="J1043" s="148"/>
      <c r="K1043" s="148"/>
      <c r="L1043" s="148"/>
      <c r="O1043" s="149" t="s">
        <v>90</v>
      </c>
      <c r="P1043" s="149"/>
      <c r="Q1043" s="149"/>
      <c r="R1043" s="149"/>
      <c r="S1043" s="149"/>
      <c r="T1043" s="149"/>
      <c r="U1043" s="149"/>
      <c r="V1043" s="149"/>
      <c r="W1043" s="149"/>
      <c r="X1043" s="149"/>
      <c r="Y1043" s="149"/>
      <c r="Z1043" s="149"/>
      <c r="AA1043" s="149"/>
      <c r="AB1043" s="149"/>
      <c r="AC1043" s="149"/>
      <c r="AD1043" s="149"/>
    </row>
    <row r="1044" spans="1:44" ht="15.75" customHeight="1">
      <c r="A1044" s="148"/>
      <c r="B1044" s="148"/>
      <c r="C1044" s="148"/>
      <c r="D1044" s="148"/>
      <c r="E1044" s="148"/>
      <c r="F1044" s="148"/>
      <c r="G1044" s="148"/>
      <c r="H1044" s="148"/>
      <c r="I1044" s="148"/>
      <c r="J1044" s="148"/>
      <c r="K1044" s="148"/>
      <c r="L1044" s="148"/>
      <c r="O1044" s="149"/>
      <c r="P1044" s="149"/>
      <c r="Q1044" s="149"/>
      <c r="R1044" s="149"/>
      <c r="S1044" s="149"/>
      <c r="T1044" s="149"/>
      <c r="U1044" s="149"/>
      <c r="V1044" s="149"/>
      <c r="W1044" s="149"/>
      <c r="X1044" s="149"/>
      <c r="Y1044" s="149"/>
      <c r="Z1044" s="149"/>
      <c r="AA1044" s="149"/>
      <c r="AB1044" s="149"/>
      <c r="AC1044" s="149"/>
      <c r="AD1044" s="149"/>
    </row>
    <row r="1045" spans="1:44" ht="15.75" customHeight="1"/>
    <row r="1046" spans="1:44" ht="15.75" customHeight="1">
      <c r="A1046" s="138" t="s">
        <v>121</v>
      </c>
      <c r="B1046" s="138"/>
      <c r="C1046" s="138"/>
      <c r="D1046" s="38" t="s">
        <v>92</v>
      </c>
      <c r="E1046" s="38" t="s">
        <v>94</v>
      </c>
      <c r="F1046" s="38" t="s">
        <v>122</v>
      </c>
      <c r="G1046" s="38" t="s">
        <v>123</v>
      </c>
      <c r="O1046" s="138" t="s">
        <v>121</v>
      </c>
      <c r="P1046" s="138"/>
      <c r="Q1046" s="138"/>
      <c r="R1046" s="38" t="s">
        <v>92</v>
      </c>
      <c r="S1046" s="38" t="s">
        <v>94</v>
      </c>
      <c r="T1046" s="38" t="s">
        <v>122</v>
      </c>
      <c r="U1046" s="38" t="s">
        <v>123</v>
      </c>
    </row>
    <row r="1047" spans="1:44" ht="15.75" customHeight="1">
      <c r="A1047" s="138" t="s">
        <v>92</v>
      </c>
      <c r="B1047" s="138"/>
      <c r="C1047" s="138"/>
      <c r="D1047" s="34"/>
      <c r="E1047" s="34"/>
      <c r="F1047" s="34"/>
      <c r="G1047" s="34"/>
      <c r="O1047" s="138" t="s">
        <v>92</v>
      </c>
      <c r="P1047" s="138"/>
      <c r="Q1047" s="138"/>
      <c r="R1047" s="34"/>
      <c r="S1047" s="34"/>
      <c r="T1047" s="34"/>
      <c r="U1047" s="34"/>
    </row>
    <row r="1048" spans="1:44" ht="15.75" customHeight="1">
      <c r="A1048" s="138" t="s">
        <v>93</v>
      </c>
      <c r="B1048" s="138"/>
      <c r="C1048" s="138"/>
      <c r="D1048" s="34"/>
      <c r="E1048" s="34"/>
      <c r="F1048" s="34"/>
      <c r="G1048" s="34"/>
      <c r="O1048" s="138" t="s">
        <v>93</v>
      </c>
      <c r="P1048" s="138"/>
      <c r="Q1048" s="138"/>
      <c r="R1048" s="34"/>
      <c r="S1048" s="34"/>
      <c r="T1048" s="34"/>
      <c r="U1048" s="34"/>
    </row>
    <row r="1049" spans="1:44" ht="15.75" customHeight="1">
      <c r="A1049" s="138" t="s">
        <v>113</v>
      </c>
      <c r="B1049" s="138"/>
      <c r="C1049" s="138"/>
      <c r="D1049" s="34"/>
      <c r="E1049" s="34"/>
      <c r="F1049" s="34"/>
      <c r="G1049" s="34"/>
      <c r="O1049" s="138" t="s">
        <v>113</v>
      </c>
      <c r="P1049" s="138"/>
      <c r="Q1049" s="138"/>
      <c r="R1049" s="34"/>
      <c r="S1049" s="34"/>
      <c r="T1049" s="34"/>
      <c r="U1049" s="34"/>
    </row>
    <row r="1050" spans="1:44" ht="15.75" customHeight="1"/>
    <row r="1051" spans="1:44" ht="15.75" customHeight="1"/>
    <row r="1052" spans="1:44" ht="15.75" customHeight="1">
      <c r="A1052" s="1"/>
      <c r="B1052" s="1"/>
      <c r="C1052" s="1"/>
      <c r="D1052" s="1"/>
      <c r="E1052" s="1"/>
      <c r="F1052" s="1"/>
      <c r="H1052" s="25"/>
      <c r="I1052" s="25"/>
      <c r="P1052" s="1"/>
    </row>
    <row r="1053" spans="1:44" s="31" customFormat="1" ht="16.5" customHeight="1">
      <c r="A1053" s="131" t="s">
        <v>46</v>
      </c>
      <c r="B1053" s="131"/>
      <c r="C1053" s="131"/>
      <c r="D1053" s="131"/>
      <c r="E1053" s="30"/>
      <c r="F1053" s="30"/>
      <c r="G1053" s="30"/>
      <c r="H1053" s="30"/>
      <c r="I1053" s="30"/>
      <c r="O1053" s="131" t="s">
        <v>46</v>
      </c>
      <c r="P1053" s="131"/>
      <c r="Q1053" s="131"/>
      <c r="R1053" s="131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</row>
    <row r="1054" spans="1:44" ht="15.75" customHeight="1">
      <c r="A1054" s="1"/>
      <c r="B1054" s="1"/>
      <c r="C1054" s="1"/>
      <c r="D1054" s="1"/>
      <c r="E1054" s="1"/>
      <c r="F1054" s="1"/>
      <c r="G1054" s="1"/>
      <c r="H1054" s="1"/>
      <c r="I1054" s="1"/>
      <c r="P1054" s="1"/>
    </row>
    <row r="1055" spans="1:44" ht="15.75" customHeight="1">
      <c r="A1055" s="132"/>
      <c r="B1055" s="132"/>
      <c r="C1055" s="132"/>
      <c r="D1055" s="132"/>
      <c r="E1055" s="132"/>
      <c r="F1055" s="132"/>
      <c r="G1055" s="132"/>
      <c r="H1055" s="132"/>
      <c r="I1055" s="132"/>
      <c r="J1055" s="132"/>
      <c r="K1055" s="132"/>
      <c r="L1055" s="132"/>
      <c r="O1055" s="132"/>
      <c r="P1055" s="132"/>
      <c r="Q1055" s="132"/>
      <c r="R1055" s="132"/>
      <c r="S1055" s="132"/>
      <c r="T1055" s="132"/>
      <c r="U1055" s="132"/>
      <c r="V1055" s="132"/>
      <c r="W1055" s="132"/>
      <c r="X1055" s="132"/>
      <c r="Y1055" s="132"/>
      <c r="Z1055" s="132"/>
      <c r="AA1055" s="132"/>
      <c r="AB1055" s="132"/>
      <c r="AC1055" s="132"/>
      <c r="AD1055" s="132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31"/>
      <c r="AQ1055" s="31"/>
      <c r="AR1055" s="31"/>
    </row>
    <row r="1056" spans="1:44" ht="15.75" customHeight="1">
      <c r="A1056" s="132"/>
      <c r="B1056" s="132"/>
      <c r="C1056" s="132"/>
      <c r="D1056" s="132"/>
      <c r="E1056" s="132"/>
      <c r="F1056" s="132"/>
      <c r="G1056" s="132"/>
      <c r="H1056" s="132"/>
      <c r="I1056" s="132"/>
      <c r="J1056" s="132"/>
      <c r="K1056" s="132"/>
      <c r="L1056" s="132"/>
      <c r="O1056" s="132"/>
      <c r="P1056" s="132"/>
      <c r="Q1056" s="132"/>
      <c r="R1056" s="132"/>
      <c r="S1056" s="132"/>
      <c r="T1056" s="132"/>
      <c r="U1056" s="132"/>
      <c r="V1056" s="132"/>
      <c r="W1056" s="132"/>
      <c r="X1056" s="132"/>
      <c r="Y1056" s="132"/>
      <c r="Z1056" s="132"/>
      <c r="AA1056" s="132"/>
      <c r="AB1056" s="132"/>
      <c r="AC1056" s="132"/>
      <c r="AD1056" s="132"/>
    </row>
    <row r="1057" spans="1:30" ht="15.75" customHeight="1">
      <c r="A1057" s="132"/>
      <c r="B1057" s="132"/>
      <c r="C1057" s="132"/>
      <c r="D1057" s="132"/>
      <c r="E1057" s="132"/>
      <c r="F1057" s="132"/>
      <c r="G1057" s="132"/>
      <c r="H1057" s="132"/>
      <c r="I1057" s="132"/>
      <c r="J1057" s="132"/>
      <c r="K1057" s="132"/>
      <c r="L1057" s="132"/>
      <c r="O1057" s="132"/>
      <c r="P1057" s="132"/>
      <c r="Q1057" s="132"/>
      <c r="R1057" s="132"/>
      <c r="S1057" s="132"/>
      <c r="T1057" s="132"/>
      <c r="U1057" s="132"/>
      <c r="V1057" s="132"/>
      <c r="W1057" s="132"/>
      <c r="X1057" s="132"/>
      <c r="Y1057" s="132"/>
      <c r="Z1057" s="132"/>
      <c r="AA1057" s="132"/>
      <c r="AB1057" s="132"/>
      <c r="AC1057" s="132"/>
      <c r="AD1057" s="132"/>
    </row>
    <row r="1058" spans="1:30" ht="15.75" customHeight="1">
      <c r="A1058" s="132"/>
      <c r="B1058" s="132"/>
      <c r="C1058" s="132"/>
      <c r="D1058" s="132"/>
      <c r="E1058" s="132"/>
      <c r="F1058" s="132"/>
      <c r="G1058" s="132"/>
      <c r="H1058" s="132"/>
      <c r="I1058" s="132"/>
      <c r="J1058" s="132"/>
      <c r="K1058" s="132"/>
      <c r="L1058" s="132"/>
      <c r="O1058" s="132"/>
      <c r="P1058" s="132"/>
      <c r="Q1058" s="132"/>
      <c r="R1058" s="132"/>
      <c r="S1058" s="132"/>
      <c r="T1058" s="132"/>
      <c r="U1058" s="132"/>
      <c r="V1058" s="132"/>
      <c r="W1058" s="132"/>
      <c r="X1058" s="132"/>
      <c r="Y1058" s="132"/>
      <c r="Z1058" s="132"/>
      <c r="AA1058" s="132"/>
      <c r="AB1058" s="132"/>
      <c r="AC1058" s="132"/>
      <c r="AD1058" s="132"/>
    </row>
    <row r="1059" spans="1:30" ht="15.75" customHeight="1">
      <c r="A1059" s="132"/>
      <c r="B1059" s="132"/>
      <c r="C1059" s="132"/>
      <c r="D1059" s="132"/>
      <c r="E1059" s="132"/>
      <c r="F1059" s="132"/>
      <c r="G1059" s="132"/>
      <c r="H1059" s="132"/>
      <c r="I1059" s="132"/>
      <c r="J1059" s="132"/>
      <c r="K1059" s="132"/>
      <c r="L1059" s="132"/>
      <c r="O1059" s="132"/>
      <c r="P1059" s="132"/>
      <c r="Q1059" s="132"/>
      <c r="R1059" s="132"/>
      <c r="S1059" s="132"/>
      <c r="T1059" s="132"/>
      <c r="U1059" s="132"/>
      <c r="V1059" s="132"/>
      <c r="W1059" s="132"/>
      <c r="X1059" s="132"/>
      <c r="Y1059" s="132"/>
      <c r="Z1059" s="132"/>
      <c r="AA1059" s="132"/>
      <c r="AB1059" s="132"/>
      <c r="AC1059" s="132"/>
      <c r="AD1059" s="132"/>
    </row>
    <row r="1060" spans="1:30" ht="15.75" customHeight="1">
      <c r="A1060" s="132"/>
      <c r="B1060" s="132"/>
      <c r="C1060" s="132"/>
      <c r="D1060" s="132"/>
      <c r="E1060" s="132"/>
      <c r="F1060" s="132"/>
      <c r="G1060" s="132"/>
      <c r="H1060" s="132"/>
      <c r="I1060" s="132"/>
      <c r="J1060" s="132"/>
      <c r="K1060" s="132"/>
      <c r="L1060" s="132"/>
      <c r="O1060" s="132"/>
      <c r="P1060" s="132"/>
      <c r="Q1060" s="132"/>
      <c r="R1060" s="132"/>
      <c r="S1060" s="132"/>
      <c r="T1060" s="132"/>
      <c r="U1060" s="132"/>
      <c r="V1060" s="132"/>
      <c r="W1060" s="132"/>
      <c r="X1060" s="132"/>
      <c r="Y1060" s="132"/>
      <c r="Z1060" s="132"/>
      <c r="AA1060" s="132"/>
      <c r="AB1060" s="132"/>
      <c r="AC1060" s="132"/>
      <c r="AD1060" s="132"/>
    </row>
    <row r="1061" spans="1:30" ht="15.75" customHeight="1">
      <c r="A1061" s="132"/>
      <c r="B1061" s="132"/>
      <c r="C1061" s="132"/>
      <c r="D1061" s="132"/>
      <c r="E1061" s="132"/>
      <c r="F1061" s="132"/>
      <c r="G1061" s="132"/>
      <c r="H1061" s="132"/>
      <c r="I1061" s="132"/>
      <c r="J1061" s="132"/>
      <c r="K1061" s="132"/>
      <c r="L1061" s="132"/>
      <c r="O1061" s="132"/>
      <c r="P1061" s="132"/>
      <c r="Q1061" s="132"/>
      <c r="R1061" s="132"/>
      <c r="S1061" s="132"/>
      <c r="T1061" s="132"/>
      <c r="U1061" s="132"/>
      <c r="V1061" s="132"/>
      <c r="W1061" s="132"/>
      <c r="X1061" s="132"/>
      <c r="Y1061" s="132"/>
      <c r="Z1061" s="132"/>
      <c r="AA1061" s="132"/>
      <c r="AB1061" s="132"/>
      <c r="AC1061" s="132"/>
      <c r="AD1061" s="132"/>
    </row>
    <row r="1062" spans="1:30" ht="15.75" customHeight="1">
      <c r="A1062" s="132"/>
      <c r="B1062" s="132"/>
      <c r="C1062" s="132"/>
      <c r="D1062" s="132"/>
      <c r="E1062" s="132"/>
      <c r="F1062" s="132"/>
      <c r="G1062" s="132"/>
      <c r="H1062" s="132"/>
      <c r="I1062" s="132"/>
      <c r="J1062" s="132"/>
      <c r="K1062" s="132"/>
      <c r="L1062" s="132"/>
      <c r="O1062" s="132"/>
      <c r="P1062" s="132"/>
      <c r="Q1062" s="132"/>
      <c r="R1062" s="132"/>
      <c r="S1062" s="132"/>
      <c r="T1062" s="132"/>
      <c r="U1062" s="132"/>
      <c r="V1062" s="132"/>
      <c r="W1062" s="132"/>
      <c r="X1062" s="132"/>
      <c r="Y1062" s="132"/>
      <c r="Z1062" s="132"/>
      <c r="AA1062" s="132"/>
      <c r="AB1062" s="132"/>
      <c r="AC1062" s="132"/>
      <c r="AD1062" s="132"/>
    </row>
    <row r="1063" spans="1:30" ht="15.75" customHeight="1">
      <c r="A1063" s="132"/>
      <c r="B1063" s="132"/>
      <c r="C1063" s="132"/>
      <c r="D1063" s="132"/>
      <c r="E1063" s="132"/>
      <c r="F1063" s="132"/>
      <c r="G1063" s="132"/>
      <c r="H1063" s="132"/>
      <c r="I1063" s="132"/>
      <c r="J1063" s="132"/>
      <c r="K1063" s="132"/>
      <c r="L1063" s="132"/>
      <c r="O1063" s="132"/>
      <c r="P1063" s="132"/>
      <c r="Q1063" s="132"/>
      <c r="R1063" s="132"/>
      <c r="S1063" s="132"/>
      <c r="T1063" s="132"/>
      <c r="U1063" s="132"/>
      <c r="V1063" s="132"/>
      <c r="W1063" s="132"/>
      <c r="X1063" s="132"/>
      <c r="Y1063" s="132"/>
      <c r="Z1063" s="132"/>
      <c r="AA1063" s="132"/>
      <c r="AB1063" s="132"/>
      <c r="AC1063" s="132"/>
      <c r="AD1063" s="132"/>
    </row>
    <row r="1064" spans="1:30" ht="15.75" customHeight="1">
      <c r="A1064" s="132"/>
      <c r="B1064" s="132"/>
      <c r="C1064" s="132"/>
      <c r="D1064" s="132"/>
      <c r="E1064" s="132"/>
      <c r="F1064" s="132"/>
      <c r="G1064" s="132"/>
      <c r="H1064" s="132"/>
      <c r="I1064" s="132"/>
      <c r="J1064" s="132"/>
      <c r="K1064" s="132"/>
      <c r="L1064" s="132"/>
      <c r="O1064" s="132"/>
      <c r="P1064" s="132"/>
      <c r="Q1064" s="132"/>
      <c r="R1064" s="132"/>
      <c r="S1064" s="132"/>
      <c r="T1064" s="132"/>
      <c r="U1064" s="132"/>
      <c r="V1064" s="132"/>
      <c r="W1064" s="132"/>
      <c r="X1064" s="132"/>
      <c r="Y1064" s="132"/>
      <c r="Z1064" s="132"/>
      <c r="AA1064" s="132"/>
      <c r="AB1064" s="132"/>
      <c r="AC1064" s="132"/>
      <c r="AD1064" s="132"/>
    </row>
    <row r="1065" spans="1:30" ht="15.75" customHeight="1">
      <c r="A1065" s="132"/>
      <c r="B1065" s="132"/>
      <c r="C1065" s="132"/>
      <c r="D1065" s="132"/>
      <c r="E1065" s="132"/>
      <c r="F1065" s="132"/>
      <c r="G1065" s="132"/>
      <c r="H1065" s="132"/>
      <c r="I1065" s="132"/>
      <c r="J1065" s="132"/>
      <c r="K1065" s="132"/>
      <c r="L1065" s="132"/>
      <c r="O1065" s="132"/>
      <c r="P1065" s="132"/>
      <c r="Q1065" s="132"/>
      <c r="R1065" s="132"/>
      <c r="S1065" s="132"/>
      <c r="T1065" s="132"/>
      <c r="U1065" s="132"/>
      <c r="V1065" s="132"/>
      <c r="W1065" s="132"/>
      <c r="X1065" s="132"/>
      <c r="Y1065" s="132"/>
      <c r="Z1065" s="132"/>
      <c r="AA1065" s="132"/>
      <c r="AB1065" s="132"/>
      <c r="AC1065" s="132"/>
      <c r="AD1065" s="132"/>
    </row>
    <row r="1066" spans="1:30" ht="15.75" customHeight="1">
      <c r="A1066" s="132"/>
      <c r="B1066" s="132"/>
      <c r="C1066" s="132"/>
      <c r="D1066" s="132"/>
      <c r="E1066" s="132"/>
      <c r="F1066" s="132"/>
      <c r="G1066" s="132"/>
      <c r="H1066" s="132"/>
      <c r="I1066" s="132"/>
      <c r="J1066" s="132"/>
      <c r="K1066" s="132"/>
      <c r="L1066" s="132"/>
      <c r="O1066" s="132"/>
      <c r="P1066" s="132"/>
      <c r="Q1066" s="132"/>
      <c r="R1066" s="132"/>
      <c r="S1066" s="132"/>
      <c r="T1066" s="132"/>
      <c r="U1066" s="132"/>
      <c r="V1066" s="132"/>
      <c r="W1066" s="132"/>
      <c r="X1066" s="132"/>
      <c r="Y1066" s="132"/>
      <c r="Z1066" s="132"/>
      <c r="AA1066" s="132"/>
      <c r="AB1066" s="132"/>
      <c r="AC1066" s="132"/>
      <c r="AD1066" s="132"/>
    </row>
    <row r="1067" spans="1:30" ht="15.75" customHeight="1">
      <c r="A1067" s="132"/>
      <c r="B1067" s="132"/>
      <c r="C1067" s="132"/>
      <c r="D1067" s="132"/>
      <c r="E1067" s="132"/>
      <c r="F1067" s="132"/>
      <c r="G1067" s="132"/>
      <c r="H1067" s="132"/>
      <c r="I1067" s="132"/>
      <c r="J1067" s="132"/>
      <c r="K1067" s="132"/>
      <c r="L1067" s="132"/>
      <c r="O1067" s="132"/>
      <c r="P1067" s="132"/>
      <c r="Q1067" s="132"/>
      <c r="R1067" s="132"/>
      <c r="S1067" s="132"/>
      <c r="T1067" s="132"/>
      <c r="U1067" s="132"/>
      <c r="V1067" s="132"/>
      <c r="W1067" s="132"/>
      <c r="X1067" s="132"/>
      <c r="Y1067" s="132"/>
      <c r="Z1067" s="132"/>
      <c r="AA1067" s="132"/>
      <c r="AB1067" s="132"/>
      <c r="AC1067" s="132"/>
      <c r="AD1067" s="132"/>
    </row>
    <row r="1068" spans="1:30" ht="15.75" customHeight="1">
      <c r="A1068" s="132"/>
      <c r="B1068" s="132"/>
      <c r="C1068" s="132"/>
      <c r="D1068" s="132"/>
      <c r="E1068" s="132"/>
      <c r="F1068" s="132"/>
      <c r="G1068" s="132"/>
      <c r="H1068" s="132"/>
      <c r="I1068" s="132"/>
      <c r="J1068" s="132"/>
      <c r="K1068" s="132"/>
      <c r="L1068" s="132"/>
      <c r="O1068" s="132"/>
      <c r="P1068" s="132"/>
      <c r="Q1068" s="132"/>
      <c r="R1068" s="132"/>
      <c r="S1068" s="132"/>
      <c r="T1068" s="132"/>
      <c r="U1068" s="132"/>
      <c r="V1068" s="132"/>
      <c r="W1068" s="132"/>
      <c r="X1068" s="132"/>
      <c r="Y1068" s="132"/>
      <c r="Z1068" s="132"/>
      <c r="AA1068" s="132"/>
      <c r="AB1068" s="132"/>
      <c r="AC1068" s="132"/>
      <c r="AD1068" s="132"/>
    </row>
    <row r="1069" spans="1:30" ht="15.75" customHeight="1">
      <c r="A1069" s="132"/>
      <c r="B1069" s="132"/>
      <c r="C1069" s="132"/>
      <c r="D1069" s="132"/>
      <c r="E1069" s="132"/>
      <c r="F1069" s="132"/>
      <c r="G1069" s="132"/>
      <c r="H1069" s="132"/>
      <c r="I1069" s="132"/>
      <c r="J1069" s="132"/>
      <c r="K1069" s="132"/>
      <c r="L1069" s="132"/>
      <c r="O1069" s="132"/>
      <c r="P1069" s="132"/>
      <c r="Q1069" s="132"/>
      <c r="R1069" s="132"/>
      <c r="S1069" s="132"/>
      <c r="T1069" s="132"/>
      <c r="U1069" s="132"/>
      <c r="V1069" s="132"/>
      <c r="W1069" s="132"/>
      <c r="X1069" s="132"/>
      <c r="Y1069" s="132"/>
      <c r="Z1069" s="132"/>
      <c r="AA1069" s="132"/>
      <c r="AB1069" s="132"/>
      <c r="AC1069" s="132"/>
      <c r="AD1069" s="132"/>
    </row>
    <row r="1070" spans="1:30" ht="15.75" customHeight="1">
      <c r="A1070" s="132"/>
      <c r="B1070" s="132"/>
      <c r="C1070" s="132"/>
      <c r="D1070" s="132"/>
      <c r="E1070" s="132"/>
      <c r="F1070" s="132"/>
      <c r="G1070" s="132"/>
      <c r="H1070" s="132"/>
      <c r="I1070" s="132"/>
      <c r="J1070" s="132"/>
      <c r="K1070" s="132"/>
      <c r="L1070" s="132"/>
      <c r="O1070" s="132"/>
      <c r="P1070" s="132"/>
      <c r="Q1070" s="132"/>
      <c r="R1070" s="132"/>
      <c r="S1070" s="132"/>
      <c r="T1070" s="132"/>
      <c r="U1070" s="132"/>
      <c r="V1070" s="132"/>
      <c r="W1070" s="132"/>
      <c r="X1070" s="132"/>
      <c r="Y1070" s="132"/>
      <c r="Z1070" s="132"/>
      <c r="AA1070" s="132"/>
      <c r="AB1070" s="132"/>
      <c r="AC1070" s="132"/>
      <c r="AD1070" s="132"/>
    </row>
    <row r="1071" spans="1:30" ht="15.75" customHeight="1">
      <c r="A1071" s="132"/>
      <c r="B1071" s="132"/>
      <c r="C1071" s="132"/>
      <c r="D1071" s="132"/>
      <c r="E1071" s="132"/>
      <c r="F1071" s="132"/>
      <c r="G1071" s="132"/>
      <c r="H1071" s="132"/>
      <c r="I1071" s="132"/>
      <c r="J1071" s="132"/>
      <c r="K1071" s="132"/>
      <c r="L1071" s="132"/>
      <c r="O1071" s="132"/>
      <c r="P1071" s="132"/>
      <c r="Q1071" s="132"/>
      <c r="R1071" s="132"/>
      <c r="S1071" s="132"/>
      <c r="T1071" s="132"/>
      <c r="U1071" s="132"/>
      <c r="V1071" s="132"/>
      <c r="W1071" s="132"/>
      <c r="X1071" s="132"/>
      <c r="Y1071" s="132"/>
      <c r="Z1071" s="132"/>
      <c r="AA1071" s="132"/>
      <c r="AB1071" s="132"/>
      <c r="AC1071" s="132"/>
      <c r="AD1071" s="132"/>
    </row>
    <row r="1072" spans="1:30" ht="15.75" customHeight="1">
      <c r="A1072" s="132"/>
      <c r="B1072" s="132"/>
      <c r="C1072" s="132"/>
      <c r="D1072" s="132"/>
      <c r="E1072" s="132"/>
      <c r="F1072" s="132"/>
      <c r="G1072" s="132"/>
      <c r="H1072" s="132"/>
      <c r="I1072" s="132"/>
      <c r="J1072" s="132"/>
      <c r="K1072" s="132"/>
      <c r="L1072" s="132"/>
      <c r="O1072" s="132"/>
      <c r="P1072" s="132"/>
      <c r="Q1072" s="132"/>
      <c r="R1072" s="132"/>
      <c r="S1072" s="132"/>
      <c r="T1072" s="132"/>
      <c r="U1072" s="132"/>
      <c r="V1072" s="132"/>
      <c r="W1072" s="132"/>
      <c r="X1072" s="132"/>
      <c r="Y1072" s="132"/>
      <c r="Z1072" s="132"/>
      <c r="AA1072" s="132"/>
      <c r="AB1072" s="132"/>
      <c r="AC1072" s="132"/>
      <c r="AD1072" s="132"/>
    </row>
    <row r="1073" spans="1:30" ht="15.75" customHeight="1">
      <c r="A1073" s="132"/>
      <c r="B1073" s="132"/>
      <c r="C1073" s="132"/>
      <c r="D1073" s="132"/>
      <c r="E1073" s="132"/>
      <c r="F1073" s="132"/>
      <c r="G1073" s="132"/>
      <c r="H1073" s="132"/>
      <c r="I1073" s="132"/>
      <c r="J1073" s="132"/>
      <c r="K1073" s="132"/>
      <c r="L1073" s="132"/>
      <c r="O1073" s="132"/>
      <c r="P1073" s="132"/>
      <c r="Q1073" s="132"/>
      <c r="R1073" s="132"/>
      <c r="S1073" s="132"/>
      <c r="T1073" s="132"/>
      <c r="U1073" s="132"/>
      <c r="V1073" s="132"/>
      <c r="W1073" s="132"/>
      <c r="X1073" s="132"/>
      <c r="Y1073" s="132"/>
      <c r="Z1073" s="132"/>
      <c r="AA1073" s="132"/>
      <c r="AB1073" s="132"/>
      <c r="AC1073" s="132"/>
      <c r="AD1073" s="132"/>
    </row>
    <row r="1074" spans="1:30" ht="15.75" customHeight="1">
      <c r="A1074" s="132"/>
      <c r="B1074" s="132"/>
      <c r="C1074" s="132"/>
      <c r="D1074" s="132"/>
      <c r="E1074" s="132"/>
      <c r="F1074" s="132"/>
      <c r="G1074" s="132"/>
      <c r="H1074" s="132"/>
      <c r="I1074" s="132"/>
      <c r="J1074" s="132"/>
      <c r="K1074" s="132"/>
      <c r="L1074" s="132"/>
      <c r="O1074" s="132"/>
      <c r="P1074" s="132"/>
      <c r="Q1074" s="132"/>
      <c r="R1074" s="132"/>
      <c r="S1074" s="132"/>
      <c r="T1074" s="132"/>
      <c r="U1074" s="132"/>
      <c r="V1074" s="132"/>
      <c r="W1074" s="132"/>
      <c r="X1074" s="132"/>
      <c r="Y1074" s="132"/>
      <c r="Z1074" s="132"/>
      <c r="AA1074" s="132"/>
      <c r="AB1074" s="132"/>
      <c r="AC1074" s="132"/>
      <c r="AD1074" s="132"/>
    </row>
    <row r="1075" spans="1:30" ht="15.75" customHeight="1">
      <c r="A1075" s="132"/>
      <c r="B1075" s="132"/>
      <c r="C1075" s="132"/>
      <c r="D1075" s="132"/>
      <c r="E1075" s="132"/>
      <c r="F1075" s="132"/>
      <c r="G1075" s="132"/>
      <c r="H1075" s="132"/>
      <c r="I1075" s="132"/>
      <c r="J1075" s="132"/>
      <c r="K1075" s="132"/>
      <c r="L1075" s="132"/>
      <c r="O1075" s="132"/>
      <c r="P1075" s="132"/>
      <c r="Q1075" s="132"/>
      <c r="R1075" s="132"/>
      <c r="S1075" s="132"/>
      <c r="T1075" s="132"/>
      <c r="U1075" s="132"/>
      <c r="V1075" s="132"/>
      <c r="W1075" s="132"/>
      <c r="X1075" s="132"/>
      <c r="Y1075" s="132"/>
      <c r="Z1075" s="132"/>
      <c r="AA1075" s="132"/>
      <c r="AB1075" s="132"/>
      <c r="AC1075" s="132"/>
      <c r="AD1075" s="132"/>
    </row>
    <row r="1076" spans="1:30" ht="15.75" customHeight="1">
      <c r="A1076" s="132"/>
      <c r="B1076" s="132"/>
      <c r="C1076" s="132"/>
      <c r="D1076" s="132"/>
      <c r="E1076" s="132"/>
      <c r="F1076" s="132"/>
      <c r="G1076" s="132"/>
      <c r="H1076" s="132"/>
      <c r="I1076" s="132"/>
      <c r="J1076" s="132"/>
      <c r="K1076" s="132"/>
      <c r="L1076" s="132"/>
      <c r="O1076" s="132"/>
      <c r="P1076" s="132"/>
      <c r="Q1076" s="132"/>
      <c r="R1076" s="132"/>
      <c r="S1076" s="132"/>
      <c r="T1076" s="132"/>
      <c r="U1076" s="132"/>
      <c r="V1076" s="132"/>
      <c r="W1076" s="132"/>
      <c r="X1076" s="132"/>
      <c r="Y1076" s="132"/>
      <c r="Z1076" s="132"/>
      <c r="AA1076" s="132"/>
      <c r="AB1076" s="132"/>
      <c r="AC1076" s="132"/>
      <c r="AD1076" s="132"/>
    </row>
    <row r="1077" spans="1:30" ht="15.75" customHeight="1">
      <c r="A1077" s="132"/>
      <c r="B1077" s="132"/>
      <c r="C1077" s="132"/>
      <c r="D1077" s="132"/>
      <c r="E1077" s="132"/>
      <c r="F1077" s="132"/>
      <c r="G1077" s="132"/>
      <c r="H1077" s="132"/>
      <c r="I1077" s="132"/>
      <c r="J1077" s="132"/>
      <c r="K1077" s="132"/>
      <c r="L1077" s="132"/>
      <c r="O1077" s="132"/>
      <c r="P1077" s="132"/>
      <c r="Q1077" s="132"/>
      <c r="R1077" s="132"/>
      <c r="S1077" s="132"/>
      <c r="T1077" s="132"/>
      <c r="U1077" s="132"/>
      <c r="V1077" s="132"/>
      <c r="W1077" s="132"/>
      <c r="X1077" s="132"/>
      <c r="Y1077" s="132"/>
      <c r="Z1077" s="132"/>
      <c r="AA1077" s="132"/>
      <c r="AB1077" s="132"/>
      <c r="AC1077" s="132"/>
      <c r="AD1077" s="132"/>
    </row>
    <row r="1078" spans="1:30" ht="15.75" customHeight="1">
      <c r="A1078" s="132"/>
      <c r="B1078" s="132"/>
      <c r="C1078" s="132"/>
      <c r="D1078" s="132"/>
      <c r="E1078" s="132"/>
      <c r="F1078" s="132"/>
      <c r="G1078" s="132"/>
      <c r="H1078" s="132"/>
      <c r="I1078" s="132"/>
      <c r="J1078" s="132"/>
      <c r="K1078" s="132"/>
      <c r="L1078" s="132"/>
      <c r="O1078" s="132"/>
      <c r="P1078" s="132"/>
      <c r="Q1078" s="132"/>
      <c r="R1078" s="132"/>
      <c r="S1078" s="132"/>
      <c r="T1078" s="132"/>
      <c r="U1078" s="132"/>
      <c r="V1078" s="132"/>
      <c r="W1078" s="132"/>
      <c r="X1078" s="132"/>
      <c r="Y1078" s="132"/>
      <c r="Z1078" s="132"/>
      <c r="AA1078" s="132"/>
      <c r="AB1078" s="132"/>
      <c r="AC1078" s="132"/>
      <c r="AD1078" s="132"/>
    </row>
    <row r="1079" spans="1:30" ht="15.75" customHeight="1">
      <c r="A1079" s="132"/>
      <c r="B1079" s="132"/>
      <c r="C1079" s="132"/>
      <c r="D1079" s="132"/>
      <c r="E1079" s="132"/>
      <c r="F1079" s="132"/>
      <c r="G1079" s="132"/>
      <c r="H1079" s="132"/>
      <c r="I1079" s="132"/>
      <c r="J1079" s="132"/>
      <c r="K1079" s="132"/>
      <c r="L1079" s="132"/>
      <c r="O1079" s="132"/>
      <c r="P1079" s="132"/>
      <c r="Q1079" s="132"/>
      <c r="R1079" s="132"/>
      <c r="S1079" s="132"/>
      <c r="T1079" s="132"/>
      <c r="U1079" s="132"/>
      <c r="V1079" s="132"/>
      <c r="W1079" s="132"/>
      <c r="X1079" s="132"/>
      <c r="Y1079" s="132"/>
      <c r="Z1079" s="132"/>
      <c r="AA1079" s="132"/>
      <c r="AB1079" s="132"/>
      <c r="AC1079" s="132"/>
      <c r="AD1079" s="132"/>
    </row>
    <row r="1080" spans="1:30" ht="15.75" customHeight="1">
      <c r="A1080" s="132"/>
      <c r="B1080" s="132"/>
      <c r="C1080" s="132"/>
      <c r="D1080" s="132"/>
      <c r="E1080" s="132"/>
      <c r="F1080" s="132"/>
      <c r="G1080" s="132"/>
      <c r="H1080" s="132"/>
      <c r="I1080" s="132"/>
      <c r="J1080" s="132"/>
      <c r="K1080" s="132"/>
      <c r="L1080" s="132"/>
      <c r="O1080" s="132"/>
      <c r="P1080" s="132"/>
      <c r="Q1080" s="132"/>
      <c r="R1080" s="132"/>
      <c r="S1080" s="132"/>
      <c r="T1080" s="132"/>
      <c r="U1080" s="132"/>
      <c r="V1080" s="132"/>
      <c r="W1080" s="132"/>
      <c r="X1080" s="132"/>
      <c r="Y1080" s="132"/>
      <c r="Z1080" s="132"/>
      <c r="AA1080" s="132"/>
      <c r="AB1080" s="132"/>
      <c r="AC1080" s="132"/>
      <c r="AD1080" s="132"/>
    </row>
    <row r="1081" spans="1:30" ht="15.75" customHeight="1">
      <c r="A1081" s="132"/>
      <c r="B1081" s="132"/>
      <c r="C1081" s="132"/>
      <c r="D1081" s="132"/>
      <c r="E1081" s="132"/>
      <c r="F1081" s="132"/>
      <c r="G1081" s="132"/>
      <c r="H1081" s="132"/>
      <c r="I1081" s="132"/>
      <c r="J1081" s="132"/>
      <c r="K1081" s="132"/>
      <c r="L1081" s="132"/>
      <c r="O1081" s="132"/>
      <c r="P1081" s="132"/>
      <c r="Q1081" s="132"/>
      <c r="R1081" s="132"/>
      <c r="S1081" s="132"/>
      <c r="T1081" s="132"/>
      <c r="U1081" s="132"/>
      <c r="V1081" s="132"/>
      <c r="W1081" s="132"/>
      <c r="X1081" s="132"/>
      <c r="Y1081" s="132"/>
      <c r="Z1081" s="132"/>
      <c r="AA1081" s="132"/>
      <c r="AB1081" s="132"/>
      <c r="AC1081" s="132"/>
      <c r="AD1081" s="132"/>
    </row>
    <row r="1082" spans="1:30" ht="15.75" customHeight="1">
      <c r="A1082" s="132"/>
      <c r="B1082" s="132"/>
      <c r="C1082" s="132"/>
      <c r="D1082" s="132"/>
      <c r="E1082" s="132"/>
      <c r="F1082" s="132"/>
      <c r="G1082" s="132"/>
      <c r="H1082" s="132"/>
      <c r="I1082" s="132"/>
      <c r="J1082" s="132"/>
      <c r="K1082" s="132"/>
      <c r="L1082" s="132"/>
      <c r="O1082" s="132"/>
      <c r="P1082" s="132"/>
      <c r="Q1082" s="132"/>
      <c r="R1082" s="132"/>
      <c r="S1082" s="132"/>
      <c r="T1082" s="132"/>
      <c r="U1082" s="132"/>
      <c r="V1082" s="132"/>
      <c r="W1082" s="132"/>
      <c r="X1082" s="132"/>
      <c r="Y1082" s="132"/>
      <c r="Z1082" s="132"/>
      <c r="AA1082" s="132"/>
      <c r="AB1082" s="132"/>
      <c r="AC1082" s="132"/>
      <c r="AD1082" s="132"/>
    </row>
    <row r="1083" spans="1:30" ht="15.75" customHeight="1">
      <c r="A1083" s="132"/>
      <c r="B1083" s="132"/>
      <c r="C1083" s="132"/>
      <c r="D1083" s="132"/>
      <c r="E1083" s="132"/>
      <c r="F1083" s="132"/>
      <c r="G1083" s="132"/>
      <c r="H1083" s="132"/>
      <c r="I1083" s="132"/>
      <c r="J1083" s="132"/>
      <c r="K1083" s="132"/>
      <c r="L1083" s="132"/>
      <c r="O1083" s="132"/>
      <c r="P1083" s="132"/>
      <c r="Q1083" s="132"/>
      <c r="R1083" s="132"/>
      <c r="S1083" s="132"/>
      <c r="T1083" s="132"/>
      <c r="U1083" s="132"/>
      <c r="V1083" s="132"/>
      <c r="W1083" s="132"/>
      <c r="X1083" s="132"/>
      <c r="Y1083" s="132"/>
      <c r="Z1083" s="132"/>
      <c r="AA1083" s="132"/>
      <c r="AB1083" s="132"/>
      <c r="AC1083" s="132"/>
      <c r="AD1083" s="132"/>
    </row>
    <row r="1084" spans="1:30" ht="15.75" customHeight="1">
      <c r="A1084" s="132"/>
      <c r="B1084" s="132"/>
      <c r="C1084" s="132"/>
      <c r="D1084" s="132"/>
      <c r="E1084" s="132"/>
      <c r="F1084" s="132"/>
      <c r="G1084" s="132"/>
      <c r="H1084" s="132"/>
      <c r="I1084" s="132"/>
      <c r="J1084" s="132"/>
      <c r="K1084" s="132"/>
      <c r="L1084" s="132"/>
      <c r="O1084" s="132"/>
      <c r="P1084" s="132"/>
      <c r="Q1084" s="132"/>
      <c r="R1084" s="132"/>
      <c r="S1084" s="132"/>
      <c r="T1084" s="132"/>
      <c r="U1084" s="132"/>
      <c r="V1084" s="132"/>
      <c r="W1084" s="132"/>
      <c r="X1084" s="132"/>
      <c r="Y1084" s="132"/>
      <c r="Z1084" s="132"/>
      <c r="AA1084" s="132"/>
      <c r="AB1084" s="132"/>
      <c r="AC1084" s="132"/>
      <c r="AD1084" s="132"/>
    </row>
    <row r="1085" spans="1:30" ht="15.75" customHeight="1">
      <c r="A1085" s="132"/>
      <c r="B1085" s="132"/>
      <c r="C1085" s="132"/>
      <c r="D1085" s="132"/>
      <c r="E1085" s="132"/>
      <c r="F1085" s="132"/>
      <c r="G1085" s="132"/>
      <c r="H1085" s="132"/>
      <c r="I1085" s="132"/>
      <c r="J1085" s="132"/>
      <c r="K1085" s="132"/>
      <c r="L1085" s="132"/>
      <c r="O1085" s="132"/>
      <c r="P1085" s="132"/>
      <c r="Q1085" s="132"/>
      <c r="R1085" s="132"/>
      <c r="S1085" s="132"/>
      <c r="T1085" s="132"/>
      <c r="U1085" s="132"/>
      <c r="V1085" s="132"/>
      <c r="W1085" s="132"/>
      <c r="X1085" s="132"/>
      <c r="Y1085" s="132"/>
      <c r="Z1085" s="132"/>
      <c r="AA1085" s="132"/>
      <c r="AB1085" s="132"/>
      <c r="AC1085" s="132"/>
      <c r="AD1085" s="132"/>
    </row>
    <row r="1086" spans="1:30" ht="15.75" customHeight="1">
      <c r="A1086" s="1"/>
      <c r="B1086" s="1"/>
      <c r="C1086" s="1"/>
      <c r="D1086" s="1"/>
      <c r="E1086" s="1"/>
      <c r="F1086" s="1"/>
      <c r="G1086" s="1"/>
      <c r="H1086" s="1"/>
      <c r="I1086" s="1"/>
      <c r="P1086" s="1"/>
    </row>
    <row r="1087" spans="1:30" ht="15.75" customHeight="1">
      <c r="A1087" s="1"/>
      <c r="B1087" s="1"/>
      <c r="C1087" s="1"/>
      <c r="D1087" s="1"/>
      <c r="E1087" s="1"/>
      <c r="F1087" s="1"/>
      <c r="G1087" s="1"/>
      <c r="H1087" s="1"/>
      <c r="I1087" s="1"/>
      <c r="P1087" s="1"/>
    </row>
    <row r="1088" spans="1:30" ht="15.75" customHeight="1">
      <c r="A1088" s="1"/>
      <c r="B1088" s="1"/>
      <c r="C1088" s="1"/>
      <c r="D1088" s="1"/>
      <c r="E1088" s="1"/>
      <c r="F1088" s="1"/>
      <c r="G1088" s="1"/>
      <c r="H1088" s="1"/>
      <c r="I1088" s="1"/>
      <c r="P1088" s="1"/>
    </row>
    <row r="1089" spans="1:31" ht="15.75" customHeight="1">
      <c r="A1089" s="1"/>
      <c r="B1089" s="1"/>
      <c r="C1089" s="1"/>
      <c r="D1089" s="1"/>
      <c r="E1089" s="1"/>
      <c r="F1089" s="1"/>
      <c r="G1089" s="1"/>
      <c r="H1089" s="1"/>
      <c r="I1089" s="1"/>
      <c r="P1089" s="1"/>
    </row>
    <row r="1090" spans="1:31" ht="15.75" customHeight="1">
      <c r="A1090" s="1"/>
      <c r="B1090" s="1"/>
      <c r="C1090" s="1"/>
      <c r="D1090" s="1"/>
      <c r="E1090" s="1"/>
      <c r="F1090" s="1"/>
      <c r="G1090" s="1"/>
      <c r="H1090" s="1"/>
      <c r="I1090" s="1"/>
      <c r="P1090" s="1"/>
    </row>
    <row r="1091" spans="1:31" ht="16.5" customHeight="1">
      <c r="B1091" s="25"/>
      <c r="C1091" s="25"/>
      <c r="D1091" s="25"/>
      <c r="E1091" s="1"/>
      <c r="F1091" s="1"/>
      <c r="G1091" s="1"/>
      <c r="H1091" s="1"/>
      <c r="I1091" s="1"/>
      <c r="P1091" s="1"/>
    </row>
    <row r="1092" spans="1:31" ht="15.75" customHeight="1">
      <c r="A1092" s="131" t="s">
        <v>86</v>
      </c>
      <c r="B1092" s="131"/>
      <c r="C1092" s="131"/>
      <c r="D1092" s="131"/>
      <c r="E1092" s="1"/>
      <c r="F1092" s="1"/>
      <c r="G1092" s="1"/>
      <c r="H1092" s="1"/>
      <c r="I1092" s="1"/>
      <c r="O1092" s="131" t="s">
        <v>86</v>
      </c>
      <c r="P1092" s="131"/>
      <c r="Q1092" s="131"/>
      <c r="R1092" s="131"/>
    </row>
    <row r="1093" spans="1:31" ht="15.75" customHeight="1">
      <c r="A1093" s="1"/>
      <c r="B1093" s="1"/>
      <c r="C1093" s="1"/>
      <c r="D1093" s="1"/>
      <c r="E1093" s="1"/>
      <c r="F1093" s="1"/>
      <c r="G1093" s="1"/>
      <c r="H1093" s="1"/>
      <c r="I1093" s="1"/>
      <c r="P1093" s="1"/>
    </row>
    <row r="1094" spans="1:31" ht="15.75" customHeight="1">
      <c r="A1094" s="132"/>
      <c r="B1094" s="132"/>
      <c r="C1094" s="132"/>
      <c r="D1094" s="132"/>
      <c r="E1094" s="132"/>
      <c r="F1094" s="132"/>
      <c r="G1094" s="132"/>
      <c r="H1094" s="132"/>
      <c r="I1094" s="132"/>
      <c r="J1094" s="132"/>
      <c r="K1094" s="132"/>
      <c r="L1094" s="132"/>
      <c r="M1094" s="1"/>
      <c r="N1094" s="1"/>
      <c r="O1094" s="132"/>
      <c r="P1094" s="132"/>
      <c r="Q1094" s="132"/>
      <c r="R1094" s="132"/>
      <c r="S1094" s="132"/>
      <c r="T1094" s="132"/>
      <c r="U1094" s="132"/>
      <c r="V1094" s="132"/>
      <c r="W1094" s="132"/>
      <c r="X1094" s="132"/>
      <c r="Y1094" s="132"/>
      <c r="Z1094" s="132"/>
      <c r="AA1094" s="132"/>
      <c r="AB1094" s="132"/>
      <c r="AC1094" s="132"/>
      <c r="AD1094" s="132"/>
    </row>
    <row r="1095" spans="1:31" ht="15.75" customHeight="1">
      <c r="A1095" s="132"/>
      <c r="B1095" s="132"/>
      <c r="C1095" s="132"/>
      <c r="D1095" s="132"/>
      <c r="E1095" s="132"/>
      <c r="F1095" s="132"/>
      <c r="G1095" s="132"/>
      <c r="H1095" s="132"/>
      <c r="I1095" s="132"/>
      <c r="J1095" s="132"/>
      <c r="K1095" s="132"/>
      <c r="L1095" s="132"/>
      <c r="M1095" s="1"/>
      <c r="N1095" s="1"/>
      <c r="O1095" s="132"/>
      <c r="P1095" s="132"/>
      <c r="Q1095" s="132"/>
      <c r="R1095" s="132"/>
      <c r="S1095" s="132"/>
      <c r="T1095" s="132"/>
      <c r="U1095" s="132"/>
      <c r="V1095" s="132"/>
      <c r="W1095" s="132"/>
      <c r="X1095" s="132"/>
      <c r="Y1095" s="132"/>
      <c r="Z1095" s="132"/>
      <c r="AA1095" s="132"/>
      <c r="AB1095" s="132"/>
      <c r="AC1095" s="132"/>
      <c r="AD1095" s="132"/>
    </row>
    <row r="1096" spans="1:31" ht="15.75" customHeight="1">
      <c r="A1096" s="132"/>
      <c r="B1096" s="132"/>
      <c r="C1096" s="132"/>
      <c r="D1096" s="132"/>
      <c r="E1096" s="132"/>
      <c r="F1096" s="132"/>
      <c r="G1096" s="132"/>
      <c r="H1096" s="132"/>
      <c r="I1096" s="132"/>
      <c r="J1096" s="132"/>
      <c r="K1096" s="132"/>
      <c r="L1096" s="132"/>
      <c r="M1096" s="1"/>
      <c r="N1096" s="1"/>
      <c r="O1096" s="132"/>
      <c r="P1096" s="132"/>
      <c r="Q1096" s="132"/>
      <c r="R1096" s="132"/>
      <c r="S1096" s="132"/>
      <c r="T1096" s="132"/>
      <c r="U1096" s="132"/>
      <c r="V1096" s="132"/>
      <c r="W1096" s="132"/>
      <c r="X1096" s="132"/>
      <c r="Y1096" s="132"/>
      <c r="Z1096" s="132"/>
      <c r="AA1096" s="132"/>
      <c r="AB1096" s="132"/>
      <c r="AC1096" s="132"/>
      <c r="AD1096" s="132"/>
      <c r="AE1096" s="1"/>
    </row>
    <row r="1097" spans="1:31" ht="15.75" customHeight="1">
      <c r="A1097" s="132"/>
      <c r="B1097" s="132"/>
      <c r="C1097" s="132"/>
      <c r="D1097" s="132"/>
      <c r="E1097" s="132"/>
      <c r="F1097" s="132"/>
      <c r="G1097" s="132"/>
      <c r="H1097" s="132"/>
      <c r="I1097" s="132"/>
      <c r="J1097" s="132"/>
      <c r="K1097" s="132"/>
      <c r="L1097" s="132"/>
      <c r="M1097" s="1"/>
      <c r="N1097" s="1"/>
      <c r="O1097" s="132"/>
      <c r="P1097" s="132"/>
      <c r="Q1097" s="132"/>
      <c r="R1097" s="132"/>
      <c r="S1097" s="132"/>
      <c r="T1097" s="132"/>
      <c r="U1097" s="132"/>
      <c r="V1097" s="132"/>
      <c r="W1097" s="132"/>
      <c r="X1097" s="132"/>
      <c r="Y1097" s="132"/>
      <c r="Z1097" s="132"/>
      <c r="AA1097" s="132"/>
      <c r="AB1097" s="132"/>
      <c r="AC1097" s="132"/>
      <c r="AD1097" s="132"/>
      <c r="AE1097" s="1"/>
    </row>
    <row r="1098" spans="1:31" ht="15.75" customHeight="1">
      <c r="A1098" s="132"/>
      <c r="B1098" s="132"/>
      <c r="C1098" s="132"/>
      <c r="D1098" s="132"/>
      <c r="E1098" s="132"/>
      <c r="F1098" s="132"/>
      <c r="G1098" s="132"/>
      <c r="H1098" s="132"/>
      <c r="I1098" s="132"/>
      <c r="J1098" s="132"/>
      <c r="K1098" s="132"/>
      <c r="L1098" s="132"/>
      <c r="M1098" s="1"/>
      <c r="N1098" s="1"/>
      <c r="O1098" s="132"/>
      <c r="P1098" s="132"/>
      <c r="Q1098" s="132"/>
      <c r="R1098" s="132"/>
      <c r="S1098" s="132"/>
      <c r="T1098" s="132"/>
      <c r="U1098" s="132"/>
      <c r="V1098" s="132"/>
      <c r="W1098" s="132"/>
      <c r="X1098" s="132"/>
      <c r="Y1098" s="132"/>
      <c r="Z1098" s="132"/>
      <c r="AA1098" s="132"/>
      <c r="AB1098" s="132"/>
      <c r="AC1098" s="132"/>
      <c r="AD1098" s="132"/>
      <c r="AE1098" s="1"/>
    </row>
    <row r="1099" spans="1:31" ht="15.75" customHeight="1">
      <c r="A1099" s="132"/>
      <c r="B1099" s="132"/>
      <c r="C1099" s="132"/>
      <c r="D1099" s="132"/>
      <c r="E1099" s="132"/>
      <c r="F1099" s="132"/>
      <c r="G1099" s="132"/>
      <c r="H1099" s="132"/>
      <c r="I1099" s="132"/>
      <c r="J1099" s="132"/>
      <c r="K1099" s="132"/>
      <c r="L1099" s="132"/>
      <c r="M1099" s="1"/>
      <c r="N1099" s="1"/>
      <c r="O1099" s="132"/>
      <c r="P1099" s="132"/>
      <c r="Q1099" s="132"/>
      <c r="R1099" s="132"/>
      <c r="S1099" s="132"/>
      <c r="T1099" s="132"/>
      <c r="U1099" s="132"/>
      <c r="V1099" s="132"/>
      <c r="W1099" s="132"/>
      <c r="X1099" s="132"/>
      <c r="Y1099" s="132"/>
      <c r="Z1099" s="132"/>
      <c r="AA1099" s="132"/>
      <c r="AB1099" s="132"/>
      <c r="AC1099" s="132"/>
      <c r="AD1099" s="132"/>
      <c r="AE1099" s="1"/>
    </row>
    <row r="1100" spans="1:31" ht="15.75" customHeight="1">
      <c r="A1100" s="132"/>
      <c r="B1100" s="132"/>
      <c r="C1100" s="132"/>
      <c r="D1100" s="132"/>
      <c r="E1100" s="132"/>
      <c r="F1100" s="132"/>
      <c r="G1100" s="132"/>
      <c r="H1100" s="132"/>
      <c r="I1100" s="132"/>
      <c r="J1100" s="132"/>
      <c r="K1100" s="132"/>
      <c r="L1100" s="132"/>
      <c r="M1100" s="1"/>
      <c r="N1100" s="1"/>
      <c r="O1100" s="132"/>
      <c r="P1100" s="132"/>
      <c r="Q1100" s="132"/>
      <c r="R1100" s="132"/>
      <c r="S1100" s="132"/>
      <c r="T1100" s="132"/>
      <c r="U1100" s="132"/>
      <c r="V1100" s="132"/>
      <c r="W1100" s="132"/>
      <c r="X1100" s="132"/>
      <c r="Y1100" s="132"/>
      <c r="Z1100" s="132"/>
      <c r="AA1100" s="132"/>
      <c r="AB1100" s="132"/>
      <c r="AC1100" s="132"/>
      <c r="AD1100" s="132"/>
      <c r="AE1100" s="1"/>
    </row>
    <row r="1101" spans="1:31" ht="15.75" customHeight="1">
      <c r="A1101" s="132"/>
      <c r="B1101" s="132"/>
      <c r="C1101" s="132"/>
      <c r="D1101" s="132"/>
      <c r="E1101" s="132"/>
      <c r="F1101" s="132"/>
      <c r="G1101" s="132"/>
      <c r="H1101" s="132"/>
      <c r="I1101" s="132"/>
      <c r="J1101" s="132"/>
      <c r="K1101" s="132"/>
      <c r="L1101" s="132"/>
      <c r="M1101" s="1"/>
      <c r="N1101" s="1"/>
      <c r="O1101" s="132"/>
      <c r="P1101" s="132"/>
      <c r="Q1101" s="132"/>
      <c r="R1101" s="132"/>
      <c r="S1101" s="132"/>
      <c r="T1101" s="132"/>
      <c r="U1101" s="132"/>
      <c r="V1101" s="132"/>
      <c r="W1101" s="132"/>
      <c r="X1101" s="132"/>
      <c r="Y1101" s="132"/>
      <c r="Z1101" s="132"/>
      <c r="AA1101" s="132"/>
      <c r="AB1101" s="132"/>
      <c r="AC1101" s="132"/>
      <c r="AD1101" s="132"/>
      <c r="AE1101" s="1"/>
    </row>
    <row r="1102" spans="1:31" ht="15.75" customHeight="1">
      <c r="A1102" s="132"/>
      <c r="B1102" s="132"/>
      <c r="C1102" s="132"/>
      <c r="D1102" s="132"/>
      <c r="E1102" s="132"/>
      <c r="F1102" s="132"/>
      <c r="G1102" s="132"/>
      <c r="H1102" s="132"/>
      <c r="I1102" s="132"/>
      <c r="J1102" s="132"/>
      <c r="K1102" s="132"/>
      <c r="L1102" s="132"/>
      <c r="M1102" s="1"/>
      <c r="N1102" s="1"/>
      <c r="O1102" s="132"/>
      <c r="P1102" s="132"/>
      <c r="Q1102" s="132"/>
      <c r="R1102" s="132"/>
      <c r="S1102" s="132"/>
      <c r="T1102" s="132"/>
      <c r="U1102" s="132"/>
      <c r="V1102" s="132"/>
      <c r="W1102" s="132"/>
      <c r="X1102" s="132"/>
      <c r="Y1102" s="132"/>
      <c r="Z1102" s="132"/>
      <c r="AA1102" s="132"/>
      <c r="AB1102" s="132"/>
      <c r="AC1102" s="132"/>
      <c r="AD1102" s="132"/>
      <c r="AE1102" s="1"/>
    </row>
    <row r="1103" spans="1:31" ht="15.75" customHeight="1">
      <c r="A1103" s="132"/>
      <c r="B1103" s="132"/>
      <c r="C1103" s="132"/>
      <c r="D1103" s="132"/>
      <c r="E1103" s="132"/>
      <c r="F1103" s="132"/>
      <c r="G1103" s="132"/>
      <c r="H1103" s="132"/>
      <c r="I1103" s="132"/>
      <c r="J1103" s="132"/>
      <c r="K1103" s="132"/>
      <c r="L1103" s="132"/>
      <c r="M1103" s="1"/>
      <c r="N1103" s="1"/>
      <c r="O1103" s="132"/>
      <c r="P1103" s="132"/>
      <c r="Q1103" s="132"/>
      <c r="R1103" s="132"/>
      <c r="S1103" s="132"/>
      <c r="T1103" s="132"/>
      <c r="U1103" s="132"/>
      <c r="V1103" s="132"/>
      <c r="W1103" s="132"/>
      <c r="X1103" s="132"/>
      <c r="Y1103" s="132"/>
      <c r="Z1103" s="132"/>
      <c r="AA1103" s="132"/>
      <c r="AB1103" s="132"/>
      <c r="AC1103" s="132"/>
      <c r="AD1103" s="132"/>
      <c r="AE1103" s="1"/>
    </row>
    <row r="1104" spans="1:31" ht="15.75" customHeight="1">
      <c r="A1104" s="132"/>
      <c r="B1104" s="132"/>
      <c r="C1104" s="132"/>
      <c r="D1104" s="132"/>
      <c r="E1104" s="132"/>
      <c r="F1104" s="132"/>
      <c r="G1104" s="132"/>
      <c r="H1104" s="132"/>
      <c r="I1104" s="132"/>
      <c r="J1104" s="132"/>
      <c r="K1104" s="132"/>
      <c r="L1104" s="132"/>
      <c r="M1104" s="1"/>
      <c r="N1104" s="1"/>
      <c r="O1104" s="132"/>
      <c r="P1104" s="132"/>
      <c r="Q1104" s="132"/>
      <c r="R1104" s="132"/>
      <c r="S1104" s="132"/>
      <c r="T1104" s="132"/>
      <c r="U1104" s="132"/>
      <c r="V1104" s="132"/>
      <c r="W1104" s="132"/>
      <c r="X1104" s="132"/>
      <c r="Y1104" s="132"/>
      <c r="Z1104" s="132"/>
      <c r="AA1104" s="132"/>
      <c r="AB1104" s="132"/>
      <c r="AC1104" s="132"/>
      <c r="AD1104" s="132"/>
      <c r="AE1104" s="1"/>
    </row>
    <row r="1105" spans="1:31" ht="15.75" customHeight="1">
      <c r="A1105" s="132"/>
      <c r="B1105" s="132"/>
      <c r="C1105" s="132"/>
      <c r="D1105" s="132"/>
      <c r="E1105" s="132"/>
      <c r="F1105" s="132"/>
      <c r="G1105" s="132"/>
      <c r="H1105" s="132"/>
      <c r="I1105" s="132"/>
      <c r="J1105" s="132"/>
      <c r="K1105" s="132"/>
      <c r="L1105" s="132"/>
      <c r="M1105" s="1"/>
      <c r="N1105" s="1"/>
      <c r="O1105" s="132"/>
      <c r="P1105" s="132"/>
      <c r="Q1105" s="132"/>
      <c r="R1105" s="132"/>
      <c r="S1105" s="132"/>
      <c r="T1105" s="132"/>
      <c r="U1105" s="132"/>
      <c r="V1105" s="132"/>
      <c r="W1105" s="132"/>
      <c r="X1105" s="132"/>
      <c r="Y1105" s="132"/>
      <c r="Z1105" s="132"/>
      <c r="AA1105" s="132"/>
      <c r="AB1105" s="132"/>
      <c r="AC1105" s="132"/>
      <c r="AD1105" s="132"/>
      <c r="AE1105" s="1"/>
    </row>
    <row r="1106" spans="1:31" ht="15.75" customHeight="1">
      <c r="A1106" s="132"/>
      <c r="B1106" s="132"/>
      <c r="C1106" s="132"/>
      <c r="D1106" s="132"/>
      <c r="E1106" s="132"/>
      <c r="F1106" s="132"/>
      <c r="G1106" s="132"/>
      <c r="H1106" s="132"/>
      <c r="I1106" s="132"/>
      <c r="J1106" s="132"/>
      <c r="K1106" s="132"/>
      <c r="L1106" s="132"/>
      <c r="M1106" s="1"/>
      <c r="N1106" s="1"/>
      <c r="O1106" s="132"/>
      <c r="P1106" s="132"/>
      <c r="Q1106" s="132"/>
      <c r="R1106" s="132"/>
      <c r="S1106" s="132"/>
      <c r="T1106" s="132"/>
      <c r="U1106" s="132"/>
      <c r="V1106" s="132"/>
      <c r="W1106" s="132"/>
      <c r="X1106" s="132"/>
      <c r="Y1106" s="132"/>
      <c r="Z1106" s="132"/>
      <c r="AA1106" s="132"/>
      <c r="AB1106" s="132"/>
      <c r="AC1106" s="132"/>
      <c r="AD1106" s="132"/>
      <c r="AE1106" s="1"/>
    </row>
    <row r="1107" spans="1:31" ht="15.75" customHeight="1">
      <c r="A1107" s="132"/>
      <c r="B1107" s="132"/>
      <c r="C1107" s="132"/>
      <c r="D1107" s="132"/>
      <c r="E1107" s="132"/>
      <c r="F1107" s="132"/>
      <c r="G1107" s="132"/>
      <c r="H1107" s="132"/>
      <c r="I1107" s="132"/>
      <c r="J1107" s="132"/>
      <c r="K1107" s="132"/>
      <c r="L1107" s="132"/>
      <c r="M1107" s="1"/>
      <c r="N1107" s="1"/>
      <c r="O1107" s="132"/>
      <c r="P1107" s="132"/>
      <c r="Q1107" s="132"/>
      <c r="R1107" s="132"/>
      <c r="S1107" s="132"/>
      <c r="T1107" s="132"/>
      <c r="U1107" s="132"/>
      <c r="V1107" s="132"/>
      <c r="W1107" s="132"/>
      <c r="X1107" s="132"/>
      <c r="Y1107" s="132"/>
      <c r="Z1107" s="132"/>
      <c r="AA1107" s="132"/>
      <c r="AB1107" s="132"/>
      <c r="AC1107" s="132"/>
      <c r="AD1107" s="132"/>
      <c r="AE1107" s="1"/>
    </row>
    <row r="1108" spans="1:31" ht="15.75" customHeight="1">
      <c r="A1108" s="132"/>
      <c r="B1108" s="132"/>
      <c r="C1108" s="132"/>
      <c r="D1108" s="132"/>
      <c r="E1108" s="132"/>
      <c r="F1108" s="132"/>
      <c r="G1108" s="132"/>
      <c r="H1108" s="132"/>
      <c r="I1108" s="132"/>
      <c r="J1108" s="132"/>
      <c r="K1108" s="132"/>
      <c r="L1108" s="132"/>
      <c r="M1108" s="1"/>
      <c r="N1108" s="1"/>
      <c r="O1108" s="132"/>
      <c r="P1108" s="132"/>
      <c r="Q1108" s="132"/>
      <c r="R1108" s="132"/>
      <c r="S1108" s="132"/>
      <c r="T1108" s="132"/>
      <c r="U1108" s="132"/>
      <c r="V1108" s="132"/>
      <c r="W1108" s="132"/>
      <c r="X1108" s="132"/>
      <c r="Y1108" s="132"/>
      <c r="Z1108" s="132"/>
      <c r="AA1108" s="132"/>
      <c r="AB1108" s="132"/>
      <c r="AC1108" s="132"/>
      <c r="AD1108" s="132"/>
      <c r="AE1108" s="1"/>
    </row>
    <row r="1109" spans="1:31" ht="15.75" customHeight="1">
      <c r="A1109" s="132"/>
      <c r="B1109" s="132"/>
      <c r="C1109" s="132"/>
      <c r="D1109" s="132"/>
      <c r="E1109" s="132"/>
      <c r="F1109" s="132"/>
      <c r="G1109" s="132"/>
      <c r="H1109" s="132"/>
      <c r="I1109" s="132"/>
      <c r="J1109" s="132"/>
      <c r="K1109" s="132"/>
      <c r="L1109" s="132"/>
      <c r="M1109" s="1"/>
      <c r="N1109" s="1"/>
      <c r="O1109" s="132"/>
      <c r="P1109" s="132"/>
      <c r="Q1109" s="132"/>
      <c r="R1109" s="132"/>
      <c r="S1109" s="132"/>
      <c r="T1109" s="132"/>
      <c r="U1109" s="132"/>
      <c r="V1109" s="132"/>
      <c r="W1109" s="132"/>
      <c r="X1109" s="132"/>
      <c r="Y1109" s="132"/>
      <c r="Z1109" s="132"/>
      <c r="AA1109" s="132"/>
      <c r="AB1109" s="132"/>
      <c r="AC1109" s="132"/>
      <c r="AD1109" s="132"/>
      <c r="AE1109" s="1"/>
    </row>
    <row r="1110" spans="1:31" ht="15.75" customHeight="1">
      <c r="A1110" s="132"/>
      <c r="B1110" s="132"/>
      <c r="C1110" s="132"/>
      <c r="D1110" s="132"/>
      <c r="E1110" s="132"/>
      <c r="F1110" s="132"/>
      <c r="G1110" s="132"/>
      <c r="H1110" s="132"/>
      <c r="I1110" s="132"/>
      <c r="J1110" s="132"/>
      <c r="K1110" s="132"/>
      <c r="L1110" s="132"/>
      <c r="M1110" s="1"/>
      <c r="N1110" s="1"/>
      <c r="O1110" s="132"/>
      <c r="P1110" s="132"/>
      <c r="Q1110" s="132"/>
      <c r="R1110" s="132"/>
      <c r="S1110" s="132"/>
      <c r="T1110" s="132"/>
      <c r="U1110" s="132"/>
      <c r="V1110" s="132"/>
      <c r="W1110" s="132"/>
      <c r="X1110" s="132"/>
      <c r="Y1110" s="132"/>
      <c r="Z1110" s="132"/>
      <c r="AA1110" s="132"/>
      <c r="AB1110" s="132"/>
      <c r="AC1110" s="132"/>
      <c r="AD1110" s="132"/>
      <c r="AE1110" s="1"/>
    </row>
    <row r="1111" spans="1:31" ht="15.75" customHeight="1">
      <c r="A1111" s="132"/>
      <c r="B1111" s="132"/>
      <c r="C1111" s="132"/>
      <c r="D1111" s="132"/>
      <c r="E1111" s="132"/>
      <c r="F1111" s="132"/>
      <c r="G1111" s="132"/>
      <c r="H1111" s="132"/>
      <c r="I1111" s="132"/>
      <c r="J1111" s="132"/>
      <c r="K1111" s="132"/>
      <c r="L1111" s="132"/>
      <c r="M1111" s="1"/>
      <c r="N1111" s="1"/>
      <c r="O1111" s="132"/>
      <c r="P1111" s="132"/>
      <c r="Q1111" s="132"/>
      <c r="R1111" s="132"/>
      <c r="S1111" s="132"/>
      <c r="T1111" s="132"/>
      <c r="U1111" s="132"/>
      <c r="V1111" s="132"/>
      <c r="W1111" s="132"/>
      <c r="X1111" s="132"/>
      <c r="Y1111" s="132"/>
      <c r="Z1111" s="132"/>
      <c r="AA1111" s="132"/>
      <c r="AB1111" s="132"/>
      <c r="AC1111" s="132"/>
      <c r="AD1111" s="132"/>
      <c r="AE1111" s="1"/>
    </row>
    <row r="1112" spans="1:31" ht="15.75" customHeight="1">
      <c r="A1112" s="132"/>
      <c r="B1112" s="132"/>
      <c r="C1112" s="132"/>
      <c r="D1112" s="132"/>
      <c r="E1112" s="132"/>
      <c r="F1112" s="132"/>
      <c r="G1112" s="132"/>
      <c r="H1112" s="132"/>
      <c r="I1112" s="132"/>
      <c r="J1112" s="132"/>
      <c r="K1112" s="132"/>
      <c r="L1112" s="132"/>
      <c r="M1112" s="1"/>
      <c r="N1112" s="1"/>
      <c r="O1112" s="132"/>
      <c r="P1112" s="132"/>
      <c r="Q1112" s="132"/>
      <c r="R1112" s="132"/>
      <c r="S1112" s="132"/>
      <c r="T1112" s="132"/>
      <c r="U1112" s="132"/>
      <c r="V1112" s="132"/>
      <c r="W1112" s="132"/>
      <c r="X1112" s="132"/>
      <c r="Y1112" s="132"/>
      <c r="Z1112" s="132"/>
      <c r="AA1112" s="132"/>
      <c r="AB1112" s="132"/>
      <c r="AC1112" s="132"/>
      <c r="AD1112" s="132"/>
      <c r="AE1112" s="1"/>
    </row>
    <row r="1113" spans="1:31" ht="15.75" customHeight="1">
      <c r="A1113" s="132"/>
      <c r="B1113" s="132"/>
      <c r="C1113" s="132"/>
      <c r="D1113" s="132"/>
      <c r="E1113" s="132"/>
      <c r="F1113" s="132"/>
      <c r="G1113" s="132"/>
      <c r="H1113" s="132"/>
      <c r="I1113" s="132"/>
      <c r="J1113" s="132"/>
      <c r="K1113" s="132"/>
      <c r="L1113" s="132"/>
      <c r="M1113" s="1"/>
      <c r="N1113" s="1"/>
      <c r="O1113" s="132"/>
      <c r="P1113" s="132"/>
      <c r="Q1113" s="132"/>
      <c r="R1113" s="132"/>
      <c r="S1113" s="132"/>
      <c r="T1113" s="132"/>
      <c r="U1113" s="132"/>
      <c r="V1113" s="132"/>
      <c r="W1113" s="132"/>
      <c r="X1113" s="132"/>
      <c r="Y1113" s="132"/>
      <c r="Z1113" s="132"/>
      <c r="AA1113" s="132"/>
      <c r="AB1113" s="132"/>
      <c r="AC1113" s="132"/>
      <c r="AD1113" s="132"/>
      <c r="AE1113" s="1"/>
    </row>
    <row r="1114" spans="1:31" ht="15.75" customHeight="1">
      <c r="A1114" s="132"/>
      <c r="B1114" s="132"/>
      <c r="C1114" s="132"/>
      <c r="D1114" s="132"/>
      <c r="E1114" s="132"/>
      <c r="F1114" s="132"/>
      <c r="G1114" s="132"/>
      <c r="H1114" s="132"/>
      <c r="I1114" s="132"/>
      <c r="J1114" s="132"/>
      <c r="K1114" s="132"/>
      <c r="L1114" s="132"/>
      <c r="M1114" s="1"/>
      <c r="N1114" s="1"/>
      <c r="O1114" s="132"/>
      <c r="P1114" s="132"/>
      <c r="Q1114" s="132"/>
      <c r="R1114" s="132"/>
      <c r="S1114" s="132"/>
      <c r="T1114" s="132"/>
      <c r="U1114" s="132"/>
      <c r="V1114" s="132"/>
      <c r="W1114" s="132"/>
      <c r="X1114" s="132"/>
      <c r="Y1114" s="132"/>
      <c r="Z1114" s="132"/>
      <c r="AA1114" s="132"/>
      <c r="AB1114" s="132"/>
      <c r="AC1114" s="132"/>
      <c r="AD1114" s="132"/>
      <c r="AE1114" s="1"/>
    </row>
    <row r="1115" spans="1:31" ht="15.75" customHeight="1">
      <c r="A1115" s="132"/>
      <c r="B1115" s="132"/>
      <c r="C1115" s="132"/>
      <c r="D1115" s="132"/>
      <c r="E1115" s="132"/>
      <c r="F1115" s="132"/>
      <c r="G1115" s="132"/>
      <c r="H1115" s="132"/>
      <c r="I1115" s="132"/>
      <c r="J1115" s="132"/>
      <c r="K1115" s="132"/>
      <c r="L1115" s="132"/>
      <c r="M1115" s="1"/>
      <c r="N1115" s="1"/>
      <c r="O1115" s="132"/>
      <c r="P1115" s="132"/>
      <c r="Q1115" s="132"/>
      <c r="R1115" s="132"/>
      <c r="S1115" s="132"/>
      <c r="T1115" s="132"/>
      <c r="U1115" s="132"/>
      <c r="V1115" s="132"/>
      <c r="W1115" s="132"/>
      <c r="X1115" s="132"/>
      <c r="Y1115" s="132"/>
      <c r="Z1115" s="132"/>
      <c r="AA1115" s="132"/>
      <c r="AB1115" s="132"/>
      <c r="AC1115" s="132"/>
      <c r="AD1115" s="132"/>
      <c r="AE1115" s="1"/>
    </row>
    <row r="1116" spans="1:31" ht="15.75" customHeight="1">
      <c r="A1116" s="132"/>
      <c r="B1116" s="132"/>
      <c r="C1116" s="132"/>
      <c r="D1116" s="132"/>
      <c r="E1116" s="132"/>
      <c r="F1116" s="132"/>
      <c r="G1116" s="132"/>
      <c r="H1116" s="132"/>
      <c r="I1116" s="132"/>
      <c r="J1116" s="132"/>
      <c r="K1116" s="132"/>
      <c r="L1116" s="132"/>
      <c r="M1116" s="1"/>
      <c r="N1116" s="1"/>
      <c r="O1116" s="132"/>
      <c r="P1116" s="132"/>
      <c r="Q1116" s="132"/>
      <c r="R1116" s="132"/>
      <c r="S1116" s="132"/>
      <c r="T1116" s="132"/>
      <c r="U1116" s="132"/>
      <c r="V1116" s="132"/>
      <c r="W1116" s="132"/>
      <c r="X1116" s="132"/>
      <c r="Y1116" s="132"/>
      <c r="Z1116" s="132"/>
      <c r="AA1116" s="132"/>
      <c r="AB1116" s="132"/>
      <c r="AC1116" s="132"/>
      <c r="AD1116" s="132"/>
      <c r="AE1116" s="1"/>
    </row>
    <row r="1117" spans="1:31" ht="15.75" customHeight="1">
      <c r="A1117" s="132"/>
      <c r="B1117" s="132"/>
      <c r="C1117" s="132"/>
      <c r="D1117" s="132"/>
      <c r="E1117" s="132"/>
      <c r="F1117" s="132"/>
      <c r="G1117" s="132"/>
      <c r="H1117" s="132"/>
      <c r="I1117" s="132"/>
      <c r="J1117" s="132"/>
      <c r="K1117" s="132"/>
      <c r="L1117" s="132"/>
      <c r="M1117" s="1"/>
      <c r="N1117" s="1"/>
      <c r="O1117" s="132"/>
      <c r="P1117" s="132"/>
      <c r="Q1117" s="132"/>
      <c r="R1117" s="132"/>
      <c r="S1117" s="132"/>
      <c r="T1117" s="132"/>
      <c r="U1117" s="132"/>
      <c r="V1117" s="132"/>
      <c r="W1117" s="132"/>
      <c r="X1117" s="132"/>
      <c r="Y1117" s="132"/>
      <c r="Z1117" s="132"/>
      <c r="AA1117" s="132"/>
      <c r="AB1117" s="132"/>
      <c r="AC1117" s="132"/>
      <c r="AD1117" s="132"/>
      <c r="AE1117" s="1"/>
    </row>
    <row r="1118" spans="1:31" ht="15.75" customHeight="1">
      <c r="A1118" s="132"/>
      <c r="B1118" s="132"/>
      <c r="C1118" s="132"/>
      <c r="D1118" s="132"/>
      <c r="E1118" s="132"/>
      <c r="F1118" s="132"/>
      <c r="G1118" s="132"/>
      <c r="H1118" s="132"/>
      <c r="I1118" s="132"/>
      <c r="J1118" s="132"/>
      <c r="K1118" s="132"/>
      <c r="L1118" s="132"/>
      <c r="M1118" s="1"/>
      <c r="N1118" s="1"/>
      <c r="O1118" s="132"/>
      <c r="P1118" s="132"/>
      <c r="Q1118" s="132"/>
      <c r="R1118" s="132"/>
      <c r="S1118" s="132"/>
      <c r="T1118" s="132"/>
      <c r="U1118" s="132"/>
      <c r="V1118" s="132"/>
      <c r="W1118" s="132"/>
      <c r="X1118" s="132"/>
      <c r="Y1118" s="132"/>
      <c r="Z1118" s="132"/>
      <c r="AA1118" s="132"/>
      <c r="AB1118" s="132"/>
      <c r="AC1118" s="132"/>
      <c r="AD1118" s="132"/>
      <c r="AE1118" s="1"/>
    </row>
    <row r="1119" spans="1:31" ht="15.75" customHeight="1">
      <c r="A1119" s="132"/>
      <c r="B1119" s="132"/>
      <c r="C1119" s="132"/>
      <c r="D1119" s="132"/>
      <c r="E1119" s="132"/>
      <c r="F1119" s="132"/>
      <c r="G1119" s="132"/>
      <c r="H1119" s="132"/>
      <c r="I1119" s="132"/>
      <c r="J1119" s="132"/>
      <c r="K1119" s="132"/>
      <c r="L1119" s="132"/>
      <c r="M1119" s="1"/>
      <c r="N1119" s="1"/>
      <c r="O1119" s="132"/>
      <c r="P1119" s="132"/>
      <c r="Q1119" s="132"/>
      <c r="R1119" s="132"/>
      <c r="S1119" s="132"/>
      <c r="T1119" s="132"/>
      <c r="U1119" s="132"/>
      <c r="V1119" s="132"/>
      <c r="W1119" s="132"/>
      <c r="X1119" s="132"/>
      <c r="Y1119" s="132"/>
      <c r="Z1119" s="132"/>
      <c r="AA1119" s="132"/>
      <c r="AB1119" s="132"/>
      <c r="AC1119" s="132"/>
      <c r="AD1119" s="132"/>
      <c r="AE1119" s="1"/>
    </row>
    <row r="1120" spans="1:31" ht="15.75" customHeight="1">
      <c r="A1120" s="132"/>
      <c r="B1120" s="132"/>
      <c r="C1120" s="132"/>
      <c r="D1120" s="132"/>
      <c r="E1120" s="132"/>
      <c r="F1120" s="132"/>
      <c r="G1120" s="132"/>
      <c r="H1120" s="132"/>
      <c r="I1120" s="132"/>
      <c r="J1120" s="132"/>
      <c r="K1120" s="132"/>
      <c r="L1120" s="132"/>
      <c r="M1120" s="1"/>
      <c r="N1120" s="1"/>
      <c r="O1120" s="132"/>
      <c r="P1120" s="132"/>
      <c r="Q1120" s="132"/>
      <c r="R1120" s="132"/>
      <c r="S1120" s="132"/>
      <c r="T1120" s="132"/>
      <c r="U1120" s="132"/>
      <c r="V1120" s="132"/>
      <c r="W1120" s="132"/>
      <c r="X1120" s="132"/>
      <c r="Y1120" s="132"/>
      <c r="Z1120" s="132"/>
      <c r="AA1120" s="132"/>
      <c r="AB1120" s="132"/>
      <c r="AC1120" s="132"/>
      <c r="AD1120" s="132"/>
      <c r="AE1120" s="1"/>
    </row>
    <row r="1121" spans="1:31" ht="15.75" customHeight="1">
      <c r="A1121" s="132"/>
      <c r="B1121" s="132"/>
      <c r="C1121" s="132"/>
      <c r="D1121" s="132"/>
      <c r="E1121" s="132"/>
      <c r="F1121" s="132"/>
      <c r="G1121" s="132"/>
      <c r="H1121" s="132"/>
      <c r="I1121" s="132"/>
      <c r="J1121" s="132"/>
      <c r="K1121" s="132"/>
      <c r="L1121" s="132"/>
      <c r="M1121" s="1"/>
      <c r="N1121" s="1"/>
      <c r="O1121" s="132"/>
      <c r="P1121" s="132"/>
      <c r="Q1121" s="132"/>
      <c r="R1121" s="132"/>
      <c r="S1121" s="132"/>
      <c r="T1121" s="132"/>
      <c r="U1121" s="132"/>
      <c r="V1121" s="132"/>
      <c r="W1121" s="132"/>
      <c r="X1121" s="132"/>
      <c r="Y1121" s="132"/>
      <c r="Z1121" s="132"/>
      <c r="AA1121" s="132"/>
      <c r="AB1121" s="132"/>
      <c r="AC1121" s="132"/>
      <c r="AD1121" s="132"/>
      <c r="AE1121" s="1"/>
    </row>
    <row r="1122" spans="1:31" ht="15.75" customHeight="1">
      <c r="A1122" s="132"/>
      <c r="B1122" s="132"/>
      <c r="C1122" s="132"/>
      <c r="D1122" s="132"/>
      <c r="E1122" s="132"/>
      <c r="F1122" s="132"/>
      <c r="G1122" s="132"/>
      <c r="H1122" s="132"/>
      <c r="I1122" s="132"/>
      <c r="J1122" s="132"/>
      <c r="K1122" s="132"/>
      <c r="L1122" s="132"/>
      <c r="M1122" s="1"/>
      <c r="N1122" s="1"/>
      <c r="O1122" s="132"/>
      <c r="P1122" s="132"/>
      <c r="Q1122" s="132"/>
      <c r="R1122" s="132"/>
      <c r="S1122" s="132"/>
      <c r="T1122" s="132"/>
      <c r="U1122" s="132"/>
      <c r="V1122" s="132"/>
      <c r="W1122" s="132"/>
      <c r="X1122" s="132"/>
      <c r="Y1122" s="132"/>
      <c r="Z1122" s="132"/>
      <c r="AA1122" s="132"/>
      <c r="AB1122" s="132"/>
      <c r="AC1122" s="132"/>
      <c r="AD1122" s="132"/>
      <c r="AE1122" s="1"/>
    </row>
    <row r="1123" spans="1:31" ht="15.75" customHeight="1">
      <c r="A1123" s="132"/>
      <c r="B1123" s="132"/>
      <c r="C1123" s="132"/>
      <c r="D1123" s="132"/>
      <c r="E1123" s="132"/>
      <c r="F1123" s="132"/>
      <c r="G1123" s="132"/>
      <c r="H1123" s="132"/>
      <c r="I1123" s="132"/>
      <c r="J1123" s="132"/>
      <c r="K1123" s="132"/>
      <c r="L1123" s="132"/>
      <c r="M1123" s="1"/>
      <c r="N1123" s="1"/>
      <c r="O1123" s="132"/>
      <c r="P1123" s="132"/>
      <c r="Q1123" s="132"/>
      <c r="R1123" s="132"/>
      <c r="S1123" s="132"/>
      <c r="T1123" s="132"/>
      <c r="U1123" s="132"/>
      <c r="V1123" s="132"/>
      <c r="W1123" s="132"/>
      <c r="X1123" s="132"/>
      <c r="Y1123" s="132"/>
      <c r="Z1123" s="132"/>
      <c r="AA1123" s="132"/>
      <c r="AB1123" s="132"/>
      <c r="AC1123" s="132"/>
      <c r="AD1123" s="132"/>
      <c r="AE1123" s="1"/>
    </row>
    <row r="1124" spans="1:31" ht="15.75" customHeight="1">
      <c r="A1124" s="132"/>
      <c r="B1124" s="132"/>
      <c r="C1124" s="132"/>
      <c r="D1124" s="132"/>
      <c r="E1124" s="132"/>
      <c r="F1124" s="132"/>
      <c r="G1124" s="132"/>
      <c r="H1124" s="132"/>
      <c r="I1124" s="132"/>
      <c r="J1124" s="132"/>
      <c r="K1124" s="132"/>
      <c r="L1124" s="132"/>
      <c r="M1124" s="1"/>
      <c r="N1124" s="1"/>
      <c r="O1124" s="132"/>
      <c r="P1124" s="132"/>
      <c r="Q1124" s="132"/>
      <c r="R1124" s="132"/>
      <c r="S1124" s="132"/>
      <c r="T1124" s="132"/>
      <c r="U1124" s="132"/>
      <c r="V1124" s="132"/>
      <c r="W1124" s="132"/>
      <c r="X1124" s="132"/>
      <c r="Y1124" s="132"/>
      <c r="Z1124" s="132"/>
      <c r="AA1124" s="132"/>
      <c r="AB1124" s="132"/>
      <c r="AC1124" s="132"/>
      <c r="AD1124" s="132"/>
      <c r="AE1124" s="1"/>
    </row>
    <row r="1125" spans="1:31" ht="15.75" customHeight="1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</row>
    <row r="1126" spans="1:31" ht="15.75" customHeight="1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</row>
    <row r="1127" spans="1:31" ht="15.75" customHeight="1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</row>
    <row r="1128" spans="1:31" ht="15.75" customHeight="1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</row>
    <row r="1129" spans="1:31" ht="15.75" customHeight="1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</row>
    <row r="1130" spans="1:31" ht="15.75" customHeight="1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</row>
    <row r="1131" spans="1:31" ht="15.75" customHeight="1">
      <c r="A1131" s="131" t="s">
        <v>87</v>
      </c>
      <c r="B1131" s="131"/>
      <c r="C1131" s="131"/>
      <c r="D1131" s="13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31" t="s">
        <v>87</v>
      </c>
      <c r="P1131" s="131"/>
      <c r="Q1131" s="131"/>
      <c r="R1131" s="13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</row>
    <row r="1132" spans="1:31" ht="15.75" customHeight="1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</row>
    <row r="1133" spans="1:31" ht="15.75" customHeight="1">
      <c r="A1133" s="132"/>
      <c r="B1133" s="132"/>
      <c r="C1133" s="132"/>
      <c r="D1133" s="132"/>
      <c r="E1133" s="132"/>
      <c r="F1133" s="132"/>
      <c r="G1133" s="132"/>
      <c r="H1133" s="132"/>
      <c r="I1133" s="132"/>
      <c r="J1133" s="132"/>
      <c r="K1133" s="132"/>
      <c r="L1133" s="132"/>
      <c r="M1133" s="1"/>
      <c r="N1133" s="1"/>
      <c r="O1133" s="132"/>
      <c r="P1133" s="132"/>
      <c r="Q1133" s="132"/>
      <c r="R1133" s="132"/>
      <c r="S1133" s="132"/>
      <c r="T1133" s="132"/>
      <c r="U1133" s="132"/>
      <c r="V1133" s="132"/>
      <c r="W1133" s="132"/>
      <c r="X1133" s="132"/>
      <c r="Y1133" s="132"/>
      <c r="Z1133" s="132"/>
      <c r="AA1133" s="132"/>
      <c r="AB1133" s="132"/>
      <c r="AC1133" s="132"/>
      <c r="AD1133" s="132"/>
      <c r="AE1133" s="1"/>
    </row>
    <row r="1134" spans="1:31" ht="15.75" customHeight="1">
      <c r="A1134" s="132"/>
      <c r="B1134" s="132"/>
      <c r="C1134" s="132"/>
      <c r="D1134" s="132"/>
      <c r="E1134" s="132"/>
      <c r="F1134" s="132"/>
      <c r="G1134" s="132"/>
      <c r="H1134" s="132"/>
      <c r="I1134" s="132"/>
      <c r="J1134" s="132"/>
      <c r="K1134" s="132"/>
      <c r="L1134" s="132"/>
      <c r="M1134" s="1"/>
      <c r="N1134" s="1"/>
      <c r="O1134" s="132"/>
      <c r="P1134" s="132"/>
      <c r="Q1134" s="132"/>
      <c r="R1134" s="132"/>
      <c r="S1134" s="132"/>
      <c r="T1134" s="132"/>
      <c r="U1134" s="132"/>
      <c r="V1134" s="132"/>
      <c r="W1134" s="132"/>
      <c r="X1134" s="132"/>
      <c r="Y1134" s="132"/>
      <c r="Z1134" s="132"/>
      <c r="AA1134" s="132"/>
      <c r="AB1134" s="132"/>
      <c r="AC1134" s="132"/>
      <c r="AD1134" s="132"/>
      <c r="AE1134" s="1"/>
    </row>
    <row r="1135" spans="1:31" ht="15.75" customHeight="1">
      <c r="A1135" s="132"/>
      <c r="B1135" s="132"/>
      <c r="C1135" s="132"/>
      <c r="D1135" s="132"/>
      <c r="E1135" s="132"/>
      <c r="F1135" s="132"/>
      <c r="G1135" s="132"/>
      <c r="H1135" s="132"/>
      <c r="I1135" s="132"/>
      <c r="J1135" s="132"/>
      <c r="K1135" s="132"/>
      <c r="L1135" s="132"/>
      <c r="M1135" s="1"/>
      <c r="N1135" s="1"/>
      <c r="O1135" s="132"/>
      <c r="P1135" s="132"/>
      <c r="Q1135" s="132"/>
      <c r="R1135" s="132"/>
      <c r="S1135" s="132"/>
      <c r="T1135" s="132"/>
      <c r="U1135" s="132"/>
      <c r="V1135" s="132"/>
      <c r="W1135" s="132"/>
      <c r="X1135" s="132"/>
      <c r="Y1135" s="132"/>
      <c r="Z1135" s="132"/>
      <c r="AA1135" s="132"/>
      <c r="AB1135" s="132"/>
      <c r="AC1135" s="132"/>
      <c r="AD1135" s="132"/>
      <c r="AE1135" s="1"/>
    </row>
    <row r="1136" spans="1:31" ht="15.75" customHeight="1">
      <c r="A1136" s="132"/>
      <c r="B1136" s="132"/>
      <c r="C1136" s="132"/>
      <c r="D1136" s="132"/>
      <c r="E1136" s="132"/>
      <c r="F1136" s="132"/>
      <c r="G1136" s="132"/>
      <c r="H1136" s="132"/>
      <c r="I1136" s="132"/>
      <c r="J1136" s="132"/>
      <c r="K1136" s="132"/>
      <c r="L1136" s="132"/>
      <c r="M1136" s="1"/>
      <c r="N1136" s="1"/>
      <c r="O1136" s="132"/>
      <c r="P1136" s="132"/>
      <c r="Q1136" s="132"/>
      <c r="R1136" s="132"/>
      <c r="S1136" s="132"/>
      <c r="T1136" s="132"/>
      <c r="U1136" s="132"/>
      <c r="V1136" s="132"/>
      <c r="W1136" s="132"/>
      <c r="X1136" s="132"/>
      <c r="Y1136" s="132"/>
      <c r="Z1136" s="132"/>
      <c r="AA1136" s="132"/>
      <c r="AB1136" s="132"/>
      <c r="AC1136" s="132"/>
      <c r="AD1136" s="132"/>
      <c r="AE1136" s="1"/>
    </row>
    <row r="1137" spans="1:31" ht="15.75" customHeight="1">
      <c r="A1137" s="132"/>
      <c r="B1137" s="132"/>
      <c r="C1137" s="132"/>
      <c r="D1137" s="132"/>
      <c r="E1137" s="132"/>
      <c r="F1137" s="132"/>
      <c r="G1137" s="132"/>
      <c r="H1137" s="132"/>
      <c r="I1137" s="132"/>
      <c r="J1137" s="132"/>
      <c r="K1137" s="132"/>
      <c r="L1137" s="132"/>
      <c r="M1137" s="1"/>
      <c r="N1137" s="1"/>
      <c r="O1137" s="132"/>
      <c r="P1137" s="132"/>
      <c r="Q1137" s="132"/>
      <c r="R1137" s="132"/>
      <c r="S1137" s="132"/>
      <c r="T1137" s="132"/>
      <c r="U1137" s="132"/>
      <c r="V1137" s="132"/>
      <c r="W1137" s="132"/>
      <c r="X1137" s="132"/>
      <c r="Y1137" s="132"/>
      <c r="Z1137" s="132"/>
      <c r="AA1137" s="132"/>
      <c r="AB1137" s="132"/>
      <c r="AC1137" s="132"/>
      <c r="AD1137" s="132"/>
      <c r="AE1137" s="1"/>
    </row>
    <row r="1138" spans="1:31" ht="15.75" customHeight="1">
      <c r="A1138" s="132"/>
      <c r="B1138" s="132"/>
      <c r="C1138" s="132"/>
      <c r="D1138" s="132"/>
      <c r="E1138" s="132"/>
      <c r="F1138" s="132"/>
      <c r="G1138" s="132"/>
      <c r="H1138" s="132"/>
      <c r="I1138" s="132"/>
      <c r="J1138" s="132"/>
      <c r="K1138" s="132"/>
      <c r="L1138" s="132"/>
      <c r="M1138" s="1"/>
      <c r="N1138" s="1"/>
      <c r="O1138" s="132"/>
      <c r="P1138" s="132"/>
      <c r="Q1138" s="132"/>
      <c r="R1138" s="132"/>
      <c r="S1138" s="132"/>
      <c r="T1138" s="132"/>
      <c r="U1138" s="132"/>
      <c r="V1138" s="132"/>
      <c r="W1138" s="132"/>
      <c r="X1138" s="132"/>
      <c r="Y1138" s="132"/>
      <c r="Z1138" s="132"/>
      <c r="AA1138" s="132"/>
      <c r="AB1138" s="132"/>
      <c r="AC1138" s="132"/>
      <c r="AD1138" s="132"/>
      <c r="AE1138" s="1"/>
    </row>
    <row r="1139" spans="1:31" ht="15.75" customHeight="1">
      <c r="A1139" s="132"/>
      <c r="B1139" s="132"/>
      <c r="C1139" s="132"/>
      <c r="D1139" s="132"/>
      <c r="E1139" s="132"/>
      <c r="F1139" s="132"/>
      <c r="G1139" s="132"/>
      <c r="H1139" s="132"/>
      <c r="I1139" s="132"/>
      <c r="J1139" s="132"/>
      <c r="K1139" s="132"/>
      <c r="L1139" s="132"/>
      <c r="M1139" s="1"/>
      <c r="N1139" s="1"/>
      <c r="O1139" s="132"/>
      <c r="P1139" s="132"/>
      <c r="Q1139" s="132"/>
      <c r="R1139" s="132"/>
      <c r="S1139" s="132"/>
      <c r="T1139" s="132"/>
      <c r="U1139" s="132"/>
      <c r="V1139" s="132"/>
      <c r="W1139" s="132"/>
      <c r="X1139" s="132"/>
      <c r="Y1139" s="132"/>
      <c r="Z1139" s="132"/>
      <c r="AA1139" s="132"/>
      <c r="AB1139" s="132"/>
      <c r="AC1139" s="132"/>
      <c r="AD1139" s="132"/>
      <c r="AE1139" s="1"/>
    </row>
    <row r="1140" spans="1:31" ht="15.75" customHeight="1">
      <c r="A1140" s="132"/>
      <c r="B1140" s="132"/>
      <c r="C1140" s="132"/>
      <c r="D1140" s="132"/>
      <c r="E1140" s="132"/>
      <c r="F1140" s="132"/>
      <c r="G1140" s="132"/>
      <c r="H1140" s="132"/>
      <c r="I1140" s="132"/>
      <c r="J1140" s="132"/>
      <c r="K1140" s="132"/>
      <c r="L1140" s="132"/>
      <c r="M1140" s="1"/>
      <c r="N1140" s="1"/>
      <c r="O1140" s="132"/>
      <c r="P1140" s="132"/>
      <c r="Q1140" s="132"/>
      <c r="R1140" s="132"/>
      <c r="S1140" s="132"/>
      <c r="T1140" s="132"/>
      <c r="U1140" s="132"/>
      <c r="V1140" s="132"/>
      <c r="W1140" s="132"/>
      <c r="X1140" s="132"/>
      <c r="Y1140" s="132"/>
      <c r="Z1140" s="132"/>
      <c r="AA1140" s="132"/>
      <c r="AB1140" s="132"/>
      <c r="AC1140" s="132"/>
      <c r="AD1140" s="132"/>
      <c r="AE1140" s="1"/>
    </row>
    <row r="1141" spans="1:31" ht="15.75" customHeight="1">
      <c r="A1141" s="132"/>
      <c r="B1141" s="132"/>
      <c r="C1141" s="132"/>
      <c r="D1141" s="132"/>
      <c r="E1141" s="132"/>
      <c r="F1141" s="132"/>
      <c r="G1141" s="132"/>
      <c r="H1141" s="132"/>
      <c r="I1141" s="132"/>
      <c r="J1141" s="132"/>
      <c r="K1141" s="132"/>
      <c r="L1141" s="132"/>
      <c r="M1141" s="1"/>
      <c r="N1141" s="1"/>
      <c r="O1141" s="132"/>
      <c r="P1141" s="132"/>
      <c r="Q1141" s="132"/>
      <c r="R1141" s="132"/>
      <c r="S1141" s="132"/>
      <c r="T1141" s="132"/>
      <c r="U1141" s="132"/>
      <c r="V1141" s="132"/>
      <c r="W1141" s="132"/>
      <c r="X1141" s="132"/>
      <c r="Y1141" s="132"/>
      <c r="Z1141" s="132"/>
      <c r="AA1141" s="132"/>
      <c r="AB1141" s="132"/>
      <c r="AC1141" s="132"/>
      <c r="AD1141" s="132"/>
      <c r="AE1141" s="1"/>
    </row>
    <row r="1142" spans="1:31" ht="15.75" customHeight="1">
      <c r="A1142" s="132"/>
      <c r="B1142" s="132"/>
      <c r="C1142" s="132"/>
      <c r="D1142" s="132"/>
      <c r="E1142" s="132"/>
      <c r="F1142" s="132"/>
      <c r="G1142" s="132"/>
      <c r="H1142" s="132"/>
      <c r="I1142" s="132"/>
      <c r="J1142" s="132"/>
      <c r="K1142" s="132"/>
      <c r="L1142" s="132"/>
      <c r="M1142" s="1"/>
      <c r="N1142" s="1"/>
      <c r="O1142" s="132"/>
      <c r="P1142" s="132"/>
      <c r="Q1142" s="132"/>
      <c r="R1142" s="132"/>
      <c r="S1142" s="132"/>
      <c r="T1142" s="132"/>
      <c r="U1142" s="132"/>
      <c r="V1142" s="132"/>
      <c r="W1142" s="132"/>
      <c r="X1142" s="132"/>
      <c r="Y1142" s="132"/>
      <c r="Z1142" s="132"/>
      <c r="AA1142" s="132"/>
      <c r="AB1142" s="132"/>
      <c r="AC1142" s="132"/>
      <c r="AD1142" s="132"/>
      <c r="AE1142" s="1"/>
    </row>
    <row r="1143" spans="1:31" ht="15.75" customHeight="1">
      <c r="A1143" s="132"/>
      <c r="B1143" s="132"/>
      <c r="C1143" s="132"/>
      <c r="D1143" s="132"/>
      <c r="E1143" s="132"/>
      <c r="F1143" s="132"/>
      <c r="G1143" s="132"/>
      <c r="H1143" s="132"/>
      <c r="I1143" s="132"/>
      <c r="J1143" s="132"/>
      <c r="K1143" s="132"/>
      <c r="L1143" s="132"/>
      <c r="M1143" s="1"/>
      <c r="N1143" s="1"/>
      <c r="O1143" s="132"/>
      <c r="P1143" s="132"/>
      <c r="Q1143" s="132"/>
      <c r="R1143" s="132"/>
      <c r="S1143" s="132"/>
      <c r="T1143" s="132"/>
      <c r="U1143" s="132"/>
      <c r="V1143" s="132"/>
      <c r="W1143" s="132"/>
      <c r="X1143" s="132"/>
      <c r="Y1143" s="132"/>
      <c r="Z1143" s="132"/>
      <c r="AA1143" s="132"/>
      <c r="AB1143" s="132"/>
      <c r="AC1143" s="132"/>
      <c r="AD1143" s="132"/>
      <c r="AE1143" s="1"/>
    </row>
    <row r="1144" spans="1:31" ht="15.75" customHeight="1">
      <c r="A1144" s="132"/>
      <c r="B1144" s="132"/>
      <c r="C1144" s="132"/>
      <c r="D1144" s="132"/>
      <c r="E1144" s="132"/>
      <c r="F1144" s="132"/>
      <c r="G1144" s="132"/>
      <c r="H1144" s="132"/>
      <c r="I1144" s="132"/>
      <c r="J1144" s="132"/>
      <c r="K1144" s="132"/>
      <c r="L1144" s="132"/>
      <c r="M1144" s="1"/>
      <c r="N1144" s="1"/>
      <c r="O1144" s="132"/>
      <c r="P1144" s="132"/>
      <c r="Q1144" s="132"/>
      <c r="R1144" s="132"/>
      <c r="S1144" s="132"/>
      <c r="T1144" s="132"/>
      <c r="U1144" s="132"/>
      <c r="V1144" s="132"/>
      <c r="W1144" s="132"/>
      <c r="X1144" s="132"/>
      <c r="Y1144" s="132"/>
      <c r="Z1144" s="132"/>
      <c r="AA1144" s="132"/>
      <c r="AB1144" s="132"/>
      <c r="AC1144" s="132"/>
      <c r="AD1144" s="132"/>
      <c r="AE1144" s="1"/>
    </row>
    <row r="1145" spans="1:31" ht="15.75" customHeight="1">
      <c r="A1145" s="132"/>
      <c r="B1145" s="132"/>
      <c r="C1145" s="132"/>
      <c r="D1145" s="132"/>
      <c r="E1145" s="132"/>
      <c r="F1145" s="132"/>
      <c r="G1145" s="132"/>
      <c r="H1145" s="132"/>
      <c r="I1145" s="132"/>
      <c r="J1145" s="132"/>
      <c r="K1145" s="132"/>
      <c r="L1145" s="132"/>
      <c r="M1145" s="1"/>
      <c r="N1145" s="1"/>
      <c r="O1145" s="132"/>
      <c r="P1145" s="132"/>
      <c r="Q1145" s="132"/>
      <c r="R1145" s="132"/>
      <c r="S1145" s="132"/>
      <c r="T1145" s="132"/>
      <c r="U1145" s="132"/>
      <c r="V1145" s="132"/>
      <c r="W1145" s="132"/>
      <c r="X1145" s="132"/>
      <c r="Y1145" s="132"/>
      <c r="Z1145" s="132"/>
      <c r="AA1145" s="132"/>
      <c r="AB1145" s="132"/>
      <c r="AC1145" s="132"/>
      <c r="AD1145" s="132"/>
      <c r="AE1145" s="1"/>
    </row>
    <row r="1146" spans="1:31" ht="15.75" customHeight="1">
      <c r="A1146" s="132"/>
      <c r="B1146" s="132"/>
      <c r="C1146" s="132"/>
      <c r="D1146" s="132"/>
      <c r="E1146" s="132"/>
      <c r="F1146" s="132"/>
      <c r="G1146" s="132"/>
      <c r="H1146" s="132"/>
      <c r="I1146" s="132"/>
      <c r="J1146" s="132"/>
      <c r="K1146" s="132"/>
      <c r="L1146" s="132"/>
      <c r="M1146" s="1"/>
      <c r="N1146" s="1"/>
      <c r="O1146" s="132"/>
      <c r="P1146" s="132"/>
      <c r="Q1146" s="132"/>
      <c r="R1146" s="132"/>
      <c r="S1146" s="132"/>
      <c r="T1146" s="132"/>
      <c r="U1146" s="132"/>
      <c r="V1146" s="132"/>
      <c r="W1146" s="132"/>
      <c r="X1146" s="132"/>
      <c r="Y1146" s="132"/>
      <c r="Z1146" s="132"/>
      <c r="AA1146" s="132"/>
      <c r="AB1146" s="132"/>
      <c r="AC1146" s="132"/>
      <c r="AD1146" s="132"/>
      <c r="AE1146" s="1"/>
    </row>
    <row r="1147" spans="1:31" ht="15.75" customHeight="1">
      <c r="A1147" s="132"/>
      <c r="B1147" s="132"/>
      <c r="C1147" s="132"/>
      <c r="D1147" s="132"/>
      <c r="E1147" s="132"/>
      <c r="F1147" s="132"/>
      <c r="G1147" s="132"/>
      <c r="H1147" s="132"/>
      <c r="I1147" s="132"/>
      <c r="J1147" s="132"/>
      <c r="K1147" s="132"/>
      <c r="L1147" s="132"/>
      <c r="M1147" s="1"/>
      <c r="N1147" s="1"/>
      <c r="O1147" s="132"/>
      <c r="P1147" s="132"/>
      <c r="Q1147" s="132"/>
      <c r="R1147" s="132"/>
      <c r="S1147" s="132"/>
      <c r="T1147" s="132"/>
      <c r="U1147" s="132"/>
      <c r="V1147" s="132"/>
      <c r="W1147" s="132"/>
      <c r="X1147" s="132"/>
      <c r="Y1147" s="132"/>
      <c r="Z1147" s="132"/>
      <c r="AA1147" s="132"/>
      <c r="AB1147" s="132"/>
      <c r="AC1147" s="132"/>
      <c r="AD1147" s="132"/>
      <c r="AE1147" s="1"/>
    </row>
    <row r="1148" spans="1:31" ht="15.75" customHeight="1">
      <c r="A1148" s="132"/>
      <c r="B1148" s="132"/>
      <c r="C1148" s="132"/>
      <c r="D1148" s="132"/>
      <c r="E1148" s="132"/>
      <c r="F1148" s="132"/>
      <c r="G1148" s="132"/>
      <c r="H1148" s="132"/>
      <c r="I1148" s="132"/>
      <c r="J1148" s="132"/>
      <c r="K1148" s="132"/>
      <c r="L1148" s="132"/>
      <c r="M1148" s="1"/>
      <c r="N1148" s="1"/>
      <c r="O1148" s="132"/>
      <c r="P1148" s="132"/>
      <c r="Q1148" s="132"/>
      <c r="R1148" s="132"/>
      <c r="S1148" s="132"/>
      <c r="T1148" s="132"/>
      <c r="U1148" s="132"/>
      <c r="V1148" s="132"/>
      <c r="W1148" s="132"/>
      <c r="X1148" s="132"/>
      <c r="Y1148" s="132"/>
      <c r="Z1148" s="132"/>
      <c r="AA1148" s="132"/>
      <c r="AB1148" s="132"/>
      <c r="AC1148" s="132"/>
      <c r="AD1148" s="132"/>
      <c r="AE1148" s="1"/>
    </row>
    <row r="1149" spans="1:31" ht="15.75" customHeight="1">
      <c r="A1149" s="132"/>
      <c r="B1149" s="132"/>
      <c r="C1149" s="132"/>
      <c r="D1149" s="132"/>
      <c r="E1149" s="132"/>
      <c r="F1149" s="132"/>
      <c r="G1149" s="132"/>
      <c r="H1149" s="132"/>
      <c r="I1149" s="132"/>
      <c r="J1149" s="132"/>
      <c r="K1149" s="132"/>
      <c r="L1149" s="132"/>
      <c r="M1149" s="1"/>
      <c r="N1149" s="1"/>
      <c r="O1149" s="132"/>
      <c r="P1149" s="132"/>
      <c r="Q1149" s="132"/>
      <c r="R1149" s="132"/>
      <c r="S1149" s="132"/>
      <c r="T1149" s="132"/>
      <c r="U1149" s="132"/>
      <c r="V1149" s="132"/>
      <c r="W1149" s="132"/>
      <c r="X1149" s="132"/>
      <c r="Y1149" s="132"/>
      <c r="Z1149" s="132"/>
      <c r="AA1149" s="132"/>
      <c r="AB1149" s="132"/>
      <c r="AC1149" s="132"/>
      <c r="AD1149" s="132"/>
      <c r="AE1149" s="1"/>
    </row>
    <row r="1150" spans="1:31" ht="15.75" customHeight="1">
      <c r="A1150" s="132"/>
      <c r="B1150" s="132"/>
      <c r="C1150" s="132"/>
      <c r="D1150" s="132"/>
      <c r="E1150" s="132"/>
      <c r="F1150" s="132"/>
      <c r="G1150" s="132"/>
      <c r="H1150" s="132"/>
      <c r="I1150" s="132"/>
      <c r="J1150" s="132"/>
      <c r="K1150" s="132"/>
      <c r="L1150" s="132"/>
      <c r="M1150" s="1"/>
      <c r="N1150" s="1"/>
      <c r="O1150" s="132"/>
      <c r="P1150" s="132"/>
      <c r="Q1150" s="132"/>
      <c r="R1150" s="132"/>
      <c r="S1150" s="132"/>
      <c r="T1150" s="132"/>
      <c r="U1150" s="132"/>
      <c r="V1150" s="132"/>
      <c r="W1150" s="132"/>
      <c r="X1150" s="132"/>
      <c r="Y1150" s="132"/>
      <c r="Z1150" s="132"/>
      <c r="AA1150" s="132"/>
      <c r="AB1150" s="132"/>
      <c r="AC1150" s="132"/>
      <c r="AD1150" s="132"/>
      <c r="AE1150" s="1"/>
    </row>
    <row r="1151" spans="1:31" ht="15.75" customHeight="1">
      <c r="A1151" s="132"/>
      <c r="B1151" s="132"/>
      <c r="C1151" s="132"/>
      <c r="D1151" s="132"/>
      <c r="E1151" s="132"/>
      <c r="F1151" s="132"/>
      <c r="G1151" s="132"/>
      <c r="H1151" s="132"/>
      <c r="I1151" s="132"/>
      <c r="J1151" s="132"/>
      <c r="K1151" s="132"/>
      <c r="L1151" s="132"/>
      <c r="M1151" s="1"/>
      <c r="N1151" s="1"/>
      <c r="O1151" s="132"/>
      <c r="P1151" s="132"/>
      <c r="Q1151" s="132"/>
      <c r="R1151" s="132"/>
      <c r="S1151" s="132"/>
      <c r="T1151" s="132"/>
      <c r="U1151" s="132"/>
      <c r="V1151" s="132"/>
      <c r="W1151" s="132"/>
      <c r="X1151" s="132"/>
      <c r="Y1151" s="132"/>
      <c r="Z1151" s="132"/>
      <c r="AA1151" s="132"/>
      <c r="AB1151" s="132"/>
      <c r="AC1151" s="132"/>
      <c r="AD1151" s="132"/>
      <c r="AE1151" s="1"/>
    </row>
    <row r="1152" spans="1:31" ht="15.75" customHeight="1">
      <c r="A1152" s="132"/>
      <c r="B1152" s="132"/>
      <c r="C1152" s="132"/>
      <c r="D1152" s="132"/>
      <c r="E1152" s="132"/>
      <c r="F1152" s="132"/>
      <c r="G1152" s="132"/>
      <c r="H1152" s="132"/>
      <c r="I1152" s="132"/>
      <c r="J1152" s="132"/>
      <c r="K1152" s="132"/>
      <c r="L1152" s="132"/>
      <c r="M1152" s="1"/>
      <c r="N1152" s="1"/>
      <c r="O1152" s="132"/>
      <c r="P1152" s="132"/>
      <c r="Q1152" s="132"/>
      <c r="R1152" s="132"/>
      <c r="S1152" s="132"/>
      <c r="T1152" s="132"/>
      <c r="U1152" s="132"/>
      <c r="V1152" s="132"/>
      <c r="W1152" s="132"/>
      <c r="X1152" s="132"/>
      <c r="Y1152" s="132"/>
      <c r="Z1152" s="132"/>
      <c r="AA1152" s="132"/>
      <c r="AB1152" s="132"/>
      <c r="AC1152" s="132"/>
      <c r="AD1152" s="132"/>
      <c r="AE1152" s="1"/>
    </row>
    <row r="1153" spans="1:31" ht="15.75" customHeight="1">
      <c r="A1153" s="132"/>
      <c r="B1153" s="132"/>
      <c r="C1153" s="132"/>
      <c r="D1153" s="132"/>
      <c r="E1153" s="132"/>
      <c r="F1153" s="132"/>
      <c r="G1153" s="132"/>
      <c r="H1153" s="132"/>
      <c r="I1153" s="132"/>
      <c r="J1153" s="132"/>
      <c r="K1153" s="132"/>
      <c r="L1153" s="132"/>
      <c r="M1153" s="1"/>
      <c r="N1153" s="1"/>
      <c r="O1153" s="132"/>
      <c r="P1153" s="132"/>
      <c r="Q1153" s="132"/>
      <c r="R1153" s="132"/>
      <c r="S1153" s="132"/>
      <c r="T1153" s="132"/>
      <c r="U1153" s="132"/>
      <c r="V1153" s="132"/>
      <c r="W1153" s="132"/>
      <c r="X1153" s="132"/>
      <c r="Y1153" s="132"/>
      <c r="Z1153" s="132"/>
      <c r="AA1153" s="132"/>
      <c r="AB1153" s="132"/>
      <c r="AC1153" s="132"/>
      <c r="AD1153" s="132"/>
      <c r="AE1153" s="1"/>
    </row>
    <row r="1154" spans="1:31" ht="15.75" customHeight="1">
      <c r="A1154" s="132"/>
      <c r="B1154" s="132"/>
      <c r="C1154" s="132"/>
      <c r="D1154" s="132"/>
      <c r="E1154" s="132"/>
      <c r="F1154" s="132"/>
      <c r="G1154" s="132"/>
      <c r="H1154" s="132"/>
      <c r="I1154" s="132"/>
      <c r="J1154" s="132"/>
      <c r="K1154" s="132"/>
      <c r="L1154" s="132"/>
      <c r="M1154" s="1"/>
      <c r="N1154" s="1"/>
      <c r="O1154" s="132"/>
      <c r="P1154" s="132"/>
      <c r="Q1154" s="132"/>
      <c r="R1154" s="132"/>
      <c r="S1154" s="132"/>
      <c r="T1154" s="132"/>
      <c r="U1154" s="132"/>
      <c r="V1154" s="132"/>
      <c r="W1154" s="132"/>
      <c r="X1154" s="132"/>
      <c r="Y1154" s="132"/>
      <c r="Z1154" s="132"/>
      <c r="AA1154" s="132"/>
      <c r="AB1154" s="132"/>
      <c r="AC1154" s="132"/>
      <c r="AD1154" s="132"/>
      <c r="AE1154" s="1"/>
    </row>
    <row r="1155" spans="1:31" ht="15.75" customHeight="1">
      <c r="A1155" s="132"/>
      <c r="B1155" s="132"/>
      <c r="C1155" s="132"/>
      <c r="D1155" s="132"/>
      <c r="E1155" s="132"/>
      <c r="F1155" s="132"/>
      <c r="G1155" s="132"/>
      <c r="H1155" s="132"/>
      <c r="I1155" s="132"/>
      <c r="J1155" s="132"/>
      <c r="K1155" s="132"/>
      <c r="L1155" s="132"/>
      <c r="M1155" s="1"/>
      <c r="N1155" s="1"/>
      <c r="O1155" s="132"/>
      <c r="P1155" s="132"/>
      <c r="Q1155" s="132"/>
      <c r="R1155" s="132"/>
      <c r="S1155" s="132"/>
      <c r="T1155" s="132"/>
      <c r="U1155" s="132"/>
      <c r="V1155" s="132"/>
      <c r="W1155" s="132"/>
      <c r="X1155" s="132"/>
      <c r="Y1155" s="132"/>
      <c r="Z1155" s="132"/>
      <c r="AA1155" s="132"/>
      <c r="AB1155" s="132"/>
      <c r="AC1155" s="132"/>
      <c r="AD1155" s="132"/>
      <c r="AE1155" s="1"/>
    </row>
    <row r="1156" spans="1:31" ht="15.75" customHeight="1">
      <c r="A1156" s="132"/>
      <c r="B1156" s="132"/>
      <c r="C1156" s="132"/>
      <c r="D1156" s="132"/>
      <c r="E1156" s="132"/>
      <c r="F1156" s="132"/>
      <c r="G1156" s="132"/>
      <c r="H1156" s="132"/>
      <c r="I1156" s="132"/>
      <c r="J1156" s="132"/>
      <c r="K1156" s="132"/>
      <c r="L1156" s="132"/>
      <c r="M1156" s="1"/>
      <c r="N1156" s="1"/>
      <c r="O1156" s="132"/>
      <c r="P1156" s="132"/>
      <c r="Q1156" s="132"/>
      <c r="R1156" s="132"/>
      <c r="S1156" s="132"/>
      <c r="T1156" s="132"/>
      <c r="U1156" s="132"/>
      <c r="V1156" s="132"/>
      <c r="W1156" s="132"/>
      <c r="X1156" s="132"/>
      <c r="Y1156" s="132"/>
      <c r="Z1156" s="132"/>
      <c r="AA1156" s="132"/>
      <c r="AB1156" s="132"/>
      <c r="AC1156" s="132"/>
      <c r="AD1156" s="132"/>
      <c r="AE1156" s="1"/>
    </row>
    <row r="1157" spans="1:31" ht="15.75" customHeight="1">
      <c r="A1157" s="132"/>
      <c r="B1157" s="132"/>
      <c r="C1157" s="132"/>
      <c r="D1157" s="132"/>
      <c r="E1157" s="132"/>
      <c r="F1157" s="132"/>
      <c r="G1157" s="132"/>
      <c r="H1157" s="132"/>
      <c r="I1157" s="132"/>
      <c r="J1157" s="132"/>
      <c r="K1157" s="132"/>
      <c r="L1157" s="132"/>
      <c r="M1157" s="1"/>
      <c r="N1157" s="1"/>
      <c r="O1157" s="132"/>
      <c r="P1157" s="132"/>
      <c r="Q1157" s="132"/>
      <c r="R1157" s="132"/>
      <c r="S1157" s="132"/>
      <c r="T1157" s="132"/>
      <c r="U1157" s="132"/>
      <c r="V1157" s="132"/>
      <c r="W1157" s="132"/>
      <c r="X1157" s="132"/>
      <c r="Y1157" s="132"/>
      <c r="Z1157" s="132"/>
      <c r="AA1157" s="132"/>
      <c r="AB1157" s="132"/>
      <c r="AC1157" s="132"/>
      <c r="AD1157" s="132"/>
      <c r="AE1157" s="1"/>
    </row>
    <row r="1158" spans="1:31" ht="15.75" customHeight="1">
      <c r="A1158" s="132"/>
      <c r="B1158" s="132"/>
      <c r="C1158" s="132"/>
      <c r="D1158" s="132"/>
      <c r="E1158" s="132"/>
      <c r="F1158" s="132"/>
      <c r="G1158" s="132"/>
      <c r="H1158" s="132"/>
      <c r="I1158" s="132"/>
      <c r="J1158" s="132"/>
      <c r="K1158" s="132"/>
      <c r="L1158" s="132"/>
      <c r="M1158" s="1"/>
      <c r="N1158" s="1"/>
      <c r="O1158" s="132"/>
      <c r="P1158" s="132"/>
      <c r="Q1158" s="132"/>
      <c r="R1158" s="132"/>
      <c r="S1158" s="132"/>
      <c r="T1158" s="132"/>
      <c r="U1158" s="132"/>
      <c r="V1158" s="132"/>
      <c r="W1158" s="132"/>
      <c r="X1158" s="132"/>
      <c r="Y1158" s="132"/>
      <c r="Z1158" s="132"/>
      <c r="AA1158" s="132"/>
      <c r="AB1158" s="132"/>
      <c r="AC1158" s="132"/>
      <c r="AD1158" s="132"/>
      <c r="AE1158" s="1"/>
    </row>
    <row r="1159" spans="1:31" ht="15.75" customHeight="1">
      <c r="A1159" s="132"/>
      <c r="B1159" s="132"/>
      <c r="C1159" s="132"/>
      <c r="D1159" s="132"/>
      <c r="E1159" s="132"/>
      <c r="F1159" s="132"/>
      <c r="G1159" s="132"/>
      <c r="H1159" s="132"/>
      <c r="I1159" s="132"/>
      <c r="J1159" s="132"/>
      <c r="K1159" s="132"/>
      <c r="L1159" s="132"/>
      <c r="M1159" s="1"/>
      <c r="N1159" s="1"/>
      <c r="O1159" s="132"/>
      <c r="P1159" s="132"/>
      <c r="Q1159" s="132"/>
      <c r="R1159" s="132"/>
      <c r="S1159" s="132"/>
      <c r="T1159" s="132"/>
      <c r="U1159" s="132"/>
      <c r="V1159" s="132"/>
      <c r="W1159" s="132"/>
      <c r="X1159" s="132"/>
      <c r="Y1159" s="132"/>
      <c r="Z1159" s="132"/>
      <c r="AA1159" s="132"/>
      <c r="AB1159" s="132"/>
      <c r="AC1159" s="132"/>
      <c r="AD1159" s="132"/>
      <c r="AE1159" s="1"/>
    </row>
    <row r="1160" spans="1:31" ht="15.75" customHeight="1">
      <c r="A1160" s="132"/>
      <c r="B1160" s="132"/>
      <c r="C1160" s="132"/>
      <c r="D1160" s="132"/>
      <c r="E1160" s="132"/>
      <c r="F1160" s="132"/>
      <c r="G1160" s="132"/>
      <c r="H1160" s="132"/>
      <c r="I1160" s="132"/>
      <c r="J1160" s="132"/>
      <c r="K1160" s="132"/>
      <c r="L1160" s="132"/>
      <c r="M1160" s="1"/>
      <c r="N1160" s="1"/>
      <c r="O1160" s="132"/>
      <c r="P1160" s="132"/>
      <c r="Q1160" s="132"/>
      <c r="R1160" s="132"/>
      <c r="S1160" s="132"/>
      <c r="T1160" s="132"/>
      <c r="U1160" s="132"/>
      <c r="V1160" s="132"/>
      <c r="W1160" s="132"/>
      <c r="X1160" s="132"/>
      <c r="Y1160" s="132"/>
      <c r="Z1160" s="132"/>
      <c r="AA1160" s="132"/>
      <c r="AB1160" s="132"/>
      <c r="AC1160" s="132"/>
      <c r="AD1160" s="132"/>
      <c r="AE1160" s="1"/>
    </row>
    <row r="1161" spans="1:31" ht="15.75" customHeight="1">
      <c r="A1161" s="132"/>
      <c r="B1161" s="132"/>
      <c r="C1161" s="132"/>
      <c r="D1161" s="132"/>
      <c r="E1161" s="132"/>
      <c r="F1161" s="132"/>
      <c r="G1161" s="132"/>
      <c r="H1161" s="132"/>
      <c r="I1161" s="132"/>
      <c r="J1161" s="132"/>
      <c r="K1161" s="132"/>
      <c r="L1161" s="132"/>
      <c r="M1161" s="1"/>
      <c r="N1161" s="1"/>
      <c r="O1161" s="132"/>
      <c r="P1161" s="132"/>
      <c r="Q1161" s="132"/>
      <c r="R1161" s="132"/>
      <c r="S1161" s="132"/>
      <c r="T1161" s="132"/>
      <c r="U1161" s="132"/>
      <c r="V1161" s="132"/>
      <c r="W1161" s="132"/>
      <c r="X1161" s="132"/>
      <c r="Y1161" s="132"/>
      <c r="Z1161" s="132"/>
      <c r="AA1161" s="132"/>
      <c r="AB1161" s="132"/>
      <c r="AC1161" s="132"/>
      <c r="AD1161" s="132"/>
      <c r="AE1161" s="1"/>
    </row>
    <row r="1162" spans="1:31" ht="15.75" customHeight="1">
      <c r="A1162" s="132"/>
      <c r="B1162" s="132"/>
      <c r="C1162" s="132"/>
      <c r="D1162" s="132"/>
      <c r="E1162" s="132"/>
      <c r="F1162" s="132"/>
      <c r="G1162" s="132"/>
      <c r="H1162" s="132"/>
      <c r="I1162" s="132"/>
      <c r="J1162" s="132"/>
      <c r="K1162" s="132"/>
      <c r="L1162" s="132"/>
      <c r="M1162" s="1"/>
      <c r="N1162" s="1"/>
      <c r="O1162" s="132"/>
      <c r="P1162" s="132"/>
      <c r="Q1162" s="132"/>
      <c r="R1162" s="132"/>
      <c r="S1162" s="132"/>
      <c r="T1162" s="132"/>
      <c r="U1162" s="132"/>
      <c r="V1162" s="132"/>
      <c r="W1162" s="132"/>
      <c r="X1162" s="132"/>
      <c r="Y1162" s="132"/>
      <c r="Z1162" s="132"/>
      <c r="AA1162" s="132"/>
      <c r="AB1162" s="132"/>
      <c r="AC1162" s="132"/>
      <c r="AD1162" s="132"/>
      <c r="AE1162" s="1"/>
    </row>
    <row r="1163" spans="1:31" ht="15.75" customHeight="1">
      <c r="A1163" s="132"/>
      <c r="B1163" s="132"/>
      <c r="C1163" s="132"/>
      <c r="D1163" s="132"/>
      <c r="E1163" s="132"/>
      <c r="F1163" s="132"/>
      <c r="G1163" s="132"/>
      <c r="H1163" s="132"/>
      <c r="I1163" s="132"/>
      <c r="J1163" s="132"/>
      <c r="K1163" s="132"/>
      <c r="L1163" s="132"/>
      <c r="M1163" s="1"/>
      <c r="N1163" s="1"/>
      <c r="O1163" s="132"/>
      <c r="P1163" s="132"/>
      <c r="Q1163" s="132"/>
      <c r="R1163" s="132"/>
      <c r="S1163" s="132"/>
      <c r="T1163" s="132"/>
      <c r="U1163" s="132"/>
      <c r="V1163" s="132"/>
      <c r="W1163" s="132"/>
      <c r="X1163" s="132"/>
      <c r="Y1163" s="132"/>
      <c r="Z1163" s="132"/>
      <c r="AA1163" s="132"/>
      <c r="AB1163" s="132"/>
      <c r="AC1163" s="132"/>
      <c r="AD1163" s="132"/>
      <c r="AE1163" s="1"/>
    </row>
    <row r="1164" spans="1:31" ht="15.75" customHeight="1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</row>
  </sheetData>
  <mergeCells count="383">
    <mergeCell ref="AF9:AJ9"/>
    <mergeCell ref="AO7:AR7"/>
    <mergeCell ref="AO35:AR35"/>
    <mergeCell ref="AF29:AJ29"/>
    <mergeCell ref="AF31:AJ31"/>
    <mergeCell ref="AF32:AJ32"/>
    <mergeCell ref="AF33:AJ33"/>
    <mergeCell ref="AF30:AJ30"/>
    <mergeCell ref="AO3:AR6"/>
    <mergeCell ref="AO27:AR27"/>
    <mergeCell ref="AO28:AR28"/>
    <mergeCell ref="AO29:AR29"/>
    <mergeCell ref="AO31:AR31"/>
    <mergeCell ref="AO32:AR32"/>
    <mergeCell ref="AO33:AR33"/>
    <mergeCell ref="AO34:AR34"/>
    <mergeCell ref="AK30:AN30"/>
    <mergeCell ref="AO30:AR30"/>
    <mergeCell ref="AK21:AN21"/>
    <mergeCell ref="AF3:AJ3"/>
    <mergeCell ref="AO15:AR15"/>
    <mergeCell ref="AO1:AR2"/>
    <mergeCell ref="AO8:AR8"/>
    <mergeCell ref="AO9:AR9"/>
    <mergeCell ref="AO10:AR10"/>
    <mergeCell ref="AO11:AR11"/>
    <mergeCell ref="AO12:AR12"/>
    <mergeCell ref="AO13:AR13"/>
    <mergeCell ref="AO14:AR14"/>
    <mergeCell ref="M3:R25"/>
    <mergeCell ref="AK15:AN15"/>
    <mergeCell ref="AK16:AN16"/>
    <mergeCell ref="AK17:AN17"/>
    <mergeCell ref="AK18:AN18"/>
    <mergeCell ref="AO16:AR16"/>
    <mergeCell ref="AO17:AR17"/>
    <mergeCell ref="AO18:AR18"/>
    <mergeCell ref="AO19:AR19"/>
    <mergeCell ref="AO20:AR20"/>
    <mergeCell ref="AO21:AR21"/>
    <mergeCell ref="AO22:AR22"/>
    <mergeCell ref="AO23:AR23"/>
    <mergeCell ref="AO24:AR24"/>
    <mergeCell ref="AK20:AN20"/>
    <mergeCell ref="AK3:AN3"/>
    <mergeCell ref="O1048:Q1048"/>
    <mergeCell ref="O1049:Q1049"/>
    <mergeCell ref="A1:D1"/>
    <mergeCell ref="E1:G1"/>
    <mergeCell ref="A2:D2"/>
    <mergeCell ref="E2:G2"/>
    <mergeCell ref="A14:D14"/>
    <mergeCell ref="E14:G14"/>
    <mergeCell ref="H14:L14"/>
    <mergeCell ref="A9:D9"/>
    <mergeCell ref="E9:F9"/>
    <mergeCell ref="H9:L9"/>
    <mergeCell ref="A15:D15"/>
    <mergeCell ref="E15:G15"/>
    <mergeCell ref="H15:L15"/>
    <mergeCell ref="A12:D12"/>
    <mergeCell ref="E12:G12"/>
    <mergeCell ref="H12:L12"/>
    <mergeCell ref="A13:D13"/>
    <mergeCell ref="E13:G13"/>
    <mergeCell ref="H13:L13"/>
    <mergeCell ref="A134:C134"/>
    <mergeCell ref="A132:C132"/>
    <mergeCell ref="A11:D11"/>
    <mergeCell ref="E11:G11"/>
    <mergeCell ref="H11:L11"/>
    <mergeCell ref="H6:L6"/>
    <mergeCell ref="A7:D7"/>
    <mergeCell ref="E7:F7"/>
    <mergeCell ref="H7:L7"/>
    <mergeCell ref="A8:D8"/>
    <mergeCell ref="E8:F8"/>
    <mergeCell ref="H8:L8"/>
    <mergeCell ref="H4:L4"/>
    <mergeCell ref="A5:D5"/>
    <mergeCell ref="E5:G5"/>
    <mergeCell ref="H5:L5"/>
    <mergeCell ref="A6:D6"/>
    <mergeCell ref="E6:F6"/>
    <mergeCell ref="A10:D10"/>
    <mergeCell ref="E10:G10"/>
    <mergeCell ref="H10:L10"/>
    <mergeCell ref="A3:G4"/>
    <mergeCell ref="H3:L3"/>
    <mergeCell ref="A824:C824"/>
    <mergeCell ref="A690:C690"/>
    <mergeCell ref="E18:G18"/>
    <mergeCell ref="A133:C133"/>
    <mergeCell ref="A775:D775"/>
    <mergeCell ref="A21:D21"/>
    <mergeCell ref="E21:G21"/>
    <mergeCell ref="A22:D22"/>
    <mergeCell ref="E22:G22"/>
    <mergeCell ref="A23:D23"/>
    <mergeCell ref="E23:G23"/>
    <mergeCell ref="A19:D19"/>
    <mergeCell ref="E19:G19"/>
    <mergeCell ref="A20:D20"/>
    <mergeCell ref="E20:G20"/>
    <mergeCell ref="A27:D27"/>
    <mergeCell ref="E27:G27"/>
    <mergeCell ref="A24:D24"/>
    <mergeCell ref="E24:G24"/>
    <mergeCell ref="A25:D25"/>
    <mergeCell ref="E25:G25"/>
    <mergeCell ref="A26:D26"/>
    <mergeCell ref="E26:G26"/>
    <mergeCell ref="A205:C205"/>
    <mergeCell ref="A28:D28"/>
    <mergeCell ref="E28:G28"/>
    <mergeCell ref="A29:D29"/>
    <mergeCell ref="E29:G29"/>
    <mergeCell ref="AO26:AR26"/>
    <mergeCell ref="N139:P139"/>
    <mergeCell ref="A200:E200"/>
    <mergeCell ref="A16:D16"/>
    <mergeCell ref="E16:G16"/>
    <mergeCell ref="H16:L16"/>
    <mergeCell ref="A17:D17"/>
    <mergeCell ref="E17:G17"/>
    <mergeCell ref="H17:L17"/>
    <mergeCell ref="A18:D18"/>
    <mergeCell ref="AO36:AR36"/>
    <mergeCell ref="AF38:AR46"/>
    <mergeCell ref="AF17:AJ17"/>
    <mergeCell ref="AF18:AJ18"/>
    <mergeCell ref="AK25:AN25"/>
    <mergeCell ref="AO25:AR25"/>
    <mergeCell ref="N210:P210"/>
    <mergeCell ref="I36:I37"/>
    <mergeCell ref="A81:E81"/>
    <mergeCell ref="A82:E82"/>
    <mergeCell ref="B84:B85"/>
    <mergeCell ref="C84:C85"/>
    <mergeCell ref="A202:C202"/>
    <mergeCell ref="A203:C203"/>
    <mergeCell ref="A204:C204"/>
    <mergeCell ref="A130:E130"/>
    <mergeCell ref="A139:C139"/>
    <mergeCell ref="A255:C255"/>
    <mergeCell ref="A256:C256"/>
    <mergeCell ref="A603:C603"/>
    <mergeCell ref="A32:E32"/>
    <mergeCell ref="A33:D33"/>
    <mergeCell ref="A34:D34"/>
    <mergeCell ref="B36:B37"/>
    <mergeCell ref="G36:G37"/>
    <mergeCell ref="H36:H37"/>
    <mergeCell ref="A210:C210"/>
    <mergeCell ref="A512:L542"/>
    <mergeCell ref="G914:I914"/>
    <mergeCell ref="A689:C689"/>
    <mergeCell ref="A691:C691"/>
    <mergeCell ref="A692:C692"/>
    <mergeCell ref="O1046:Q1046"/>
    <mergeCell ref="A917:C917"/>
    <mergeCell ref="O267:Q267"/>
    <mergeCell ref="A257:C257"/>
    <mergeCell ref="A249:E249"/>
    <mergeCell ref="A643:C643"/>
    <mergeCell ref="O643:Q643"/>
    <mergeCell ref="D456:E456"/>
    <mergeCell ref="A251:E251"/>
    <mergeCell ref="A252:E252"/>
    <mergeCell ref="A265:D265"/>
    <mergeCell ref="A266:C266"/>
    <mergeCell ref="A267:C267"/>
    <mergeCell ref="A259:C259"/>
    <mergeCell ref="A260:C260"/>
    <mergeCell ref="A261:C261"/>
    <mergeCell ref="A254:C254"/>
    <mergeCell ref="A308:C308"/>
    <mergeCell ref="O308:Q308"/>
    <mergeCell ref="O270:AD300"/>
    <mergeCell ref="AV362:AX362"/>
    <mergeCell ref="A457:C457"/>
    <mergeCell ref="A458:C458"/>
    <mergeCell ref="A830:L860"/>
    <mergeCell ref="A869:L899"/>
    <mergeCell ref="A1046:C1046"/>
    <mergeCell ref="A1047:C1047"/>
    <mergeCell ref="A1048:C1048"/>
    <mergeCell ref="A1049:C1049"/>
    <mergeCell ref="A915:C915"/>
    <mergeCell ref="A916:C916"/>
    <mergeCell ref="A918:C918"/>
    <mergeCell ref="A1000:L1030"/>
    <mergeCell ref="A909:C909"/>
    <mergeCell ref="A910:C910"/>
    <mergeCell ref="A911:C911"/>
    <mergeCell ref="A912:C912"/>
    <mergeCell ref="A920:D920"/>
    <mergeCell ref="A959:D959"/>
    <mergeCell ref="A922:L952"/>
    <mergeCell ref="D822:F822"/>
    <mergeCell ref="O1047:Q1047"/>
    <mergeCell ref="A998:D998"/>
    <mergeCell ref="A1037:E1037"/>
    <mergeCell ref="O512:AD542"/>
    <mergeCell ref="A408:C408"/>
    <mergeCell ref="A409:C409"/>
    <mergeCell ref="A454:E454"/>
    <mergeCell ref="A497:E497"/>
    <mergeCell ref="A499:C499"/>
    <mergeCell ref="A500:C500"/>
    <mergeCell ref="A501:C501"/>
    <mergeCell ref="A502:C502"/>
    <mergeCell ref="A412:C412"/>
    <mergeCell ref="O510:R510"/>
    <mergeCell ref="A510:C510"/>
    <mergeCell ref="A506:C506"/>
    <mergeCell ref="A507:C507"/>
    <mergeCell ref="A508:C508"/>
    <mergeCell ref="A1133:L1163"/>
    <mergeCell ref="O1055:AD1085"/>
    <mergeCell ref="O1094:AD1124"/>
    <mergeCell ref="O1133:AD1163"/>
    <mergeCell ref="O1131:R1131"/>
    <mergeCell ref="O1092:R1092"/>
    <mergeCell ref="A645:L675"/>
    <mergeCell ref="O645:AD675"/>
    <mergeCell ref="A699:L729"/>
    <mergeCell ref="A738:L768"/>
    <mergeCell ref="O738:AD768"/>
    <mergeCell ref="A777:L807"/>
    <mergeCell ref="O777:AD807"/>
    <mergeCell ref="O1053:R1053"/>
    <mergeCell ref="A1043:L1044"/>
    <mergeCell ref="O1043:AD1044"/>
    <mergeCell ref="A819:C819"/>
    <mergeCell ref="A827:D827"/>
    <mergeCell ref="A867:D867"/>
    <mergeCell ref="A907:E907"/>
    <mergeCell ref="A822:C822"/>
    <mergeCell ref="A823:C823"/>
    <mergeCell ref="A695:C695"/>
    <mergeCell ref="A1039:C1039"/>
    <mergeCell ref="A1053:D1053"/>
    <mergeCell ref="A1092:D1092"/>
    <mergeCell ref="A1131:D1131"/>
    <mergeCell ref="A1055:L1085"/>
    <mergeCell ref="A1094:L1124"/>
    <mergeCell ref="A736:D736"/>
    <mergeCell ref="O736:Q736"/>
    <mergeCell ref="A549:C549"/>
    <mergeCell ref="O549:Q549"/>
    <mergeCell ref="O775:Q775"/>
    <mergeCell ref="O551:AD581"/>
    <mergeCell ref="A592:C592"/>
    <mergeCell ref="A593:C593"/>
    <mergeCell ref="A961:L991"/>
    <mergeCell ref="A589:E589"/>
    <mergeCell ref="A605:L635"/>
    <mergeCell ref="O605:AD635"/>
    <mergeCell ref="A600:C600"/>
    <mergeCell ref="A1040:C1040"/>
    <mergeCell ref="A1041:C1041"/>
    <mergeCell ref="G822:I822"/>
    <mergeCell ref="A825:C825"/>
    <mergeCell ref="A914:C914"/>
    <mergeCell ref="D914:F914"/>
    <mergeCell ref="U3:AD3"/>
    <mergeCell ref="A451:E451"/>
    <mergeCell ref="A453:E453"/>
    <mergeCell ref="A414:L444"/>
    <mergeCell ref="O414:AD444"/>
    <mergeCell ref="O412:Q412"/>
    <mergeCell ref="D405:F405"/>
    <mergeCell ref="G405:I405"/>
    <mergeCell ref="A355:C355"/>
    <mergeCell ref="A306:C306"/>
    <mergeCell ref="A406:C406"/>
    <mergeCell ref="A212:L242"/>
    <mergeCell ref="N212:AC242"/>
    <mergeCell ref="A352:C352"/>
    <mergeCell ref="A354:C354"/>
    <mergeCell ref="A353:C353"/>
    <mergeCell ref="A364:L394"/>
    <mergeCell ref="O364:AD394"/>
    <mergeCell ref="A351:C351"/>
    <mergeCell ref="A362:C362"/>
    <mergeCell ref="O362:Q362"/>
    <mergeCell ref="A348:C348"/>
    <mergeCell ref="A270:L300"/>
    <mergeCell ref="A345:E345"/>
    <mergeCell ref="A818:C818"/>
    <mergeCell ref="A599:C599"/>
    <mergeCell ref="A591:C591"/>
    <mergeCell ref="A551:L581"/>
    <mergeCell ref="A816:C816"/>
    <mergeCell ref="A682:E682"/>
    <mergeCell ref="A684:C684"/>
    <mergeCell ref="A685:C685"/>
    <mergeCell ref="A686:C686"/>
    <mergeCell ref="A687:C687"/>
    <mergeCell ref="A697:D697"/>
    <mergeCell ref="D689:F689"/>
    <mergeCell ref="G689:I689"/>
    <mergeCell ref="A814:E814"/>
    <mergeCell ref="A693:C693"/>
    <mergeCell ref="A694:C694"/>
    <mergeCell ref="A594:C594"/>
    <mergeCell ref="A596:C596"/>
    <mergeCell ref="A597:C597"/>
    <mergeCell ref="A598:C598"/>
    <mergeCell ref="A817:C817"/>
    <mergeCell ref="AG267:AI267"/>
    <mergeCell ref="AF16:AJ16"/>
    <mergeCell ref="AF24:AJ24"/>
    <mergeCell ref="AF26:AJ26"/>
    <mergeCell ref="AF27:AJ27"/>
    <mergeCell ref="D457:E457"/>
    <mergeCell ref="A504:C504"/>
    <mergeCell ref="A505:C505"/>
    <mergeCell ref="A347:C347"/>
    <mergeCell ref="A310:L340"/>
    <mergeCell ref="AF25:AJ25"/>
    <mergeCell ref="AE212:AT242"/>
    <mergeCell ref="AE210:AG210"/>
    <mergeCell ref="AG270:AV300"/>
    <mergeCell ref="AG308:AI308"/>
    <mergeCell ref="AG310:AV340"/>
    <mergeCell ref="AG364:AS393"/>
    <mergeCell ref="AG414:AV444"/>
    <mergeCell ref="AV364:BH393"/>
    <mergeCell ref="AG362:AI362"/>
    <mergeCell ref="A461:L491"/>
    <mergeCell ref="A401:E401"/>
    <mergeCell ref="A403:C403"/>
    <mergeCell ref="A407:C407"/>
    <mergeCell ref="O603:R603"/>
    <mergeCell ref="O310:AD340"/>
    <mergeCell ref="AK7:AN7"/>
    <mergeCell ref="AK8:AN8"/>
    <mergeCell ref="AK19:AN19"/>
    <mergeCell ref="AF28:AJ28"/>
    <mergeCell ref="AG412:AI412"/>
    <mergeCell ref="AK9:AN9"/>
    <mergeCell ref="AK10:AN10"/>
    <mergeCell ref="AK11:AN11"/>
    <mergeCell ref="AK12:AN12"/>
    <mergeCell ref="AF19:AJ19"/>
    <mergeCell ref="AF20:AJ20"/>
    <mergeCell ref="AF21:AJ21"/>
    <mergeCell ref="AF22:AJ22"/>
    <mergeCell ref="AF23:AJ23"/>
    <mergeCell ref="AF10:AJ10"/>
    <mergeCell ref="AF11:AJ11"/>
    <mergeCell ref="AF12:AJ12"/>
    <mergeCell ref="AF13:AJ13"/>
    <mergeCell ref="AF14:AJ14"/>
    <mergeCell ref="AF15:AJ15"/>
    <mergeCell ref="AK13:AN13"/>
    <mergeCell ref="AK14:AN14"/>
    <mergeCell ref="AF1:AN2"/>
    <mergeCell ref="AF35:AJ35"/>
    <mergeCell ref="AF36:AJ36"/>
    <mergeCell ref="AK34:AN34"/>
    <mergeCell ref="AK35:AN35"/>
    <mergeCell ref="AK36:AN36"/>
    <mergeCell ref="AF5:AJ6"/>
    <mergeCell ref="AK27:AN27"/>
    <mergeCell ref="AK24:AN24"/>
    <mergeCell ref="AK26:AN26"/>
    <mergeCell ref="AK28:AN28"/>
    <mergeCell ref="AK29:AN29"/>
    <mergeCell ref="AK31:AN31"/>
    <mergeCell ref="AK32:AN32"/>
    <mergeCell ref="AK33:AN33"/>
    <mergeCell ref="AF34:AJ34"/>
    <mergeCell ref="AK22:AN22"/>
    <mergeCell ref="AK23:AN23"/>
    <mergeCell ref="AK4:AN4"/>
    <mergeCell ref="AK5:AN5"/>
    <mergeCell ref="AK6:AN6"/>
    <mergeCell ref="AF4:AJ4"/>
    <mergeCell ref="AF7:AJ7"/>
    <mergeCell ref="AF8:AJ8"/>
  </mergeCells>
  <conditionalFormatting sqref="K255:L257 J352:K355 K259:L261 K203:L205">
    <cfRule type="colorScale" priority="65">
      <colorScale>
        <cfvo type="num" val="2"/>
        <cfvo type="num" val="2"/>
        <cfvo type="num" val="5"/>
        <color rgb="FFF8696B"/>
        <color rgb="FFFFEB84"/>
        <color rgb="FF63BE7B"/>
      </colorScale>
    </cfRule>
  </conditionalFormatting>
  <conditionalFormatting sqref="AO31:AR36 AO23:AR24 AO26:AR29">
    <cfRule type="colorScale" priority="62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14:AN14">
    <cfRule type="expression" dxfId="30" priority="24">
      <formula>OR($K$255&lt;0,$L$255&lt;0)</formula>
    </cfRule>
    <cfRule type="expression" dxfId="29" priority="59">
      <formula>OR($K$255&lt;1,$L$255&lt;1)</formula>
    </cfRule>
  </conditionalFormatting>
  <conditionalFormatting sqref="AK15:AN15">
    <cfRule type="expression" dxfId="28" priority="23">
      <formula>OR($K$256&lt;0,$L$256&lt;0)</formula>
    </cfRule>
    <cfRule type="expression" dxfId="27" priority="58">
      <formula>OR($K$256&lt;1,$L$256&lt;1)</formula>
    </cfRule>
  </conditionalFormatting>
  <conditionalFormatting sqref="AK16:AN16">
    <cfRule type="expression" dxfId="26" priority="22">
      <formula>OR($K$257&lt;0,$L$257&lt;0)</formula>
    </cfRule>
    <cfRule type="expression" dxfId="25" priority="57">
      <formula>OR($K$257&lt;1,$L$257&lt;1)</formula>
    </cfRule>
  </conditionalFormatting>
  <conditionalFormatting sqref="AK18:AN18">
    <cfRule type="expression" dxfId="24" priority="21">
      <formula>OR($K$259&lt;0,$L$259&lt;0)</formula>
    </cfRule>
    <cfRule type="expression" dxfId="23" priority="56">
      <formula>OR($K$259&lt;1,$L$259&lt;1)</formula>
    </cfRule>
  </conditionalFormatting>
  <conditionalFormatting sqref="AK19:AN19">
    <cfRule type="expression" dxfId="22" priority="20">
      <formula>OR($K$260&lt;0,$L$260&lt;0)</formula>
    </cfRule>
    <cfRule type="expression" dxfId="21" priority="55">
      <formula>OR($K$260&lt;1,$L$260&lt;1)</formula>
    </cfRule>
  </conditionalFormatting>
  <conditionalFormatting sqref="AK20:AN20">
    <cfRule type="expression" dxfId="20" priority="19">
      <formula>OR($K$261&lt;0,$L$261&lt;0)</formula>
    </cfRule>
    <cfRule type="expression" dxfId="19" priority="54">
      <formula>OR($K$261&lt;1,$L$261&lt;1)</formula>
    </cfRule>
  </conditionalFormatting>
  <conditionalFormatting sqref="AK23:AN23">
    <cfRule type="expression" dxfId="18" priority="18">
      <formula>OR($J$352&lt;0,$K$352&lt;0)</formula>
    </cfRule>
    <cfRule type="expression" dxfId="17" priority="53">
      <formula>OR($J$352&lt;1,$K$352&lt;1)</formula>
    </cfRule>
  </conditionalFormatting>
  <conditionalFormatting sqref="AK24:AN24">
    <cfRule type="expression" dxfId="16" priority="17">
      <formula>OR($J$353&lt;0,$K$353&lt;0)</formula>
    </cfRule>
    <cfRule type="expression" dxfId="15" priority="52">
      <formula>OR($J$353&lt;1,$K$353&lt;1)</formula>
    </cfRule>
  </conditionalFormatting>
  <conditionalFormatting sqref="AK26:AN26">
    <cfRule type="expression" dxfId="14" priority="16">
      <formula>OR($J$355&lt;0,$K$355&lt;0)</formula>
    </cfRule>
    <cfRule type="expression" dxfId="13" priority="51">
      <formula>OR($J$355&lt;1,$K$355&lt;1)</formula>
    </cfRule>
  </conditionalFormatting>
  <conditionalFormatting sqref="AK27:AN27">
    <cfRule type="expression" dxfId="12" priority="15">
      <formula>$D$458&lt;$E$22</formula>
    </cfRule>
    <cfRule type="expression" dxfId="11" priority="50">
      <formula>$D$458&lt;($E$22*1.2)</formula>
    </cfRule>
  </conditionalFormatting>
  <conditionalFormatting sqref="AO11:AR20">
    <cfRule type="colorScale" priority="49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34:AN34">
    <cfRule type="expression" dxfId="10" priority="48">
      <formula>MAX($S$1047:$S$1049)&gt;0.8*$E$14</formula>
    </cfRule>
  </conditionalFormatting>
  <conditionalFormatting sqref="AK35:AN35">
    <cfRule type="expression" dxfId="9" priority="47">
      <formula>MAX($E$1047:$E$1049)&gt;0.8*$E$18</formula>
    </cfRule>
  </conditionalFormatting>
  <conditionalFormatting sqref="AO30:AR30">
    <cfRule type="colorScale" priority="45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30:AN30">
    <cfRule type="expression" dxfId="8" priority="42">
      <formula>OR(AVERAGE($E$408:$E$409)&lt;(0.95*1000*$E$11),AVERAGE($E$408:$E$409)&gt;$E$11*1000*1.05)</formula>
    </cfRule>
  </conditionalFormatting>
  <conditionalFormatting sqref="AO7:AR8">
    <cfRule type="colorScale" priority="35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O9:AR10">
    <cfRule type="colorScale" priority="34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8:AN8">
    <cfRule type="colorScale" priority="14">
      <colorScale>
        <cfvo type="num" val="0.7"/>
        <cfvo type="percentile" val="0.9"/>
        <cfvo type="num" val="0.9"/>
        <color rgb="FFF8696B"/>
        <color rgb="FFFFEB84"/>
        <color rgb="FF63BE7B"/>
      </colorScale>
    </cfRule>
  </conditionalFormatting>
  <conditionalFormatting sqref="AK7:AN7">
    <cfRule type="containsText" dxfId="7" priority="12" operator="containsText" text="With spec">
      <formula>NOT(ISERROR(SEARCH("With spec",AK7)))</formula>
    </cfRule>
    <cfRule type="containsText" dxfId="6" priority="13" operator="containsText" text="OUT OF SPEC">
      <formula>NOT(ISERROR(SEARCH("OUT OF SPEC",AK7)))</formula>
    </cfRule>
  </conditionalFormatting>
  <conditionalFormatting sqref="L352:L355">
    <cfRule type="colorScale" priority="11">
      <colorScale>
        <cfvo type="num" val="0"/>
        <cfvo type="num" val="2"/>
        <cfvo type="num" val="4"/>
        <color rgb="FF00B050"/>
        <color rgb="FFFFEB84"/>
        <color rgb="FFFF0000"/>
      </colorScale>
    </cfRule>
  </conditionalFormatting>
  <conditionalFormatting sqref="AO25:AR25">
    <cfRule type="colorScale" priority="10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25:AN25">
    <cfRule type="expression" dxfId="5" priority="6">
      <formula>$L$353&gt;2</formula>
    </cfRule>
    <cfRule type="expression" dxfId="4" priority="7">
      <formula>$L$353&gt;1</formula>
    </cfRule>
  </conditionalFormatting>
  <conditionalFormatting sqref="M203:M205">
    <cfRule type="colorScale" priority="4">
      <colorScale>
        <cfvo type="num" val="0"/>
        <cfvo type="num" val="2"/>
        <cfvo type="num" val="4"/>
        <color rgb="FF00B050"/>
        <color rgb="FFFFEB84"/>
        <color rgb="FFFF0000"/>
      </colorScale>
    </cfRule>
    <cfRule type="colorScale" priority="3">
      <colorScale>
        <cfvo type="num" val="1"/>
        <cfvo type="num" val="1.5"/>
        <cfvo type="num" val="2"/>
        <color rgb="FF92D050"/>
        <color rgb="FFFFEB84"/>
        <color rgb="FFC00000"/>
      </colorScale>
    </cfRule>
  </conditionalFormatting>
  <conditionalFormatting sqref="AK11:AN12">
    <cfRule type="expression" dxfId="3" priority="41">
      <formula>OR($K203&lt;0,$L203&lt;0,$M203&gt;1)</formula>
    </cfRule>
    <cfRule type="expression" dxfId="2" priority="61">
      <formula>OR($K203&lt;1,$L203&lt;1,$M203&gt;0.7)</formula>
    </cfRule>
  </conditionalFormatting>
  <conditionalFormatting sqref="AK9:AN10">
    <cfRule type="expression" priority="27" stopIfTrue="1">
      <formula>OR(ISBLANK($D133),ISBLANK($E133))</formula>
    </cfRule>
    <cfRule type="expression" dxfId="1" priority="28">
      <formula>OR($D133&lt;$F133,$E133&lt;$G133)</formula>
    </cfRule>
    <cfRule type="expression" dxfId="0" priority="32">
      <formula>OR($D133&lt;$F133+5,$E133&lt;$G133+2)</formula>
    </cfRule>
  </conditionalFormatting>
  <pageMargins left="0" right="0" top="0.39410000000000006" bottom="0.39410000000000006" header="0" footer="0"/>
  <pageSetup orientation="portrait" horizontalDpi="300" verticalDpi="300" r:id="rId1"/>
  <headerFooter>
    <oddHeader>&amp;C&amp;A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Results">
                <anchor moveWithCells="1" sizeWithCells="1">
                  <from>
                    <xdr:col>22</xdr:col>
                    <xdr:colOff>276225</xdr:colOff>
                    <xdr:row>3</xdr:row>
                    <xdr:rowOff>200025</xdr:rowOff>
                  </from>
                  <to>
                    <xdr:col>26</xdr:col>
                    <xdr:colOff>609600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FB918-02A7-4FE0-ABF0-BA828DD9B4E8}">
  <sheetPr codeName="Sheet3">
    <pageSetUpPr autoPageBreaks="0"/>
  </sheetPr>
  <dimension ref="A1:B16"/>
  <sheetViews>
    <sheetView workbookViewId="0">
      <selection activeCell="B6" sqref="B6"/>
    </sheetView>
  </sheetViews>
  <sheetFormatPr defaultRowHeight="14.25"/>
  <cols>
    <col min="2" max="2" width="76.625" customWidth="1"/>
  </cols>
  <sheetData>
    <row r="1" spans="1:2">
      <c r="A1" s="54" t="s">
        <v>212</v>
      </c>
      <c r="B1" s="54" t="s">
        <v>213</v>
      </c>
    </row>
    <row r="2" spans="1:2" ht="29.25" customHeight="1">
      <c r="A2" s="54" t="s">
        <v>204</v>
      </c>
      <c r="B2" s="55" t="s">
        <v>214</v>
      </c>
    </row>
    <row r="3" spans="1:2" ht="29.25" customHeight="1">
      <c r="A3" s="54" t="s">
        <v>211</v>
      </c>
      <c r="B3" s="57" t="s">
        <v>218</v>
      </c>
    </row>
    <row r="4" spans="1:2" ht="29.25" customHeight="1">
      <c r="A4" s="54" t="s">
        <v>219</v>
      </c>
      <c r="B4" s="55" t="s">
        <v>220</v>
      </c>
    </row>
    <row r="5" spans="1:2" ht="42.75">
      <c r="A5" s="58" t="s">
        <v>221</v>
      </c>
      <c r="B5" s="59" t="s">
        <v>222</v>
      </c>
    </row>
    <row r="6" spans="1:2" ht="29.25" customHeight="1">
      <c r="A6" s="54"/>
      <c r="B6" s="54"/>
    </row>
    <row r="7" spans="1:2" ht="29.25" customHeight="1">
      <c r="A7" s="54"/>
      <c r="B7" s="54"/>
    </row>
    <row r="8" spans="1:2" ht="29.25" customHeight="1">
      <c r="A8" s="54"/>
      <c r="B8" s="54"/>
    </row>
    <row r="9" spans="1:2" ht="29.25" customHeight="1">
      <c r="A9" s="54"/>
      <c r="B9" s="54"/>
    </row>
    <row r="10" spans="1:2" ht="29.25" customHeight="1">
      <c r="A10" s="54"/>
      <c r="B10" s="54"/>
    </row>
    <row r="11" spans="1:2" ht="29.25" customHeight="1">
      <c r="A11" s="54"/>
      <c r="B11" s="54"/>
    </row>
    <row r="12" spans="1:2" ht="29.25" customHeight="1">
      <c r="A12" s="54"/>
      <c r="B12" s="54"/>
    </row>
    <row r="13" spans="1:2" ht="29.25" customHeight="1">
      <c r="A13" s="54"/>
      <c r="B13" s="54"/>
    </row>
    <row r="14" spans="1:2" ht="29.25" customHeight="1">
      <c r="A14" s="54"/>
      <c r="B14" s="54"/>
    </row>
    <row r="15" spans="1:2" ht="29.25" customHeight="1">
      <c r="A15" s="54"/>
      <c r="B15" s="54"/>
    </row>
    <row r="16" spans="1:2" ht="29.25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64</vt:i4>
      </vt:variant>
    </vt:vector>
  </HeadingPairs>
  <TitlesOfParts>
    <vt:vector size="67" baseType="lpstr">
      <vt:lpstr>Cover</vt:lpstr>
      <vt:lpstr>DISCRETE VR</vt:lpstr>
      <vt:lpstr>Changelog</vt:lpstr>
      <vt:lpstr>DT_1ST</vt:lpstr>
      <vt:lpstr>DT_2ND</vt:lpstr>
      <vt:lpstr>DT_FALLING_MIN</vt:lpstr>
      <vt:lpstr>DT_FALLING_TDC</vt:lpstr>
      <vt:lpstr>DT_FALLING_TRAN</vt:lpstr>
      <vt:lpstr>DT_FULL</vt:lpstr>
      <vt:lpstr>DT_NORMAL_MEAS</vt:lpstr>
      <vt:lpstr>DT_RISING_MIN</vt:lpstr>
      <vt:lpstr>DT_RISING_TDC</vt:lpstr>
      <vt:lpstr>DT_RISING_TRAN</vt:lpstr>
      <vt:lpstr>DT_TRAN_MEAS</vt:lpstr>
      <vt:lpstr>DT_TURN_ON</vt:lpstr>
      <vt:lpstr>DT_TURNON_MEAS</vt:lpstr>
      <vt:lpstr>DUT_VIN</vt:lpstr>
      <vt:lpstr>DUT_VOUT</vt:lpstr>
      <vt:lpstr>ICCMAX</vt:lpstr>
      <vt:lpstr>ICCTDC</vt:lpstr>
      <vt:lpstr>JITTER_MAX</vt:lpstr>
      <vt:lpstr>JITTER_MEAS</vt:lpstr>
      <vt:lpstr>JITTER_MIN</vt:lpstr>
      <vt:lpstr>JITTER_TDC</vt:lpstr>
      <vt:lpstr>MB_REV</vt:lpstr>
      <vt:lpstr>NET_NAME</vt:lpstr>
      <vt:lpstr>OCP_MEAS</vt:lpstr>
      <vt:lpstr>OVERCURRENT</vt:lpstr>
      <vt:lpstr>Summary</vt:lpstr>
      <vt:lpstr>SWITCH_FREQ</vt:lpstr>
      <vt:lpstr>tran_0_50_10000</vt:lpstr>
      <vt:lpstr>tran_50_100_100</vt:lpstr>
      <vt:lpstr>tran_50_100_1000</vt:lpstr>
      <vt:lpstr>tran_50_100_10000</vt:lpstr>
      <vt:lpstr>trans_0_50_100</vt:lpstr>
      <vt:lpstr>trans_0_50_1000</vt:lpstr>
      <vt:lpstr>TRANS_0_50_MEAS</vt:lpstr>
      <vt:lpstr>TRANS_50_100_MEAS</vt:lpstr>
      <vt:lpstr>TRANSIENT_CURR</vt:lpstr>
      <vt:lpstr>TRANSIENT_SLEW</vt:lpstr>
      <vt:lpstr>TURN_OFF_AC</vt:lpstr>
      <vt:lpstr>TURN_OFF_AC_Z</vt:lpstr>
      <vt:lpstr>TURN_OFF_MEAS</vt:lpstr>
      <vt:lpstr>TURN_OFF_PB</vt:lpstr>
      <vt:lpstr>TURN_OFF_PB_Z</vt:lpstr>
      <vt:lpstr>TURN_ON_MEAS</vt:lpstr>
      <vt:lpstr>TURN_ON_MIN</vt:lpstr>
      <vt:lpstr>TURN_ON_MIN_Z</vt:lpstr>
      <vt:lpstr>TURN_ON_TDC</vt:lpstr>
      <vt:lpstr>TURN_ON_TDC_Z</vt:lpstr>
      <vt:lpstr>VDS_HIGH_MEAS</vt:lpstr>
      <vt:lpstr>VDS_HIGH_MIN</vt:lpstr>
      <vt:lpstr>VDS_HIGH_TDC</vt:lpstr>
      <vt:lpstr>VDS_HIGH_TRAN</vt:lpstr>
      <vt:lpstr>VDS_LOW_MEAS</vt:lpstr>
      <vt:lpstr>VDS_LOW_MIN</vt:lpstr>
      <vt:lpstr>VDS_LOW_TDC</vt:lpstr>
      <vt:lpstr>VDS_LOW_TRAN</vt:lpstr>
      <vt:lpstr>VIN_MAX</vt:lpstr>
      <vt:lpstr>VIN_MEAS</vt:lpstr>
      <vt:lpstr>VIN_MIN</vt:lpstr>
      <vt:lpstr>VIN_TDC</vt:lpstr>
      <vt:lpstr>VIN_TRANS</vt:lpstr>
      <vt:lpstr>VO_MAX</vt:lpstr>
      <vt:lpstr>VO_MEAS</vt:lpstr>
      <vt:lpstr>VO_MIN</vt:lpstr>
      <vt:lpstr>VO_TDC</vt:lpstr>
    </vt:vector>
  </TitlesOfParts>
  <Company>Logic Supply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Lints</dc:creator>
  <cp:lastModifiedBy>Andrew Lints</cp:lastModifiedBy>
  <dcterms:created xsi:type="dcterms:W3CDTF">2021-03-25T14:28:55Z</dcterms:created>
  <dcterms:modified xsi:type="dcterms:W3CDTF">2023-04-18T16:59:39Z</dcterms:modified>
</cp:coreProperties>
</file>