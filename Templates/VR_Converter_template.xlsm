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ate.hathaway\Documents\DCDC_Testing_Python\Templates\"/>
    </mc:Choice>
  </mc:AlternateContent>
  <xr:revisionPtr revIDLastSave="0" documentId="13_ncr:1_{F03C96C6-4051-4BD3-8FBE-BBF15CB9C1A6}" xr6:coauthVersionLast="36" xr6:coauthVersionMax="36" xr10:uidLastSave="{00000000-0000-0000-0000-000000000000}"/>
  <bookViews>
    <workbookView xWindow="0" yWindow="0" windowWidth="28800" windowHeight="12225" activeTab="1" xr2:uid="{00000000-000D-0000-FFFF-FFFF00000000}"/>
  </bookViews>
  <sheets>
    <sheet name="Cover" sheetId="2" r:id="rId1"/>
    <sheet name="DISCRETE VR Buck" sheetId="1" r:id="rId2"/>
  </sheets>
  <functionGroups builtInGroupCount="19"/>
  <definedNames>
    <definedName name="DT_1ST">'DISCRETE VR Buck'!#REF!</definedName>
    <definedName name="DT_2ND">'DISCRETE VR Buck'!#REF!</definedName>
    <definedName name="DT_FALLING_MIN">'DISCRETE VR Buck'!#REF!</definedName>
    <definedName name="DT_FALLING_TDC">'DISCRETE VR Buck'!#REF!</definedName>
    <definedName name="DT_FALLING_TRAN">'DISCRETE VR Buck'!#REF!</definedName>
    <definedName name="DT_FALLING_TRANS">'DISCRETE VR Buck'!#REF!</definedName>
    <definedName name="DT_FULL">'DISCRETE VR Buck'!#REF!</definedName>
    <definedName name="DT_NORMAL_MEAS">'DISCRETE VR Buck'!#REF!</definedName>
    <definedName name="DT_RISING_MIN">'DISCRETE VR Buck'!#REF!</definedName>
    <definedName name="DT_RISING_TDC">'DISCRETE VR Buck'!#REF!</definedName>
    <definedName name="DT_RISING_TRAN">'DISCRETE VR Buck'!#REF!</definedName>
    <definedName name="DT_RISING_TRANS">'DISCRETE VR Buck'!#REF!</definedName>
    <definedName name="DT_TRAN_MEAS">'DISCRETE VR Buck'!#REF!</definedName>
    <definedName name="DT_TURN_ON">'DISCRETE VR Buck'!#REF!</definedName>
    <definedName name="DT_TURNON_MEAS">'DISCRETE VR Buck'!#REF!</definedName>
    <definedName name="DUT_VIN">'DISCRETE VR Buck'!$E$9</definedName>
    <definedName name="DUT_VOUT">'DISCRETE VR Buck'!$E$6</definedName>
    <definedName name="ICCMAX">'DISCRETE VR Buck'!$E$16</definedName>
    <definedName name="ICCTDC">'DISCRETE VR Buck'!$E$17</definedName>
    <definedName name="JITTER_MAX">'DISCRETE VR Buck'!$AG$403</definedName>
    <definedName name="JITTER_MEAS">'DISCRETE VR Buck'!$D$396:$I$398</definedName>
    <definedName name="JITTER_MIN">'DISCRETE VR Buck'!$A$403</definedName>
    <definedName name="JITTER_TDC">'DISCRETE VR Buck'!$O$403</definedName>
    <definedName name="MB_REV">'DISCRETE VR Buck'!$E$5</definedName>
    <definedName name="NET_NAME">'DISCRETE VR Buck'!$E$2</definedName>
    <definedName name="OCP_MEAS">'DISCRETE VR Buck'!$D$447</definedName>
    <definedName name="OVERCURRENT">'DISCRETE VR Buck'!$A$450</definedName>
    <definedName name="Summary">'DISCRETE VR Buck'!$AK$4:$AN$34</definedName>
    <definedName name="SWITCH_FREQ">'DISCRETE VR Buck'!$E$11</definedName>
    <definedName name="tran_0_50_10000">'DISCRETE VR Buck'!$AG$259</definedName>
    <definedName name="tran_50_100_100">'DISCRETE VR Buck'!$A$299</definedName>
    <definedName name="tran_50_100_1000">'DISCRETE VR Buck'!$O$299</definedName>
    <definedName name="tran_50_100_10000">'DISCRETE VR Buck'!$AG$299</definedName>
    <definedName name="trans_0_50_100">'DISCRETE VR Buck'!$A$259</definedName>
    <definedName name="trans_0_50_1000">'DISCRETE VR Buck'!$O$259</definedName>
    <definedName name="TRANS_0_50_MEAS">'DISCRETE VR Buck'!$D$244:$F$246</definedName>
    <definedName name="TRANS_50_100_MEAS">'DISCRETE VR Buck'!$D$248:$F$250</definedName>
    <definedName name="TRANSIENT_CURR">'DISCRETE VR Buck'!$E$18</definedName>
    <definedName name="TRANSIENT_SLEW">'DISCRETE VR Buck'!$E$19</definedName>
    <definedName name="TURN_OFF_AC">'DISCRETE VR Buck'!$A$634</definedName>
    <definedName name="TURN_OFF_AC_Z">'DISCRETE VR Buck'!$O$634</definedName>
    <definedName name="TURN_OFF_MEAS">'DISCRETE VR Buck'!$D$586:$E$589</definedName>
    <definedName name="TURN_OFF_PB">'DISCRETE VR Buck'!$A$594</definedName>
    <definedName name="TURN_OFF_PB_Z">'DISCRETE VR Buck'!$O$594</definedName>
    <definedName name="TURN_ON_MEAS">'DISCRETE VR Buck'!$D$494:$D$497</definedName>
    <definedName name="TURN_ON_MIN">'DISCRETE VR Buck'!$A$501</definedName>
    <definedName name="TURN_ON_MIN_Z">'DISCRETE VR Buck'!$O$501</definedName>
    <definedName name="TURN_ON_TDC">'DISCRETE VR Buck'!$A$540</definedName>
    <definedName name="TURN_ON_TDC_Z">'DISCRETE VR Buck'!$O$540</definedName>
    <definedName name="VDS_HIGH_MEAS">'DISCRETE VR Buck'!#REF!</definedName>
    <definedName name="VDS_HIGH_MIN">'DISCRETE VR Buck'!#REF!</definedName>
    <definedName name="VDS_HIGH_TDC">'DISCRETE VR Buck'!#REF!</definedName>
    <definedName name="VDS_HIGH_TRAN">'DISCRETE VR Buck'!#REF!</definedName>
    <definedName name="VDS_LOW_MEAS">'DISCRETE VR Buck'!$D$679:$E$681</definedName>
    <definedName name="VDS_LOW_MIN">'DISCRETE VR Buck'!$A$687</definedName>
    <definedName name="VDS_LOW_TDC">'DISCRETE VR Buck'!$A$726</definedName>
    <definedName name="VDS_LOW_TRAN">'DISCRETE VR Buck'!$A$765</definedName>
    <definedName name="VIN_MAX">'DISCRETE VR Buck'!$AG$353</definedName>
    <definedName name="VIN_MEAS">'DISCRETE VR Buck'!$D$341:$E$344</definedName>
    <definedName name="VIN_MIN">'DISCRETE VR Buck'!$A$353</definedName>
    <definedName name="VIN_TDC">'DISCRETE VR Buck'!$O$353</definedName>
    <definedName name="VIN_TRANS">'DISCRETE VR Buck'!$AV$353</definedName>
    <definedName name="VO_MAX">'DISCRETE VR Buck'!$AE$201</definedName>
    <definedName name="VO_MEAS">'DISCRETE VR Buck'!$D$192:$F$194</definedName>
    <definedName name="VO_MIN">'DISCRETE VR Buck'!$A$201</definedName>
    <definedName name="VO_TDC">'DISCRETE VR Buck'!$N$201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3" i="1" l="1"/>
  <c r="AO12" i="1"/>
  <c r="AK26" i="1" l="1"/>
  <c r="M192" i="1"/>
  <c r="AK12" i="1" s="1"/>
  <c r="M194" i="1"/>
  <c r="M193" i="1"/>
  <c r="AK13" i="1" s="1"/>
  <c r="L344" i="1"/>
  <c r="L343" i="1"/>
  <c r="L342" i="1"/>
  <c r="L341" i="1"/>
  <c r="AK6" i="1"/>
  <c r="AK7" i="1"/>
  <c r="AK5" i="1"/>
  <c r="C99" i="1" l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80" i="1"/>
  <c r="F69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C96" i="1" s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40" i="1"/>
  <c r="G72" i="1"/>
  <c r="F55" i="1"/>
  <c r="F56" i="1"/>
  <c r="F57" i="1"/>
  <c r="F58" i="1"/>
  <c r="F59" i="1"/>
  <c r="F60" i="1"/>
  <c r="F61" i="1"/>
  <c r="F62" i="1"/>
  <c r="H62" i="1" s="1"/>
  <c r="H61" i="1" l="1"/>
  <c r="H58" i="1"/>
  <c r="D79" i="1"/>
  <c r="H69" i="1"/>
  <c r="H60" i="1"/>
  <c r="H59" i="1"/>
  <c r="H55" i="1"/>
  <c r="H57" i="1"/>
  <c r="H56" i="1"/>
  <c r="C98" i="1"/>
  <c r="C97" i="1"/>
  <c r="AK31" i="1" l="1"/>
  <c r="AO28" i="1"/>
  <c r="AK11" i="1"/>
  <c r="AK10" i="1"/>
  <c r="AK8" i="1"/>
  <c r="AO11" i="1"/>
  <c r="AO10" i="1"/>
  <c r="C79" i="1"/>
  <c r="AO32" i="1" l="1"/>
  <c r="AK25" i="1" l="1"/>
  <c r="AO31" i="1"/>
  <c r="AO30" i="1"/>
  <c r="AO29" i="1"/>
  <c r="AO27" i="1"/>
  <c r="AO25" i="1"/>
  <c r="AO24" i="1"/>
  <c r="AK32" i="1" l="1"/>
  <c r="AK16" i="1"/>
  <c r="AK15" i="1"/>
  <c r="AK30" i="1"/>
  <c r="AK29" i="1"/>
  <c r="AK28" i="1"/>
  <c r="AK27" i="1"/>
  <c r="AK24" i="1"/>
  <c r="AK21" i="1"/>
  <c r="AK20" i="1"/>
  <c r="AK19" i="1"/>
  <c r="AK17" i="1"/>
  <c r="AK4" i="1" l="1"/>
  <c r="B79" i="1" l="1"/>
  <c r="F342" i="1" l="1"/>
  <c r="H342" i="1" s="1"/>
  <c r="J342" i="1" s="1"/>
  <c r="G342" i="1"/>
  <c r="I342" i="1" s="1"/>
  <c r="K342" i="1" s="1"/>
  <c r="F343" i="1"/>
  <c r="H343" i="1" s="1"/>
  <c r="J343" i="1" s="1"/>
  <c r="G343" i="1"/>
  <c r="I343" i="1" s="1"/>
  <c r="K343" i="1" s="1"/>
  <c r="F344" i="1"/>
  <c r="H344" i="1" s="1"/>
  <c r="J344" i="1" s="1"/>
  <c r="G344" i="1"/>
  <c r="I344" i="1" s="1"/>
  <c r="K344" i="1" s="1"/>
  <c r="G341" i="1"/>
  <c r="I341" i="1" s="1"/>
  <c r="K341" i="1" s="1"/>
  <c r="F341" i="1"/>
  <c r="H341" i="1" s="1"/>
  <c r="J341" i="1" s="1"/>
  <c r="F72" i="1" l="1"/>
  <c r="H72" i="1" s="1"/>
  <c r="F71" i="1"/>
  <c r="H71" i="1" s="1"/>
  <c r="F70" i="1"/>
  <c r="H70" i="1" s="1"/>
  <c r="F68" i="1"/>
  <c r="H68" i="1" s="1"/>
  <c r="F67" i="1"/>
  <c r="H67" i="1" s="1"/>
  <c r="F66" i="1"/>
  <c r="H66" i="1" s="1"/>
  <c r="F65" i="1"/>
  <c r="H65" i="1" s="1"/>
  <c r="F64" i="1"/>
  <c r="H64" i="1" s="1"/>
  <c r="F63" i="1"/>
  <c r="H63" i="1" s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G39" i="1"/>
  <c r="C80" i="1" s="1"/>
  <c r="F39" i="1"/>
  <c r="G38" i="1"/>
  <c r="F38" i="1"/>
  <c r="C36" i="1"/>
  <c r="E8" i="1"/>
  <c r="E7" i="1"/>
  <c r="H192" i="1" s="1"/>
  <c r="H38" i="1" l="1"/>
  <c r="H49" i="1"/>
  <c r="C90" i="1"/>
  <c r="H51" i="1"/>
  <c r="C92" i="1"/>
  <c r="H53" i="1"/>
  <c r="C94" i="1"/>
  <c r="H41" i="1"/>
  <c r="C82" i="1"/>
  <c r="H45" i="1"/>
  <c r="C86" i="1"/>
  <c r="H52" i="1"/>
  <c r="C93" i="1"/>
  <c r="H54" i="1"/>
  <c r="C95" i="1"/>
  <c r="H42" i="1"/>
  <c r="C83" i="1"/>
  <c r="H44" i="1"/>
  <c r="C85" i="1"/>
  <c r="H46" i="1"/>
  <c r="C87" i="1"/>
  <c r="H48" i="1"/>
  <c r="C89" i="1"/>
  <c r="H50" i="1"/>
  <c r="C91" i="1"/>
  <c r="H40" i="1"/>
  <c r="C81" i="1"/>
  <c r="H43" i="1"/>
  <c r="C84" i="1"/>
  <c r="H47" i="1"/>
  <c r="C88" i="1"/>
  <c r="H39" i="1"/>
  <c r="AO15" i="1"/>
  <c r="AO21" i="1"/>
  <c r="AO17" i="1"/>
  <c r="AO20" i="1"/>
  <c r="AO16" i="1"/>
  <c r="AO19" i="1"/>
  <c r="G194" i="1"/>
  <c r="J192" i="1"/>
  <c r="L192" i="1" s="1"/>
  <c r="I194" i="1"/>
  <c r="K194" i="1" s="1"/>
  <c r="G248" i="1"/>
  <c r="I248" i="1" s="1"/>
  <c r="K248" i="1" s="1"/>
  <c r="H248" i="1"/>
  <c r="J248" i="1" s="1"/>
  <c r="L248" i="1" s="1"/>
  <c r="G245" i="1"/>
  <c r="I245" i="1" s="1"/>
  <c r="K245" i="1" s="1"/>
  <c r="G250" i="1"/>
  <c r="I250" i="1" s="1"/>
  <c r="K250" i="1" s="1"/>
  <c r="H245" i="1"/>
  <c r="J245" i="1" s="1"/>
  <c r="L245" i="1" s="1"/>
  <c r="H250" i="1"/>
  <c r="J250" i="1" s="1"/>
  <c r="L250" i="1" s="1"/>
  <c r="G244" i="1"/>
  <c r="I244" i="1" s="1"/>
  <c r="K244" i="1" s="1"/>
  <c r="G246" i="1"/>
  <c r="I246" i="1" s="1"/>
  <c r="K246" i="1" s="1"/>
  <c r="G249" i="1"/>
  <c r="I249" i="1" s="1"/>
  <c r="K249" i="1" s="1"/>
  <c r="H244" i="1"/>
  <c r="J244" i="1" s="1"/>
  <c r="L244" i="1" s="1"/>
  <c r="H246" i="1"/>
  <c r="J246" i="1" s="1"/>
  <c r="L246" i="1" s="1"/>
  <c r="H249" i="1"/>
  <c r="J249" i="1" s="1"/>
  <c r="L249" i="1" s="1"/>
  <c r="H193" i="1"/>
  <c r="G193" i="1"/>
  <c r="G192" i="1"/>
  <c r="H194" i="1"/>
  <c r="AK9" i="1" l="1"/>
  <c r="I193" i="1"/>
  <c r="K193" i="1" s="1"/>
  <c r="J193" i="1"/>
  <c r="L193" i="1" s="1"/>
  <c r="I192" i="1"/>
  <c r="K192" i="1" s="1"/>
  <c r="J194" i="1"/>
  <c r="L194" i="1" s="1"/>
</calcChain>
</file>

<file path=xl/sharedStrings.xml><?xml version="1.0" encoding="utf-8"?>
<sst xmlns="http://schemas.openxmlformats.org/spreadsheetml/2006/main" count="258" uniqueCount="176">
  <si>
    <t>Output Net Name:</t>
  </si>
  <si>
    <t>Tests Performed</t>
  </si>
  <si>
    <t xml:space="preserve">NOTES &amp; CHANGES:
</t>
  </si>
  <si>
    <t>Voltage vs Current</t>
  </si>
  <si>
    <t>Motherboard Rev:</t>
  </si>
  <si>
    <t>Efficiency</t>
  </si>
  <si>
    <t>Output Voltage:</t>
  </si>
  <si>
    <t>V</t>
  </si>
  <si>
    <t>Bode Plots</t>
  </si>
  <si>
    <t>Output Maximum Limit:</t>
  </si>
  <si>
    <t>Output Ripple Voltage</t>
  </si>
  <si>
    <t>Output Minimum Limit:</t>
  </si>
  <si>
    <t>Transient Response</t>
  </si>
  <si>
    <t>Controller:</t>
  </si>
  <si>
    <t>Jitter Testing</t>
  </si>
  <si>
    <t>Switching Frequency:</t>
  </si>
  <si>
    <t>Overcurrent Testing</t>
  </si>
  <si>
    <t>Turn-On Response Testing</t>
  </si>
  <si>
    <t>Turn-Off Response Testing</t>
  </si>
  <si>
    <t>FET Vds stress</t>
  </si>
  <si>
    <t>Output Choke:</t>
  </si>
  <si>
    <t>ICC MAX:</t>
  </si>
  <si>
    <t>TDC Load:</t>
  </si>
  <si>
    <t>Transient Current:</t>
  </si>
  <si>
    <t>Transient Slew Rate:</t>
  </si>
  <si>
    <t>Load Point:</t>
  </si>
  <si>
    <t>Output Voltage Measurement Point:</t>
  </si>
  <si>
    <t>Vin cap:</t>
  </si>
  <si>
    <t>Vout cap:</t>
  </si>
  <si>
    <t>Voltage vs. Current</t>
  </si>
  <si>
    <t xml:space="preserve">Measurement Point(Input voltage):  </t>
  </si>
  <si>
    <t>Measurement Point(Output voltage):</t>
  </si>
  <si>
    <t>Output A</t>
  </si>
  <si>
    <r>
      <t>V</t>
    </r>
    <r>
      <rPr>
        <b/>
        <vertAlign val="subscript"/>
        <sz val="10"/>
        <color rgb="FF000000"/>
        <rFont val="Arial1"/>
      </rPr>
      <t>INPUT</t>
    </r>
  </si>
  <si>
    <r>
      <t>I</t>
    </r>
    <r>
      <rPr>
        <b/>
        <vertAlign val="subscript"/>
        <sz val="10"/>
        <color rgb="FF000000"/>
        <rFont val="Arial1"/>
      </rPr>
      <t>INPUT</t>
    </r>
  </si>
  <si>
    <t>Input power (W)</t>
  </si>
  <si>
    <t>Output Power (W)</t>
  </si>
  <si>
    <t>HEAT GENERATED (w)</t>
  </si>
  <si>
    <t>Cap V</t>
  </si>
  <si>
    <t>A</t>
  </si>
  <si>
    <t>Load Amps</t>
  </si>
  <si>
    <t>Minimum Load</t>
  </si>
  <si>
    <t>TDC Load</t>
  </si>
  <si>
    <t>CH1: Output Voltage</t>
  </si>
  <si>
    <t>CH3: Output Current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</si>
  <si>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</si>
  <si>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</si>
  <si>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</si>
  <si>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</si>
  <si>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</si>
  <si>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</si>
  <si>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</si>
  <si>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</si>
  <si>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Transient load</t>
  </si>
  <si>
    <t>CH4: Phase Node</t>
  </si>
  <si>
    <t>CH1:  Output Voltage</t>
  </si>
  <si>
    <t>CH2:  IC VCC</t>
  </si>
  <si>
    <t>CH3:  Enable Signal</t>
  </si>
  <si>
    <t>CH4: Output Voltage</t>
  </si>
  <si>
    <t>Minimum Load (zoomed in)</t>
  </si>
  <si>
    <t>TDC Load (zoomed in)</t>
  </si>
  <si>
    <t>Power Button</t>
  </si>
  <si>
    <t>Power Button (zoomed in)</t>
  </si>
  <si>
    <t>AC Power</t>
  </si>
  <si>
    <t>AC Power (zoomed in)</t>
  </si>
  <si>
    <t>CH1:  HS Source (LS VDS)</t>
  </si>
  <si>
    <t>TDC load</t>
  </si>
  <si>
    <t>TRANSIENT LOAD</t>
  </si>
  <si>
    <t>Max Load</t>
  </si>
  <si>
    <t>Vout measured data</t>
  </si>
  <si>
    <t>Min</t>
  </si>
  <si>
    <t>TDC</t>
  </si>
  <si>
    <t>Max</t>
  </si>
  <si>
    <t>Mean</t>
  </si>
  <si>
    <t>limit(-)</t>
  </si>
  <si>
    <t>limit (+)</t>
  </si>
  <si>
    <t>margin (-)</t>
  </si>
  <si>
    <t>margin (+)</t>
  </si>
  <si>
    <t>0-50 100Hz</t>
  </si>
  <si>
    <t>0-50 1000Hz</t>
  </si>
  <si>
    <t>0-50 10000Hz</t>
  </si>
  <si>
    <t>50-100 100Hz</t>
  </si>
  <si>
    <t>50-100 1000Hz</t>
  </si>
  <si>
    <t>50-100 10000Hz</t>
  </si>
  <si>
    <t>margin (-%)</t>
  </si>
  <si>
    <t>margin (+%)</t>
  </si>
  <si>
    <t>Jitter Measurements</t>
  </si>
  <si>
    <t>Std_Dev</t>
  </si>
  <si>
    <t>Switching frequency</t>
  </si>
  <si>
    <t>Duty Cycle</t>
  </si>
  <si>
    <t>Input Voltage measurements</t>
  </si>
  <si>
    <t>Transient</t>
  </si>
  <si>
    <t>Input Voltage</t>
  </si>
  <si>
    <t>Input ripple voltage</t>
  </si>
  <si>
    <t>Make a copy of this template into the results folder from Labview</t>
  </si>
  <si>
    <t>Overcurrent measurements</t>
  </si>
  <si>
    <t>Output Current</t>
  </si>
  <si>
    <t>Peak (100ms) Current</t>
  </si>
  <si>
    <t>Iout</t>
  </si>
  <si>
    <t>MOSFET VDS measurments</t>
  </si>
  <si>
    <t>Rise Time</t>
  </si>
  <si>
    <t>Fall Time</t>
  </si>
  <si>
    <t>Min load</t>
  </si>
  <si>
    <t>Min load Zoom</t>
  </si>
  <si>
    <t>TDC Load zoom</t>
  </si>
  <si>
    <t>Turn On Measurements</t>
  </si>
  <si>
    <t>Turn Off Measurements</t>
  </si>
  <si>
    <t>Power button</t>
  </si>
  <si>
    <t>Power button Zoom</t>
  </si>
  <si>
    <t xml:space="preserve">AC Power </t>
  </si>
  <si>
    <t>AC Power zoom</t>
  </si>
  <si>
    <t>Output low level</t>
  </si>
  <si>
    <t>Regulator</t>
  </si>
  <si>
    <t>Test Conditions</t>
  </si>
  <si>
    <t>Efficiency (AT TDC)</t>
  </si>
  <si>
    <t>Output Ripple Voltage @ Min Load</t>
  </si>
  <si>
    <t>Output Ripple Voltage @ TDC Load</t>
  </si>
  <si>
    <t>0%~50%</t>
  </si>
  <si>
    <t xml:space="preserve">    Transient Response@ Freq.= 100 HZ</t>
  </si>
  <si>
    <t xml:space="preserve">    Transient response@ Freq.= 1 KHZ</t>
  </si>
  <si>
    <t xml:space="preserve">    Transient response@ Freq.= 10 KHz</t>
  </si>
  <si>
    <t>50%~100%</t>
  </si>
  <si>
    <t>Input Ripple Voltage @ Min Load</t>
  </si>
  <si>
    <t>Input Ripple Voltage @ TDC Load</t>
  </si>
  <si>
    <t>Input Ripple Voltage @ Transient Load</t>
  </si>
  <si>
    <t>Jitter Testing @ Min Load (DUTY CYCLE)</t>
  </si>
  <si>
    <t>Jitter Testing @ TDC Load (DUTY CYCLE)</t>
  </si>
  <si>
    <t>Test Result</t>
  </si>
  <si>
    <t>Specification</t>
  </si>
  <si>
    <t>SUMMARY</t>
  </si>
  <si>
    <t>Bode Plots (Optional if control loop not exposed)</t>
  </si>
  <si>
    <t>IN SPEC</t>
  </si>
  <si>
    <t>&gt;85%</t>
  </si>
  <si>
    <t>controlled repsonse, no overshoot</t>
  </si>
  <si>
    <t>controlled repsonse, no undershoot</t>
  </si>
  <si>
    <t>Switching Frequency</t>
  </si>
  <si>
    <t>Switch node Max voltage</t>
  </si>
  <si>
    <t>Switch Node VDS stress</t>
  </si>
  <si>
    <t xml:space="preserve">Switch node </t>
  </si>
  <si>
    <t>Bode Plot measured data</t>
  </si>
  <si>
    <t>Phase margin (degrees)</t>
  </si>
  <si>
    <t>Gain Margin (dB)</t>
  </si>
  <si>
    <t>Phase Limit  (degrees)</t>
  </si>
  <si>
    <t>Gain Limit(dB)</t>
  </si>
  <si>
    <t>Test Limits</t>
  </si>
  <si>
    <t>Bode Plots Minimum load</t>
  </si>
  <si>
    <t>Bode Plots TDC load</t>
  </si>
  <si>
    <t xml:space="preserve">Orange cells are results that are close to test limits (&lt;1% margin for voltage tests). 
Red cells are results that exceed test limits
Check test results tables below for exact values </t>
  </si>
  <si>
    <t>ONLOGIC CONFIDENTIAL</t>
  </si>
  <si>
    <t>Test Engineer</t>
  </si>
  <si>
    <t>Date of test</t>
  </si>
  <si>
    <t>Test location</t>
  </si>
  <si>
    <t>[Expansion card tests] Motherboard revision used</t>
  </si>
  <si>
    <t>Test instructions</t>
  </si>
  <si>
    <t>Test plan revision #</t>
  </si>
  <si>
    <t>Test equipment used</t>
  </si>
  <si>
    <t>Calibration Due Date</t>
  </si>
  <si>
    <t>Summary of results</t>
  </si>
  <si>
    <t>Observed Anomalies</t>
  </si>
  <si>
    <t>Follow-up Steps</t>
  </si>
  <si>
    <t>Prepared by:</t>
  </si>
  <si>
    <t>[Name + Date]</t>
  </si>
  <si>
    <t>Reviewed by:</t>
  </si>
  <si>
    <t>DC-DC Test instructions V1.0</t>
  </si>
  <si>
    <t>HDO6104A</t>
  </si>
  <si>
    <t>Bode 100</t>
  </si>
  <si>
    <t>DL10-HCM</t>
  </si>
  <si>
    <t>BK9202</t>
  </si>
  <si>
    <t>Chroma 63004</t>
  </si>
  <si>
    <t>[Project xxx]
Integrated Switch Converter regulator testing</t>
  </si>
  <si>
    <t>V1.2</t>
  </si>
  <si>
    <t>Ripple (% Vin)</t>
  </si>
  <si>
    <t>Ripple (%)</t>
  </si>
  <si>
    <t>Input Ripple percentage @ TDC Load</t>
  </si>
  <si>
    <t>PASS</t>
  </si>
  <si>
    <t>&lt;3%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</si>
</sst>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"/>
    <numFmt numFmtId="166" formatCode="0.0000"/>
    <numFmt numFmtId="167" formatCode="0.0%"/>
  </numFmts>
  <fonts count="32">
    <font>
      <sz val="11"/>
      <color theme="1"/>
      <name val="Arial"/>
      <family val="2"/>
    </font>
    <font>
      <sz val="12"/>
      <color theme="1"/>
      <name val="Arial1"/>
    </font>
    <font>
      <sz val="14"/>
      <color rgb="FF000000"/>
      <name val="Arial1"/>
    </font>
    <font>
      <b/>
      <sz val="14"/>
      <color rgb="FF0000FF"/>
      <name val="Arial1"/>
    </font>
    <font>
      <b/>
      <sz val="12"/>
      <color rgb="FF0000FF"/>
      <name val="Arial1"/>
    </font>
    <font>
      <sz val="12"/>
      <color rgb="FF000080"/>
      <name val="Arial1"/>
    </font>
    <font>
      <sz val="12"/>
      <color rgb="FF0000FF"/>
      <name val="Arial1"/>
    </font>
    <font>
      <b/>
      <sz val="16"/>
      <color rgb="FF0000FF"/>
      <name val="Arial1"/>
    </font>
    <font>
      <sz val="12"/>
      <color rgb="FFFFFFFF"/>
      <name val="Arial1"/>
    </font>
    <font>
      <b/>
      <i/>
      <sz val="10"/>
      <color rgb="FFFFFFFF"/>
      <name val="Arial1"/>
    </font>
    <font>
      <b/>
      <sz val="10"/>
      <color rgb="FF000000"/>
      <name val="Arial1"/>
    </font>
    <font>
      <b/>
      <vertAlign val="subscript"/>
      <sz val="10"/>
      <color rgb="FF000000"/>
      <name val="Arial1"/>
    </font>
    <font>
      <b/>
      <sz val="11"/>
      <color rgb="FF000000"/>
      <name val="Noto Sans Symbols"/>
    </font>
    <font>
      <b/>
      <i/>
      <sz val="10"/>
      <color rgb="FF003366"/>
      <name val="Arial1"/>
    </font>
    <font>
      <b/>
      <sz val="10"/>
      <color theme="1"/>
      <name val="Arial1"/>
    </font>
    <font>
      <sz val="10"/>
      <color theme="1"/>
      <name val="Arial1"/>
    </font>
    <font>
      <sz val="11"/>
      <color theme="1"/>
      <name val="Cambria"/>
      <family val="1"/>
    </font>
    <font>
      <b/>
      <sz val="12"/>
      <color theme="1"/>
      <name val="Arial1"/>
    </font>
    <font>
      <sz val="24"/>
      <color theme="1"/>
      <name val="Arial1"/>
    </font>
    <font>
      <b/>
      <sz val="14"/>
      <color rgb="FF000000"/>
      <name val="Arial1"/>
    </font>
    <font>
      <b/>
      <sz val="14"/>
      <color theme="1"/>
      <name val="Arial1"/>
    </font>
    <font>
      <sz val="11"/>
      <color rgb="FF000000"/>
      <name val="Arial"/>
      <family val="2"/>
    </font>
    <font>
      <sz val="14"/>
      <color theme="1"/>
      <name val="Arial1"/>
    </font>
    <font>
      <sz val="22"/>
      <color theme="1"/>
      <name val="Arial"/>
      <family val="2"/>
    </font>
    <font>
      <sz val="18"/>
      <color theme="1"/>
      <name val="Arial"/>
      <family val="2"/>
    </font>
    <font>
      <sz val="10"/>
      <color rgb="FF000000"/>
      <name val="Arial"/>
      <family val="2"/>
    </font>
    <font>
      <b/>
      <sz val="14"/>
      <color theme="1"/>
      <name val="Heebo"/>
    </font>
    <font>
      <b/>
      <sz val="18"/>
      <color theme="1"/>
      <name val="Heebo"/>
    </font>
    <font>
      <sz val="10"/>
      <name val="Arial"/>
      <family val="2"/>
    </font>
    <font>
      <u/>
      <sz val="11"/>
      <color theme="10"/>
      <name val="Arial"/>
      <family val="2"/>
    </font>
    <font>
      <sz val="14"/>
      <color theme="1"/>
      <name val="Heebo"/>
    </font>
    <font>
      <sz val="12"/>
      <color theme="0"/>
      <name val="Arial1"/>
    </font>
  </fonts>
  <fills count="22">
    <fill>
      <patternFill patternType="none"/>
    </fill>
    <fill>
      <patternFill patternType="gray125"/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99CC00"/>
        <bgColor rgb="FF99CC00"/>
      </patternFill>
    </fill>
    <fill>
      <patternFill patternType="solid">
        <fgColor rgb="FF6FA8DC"/>
        <bgColor rgb="FF6FA8DC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  <fill>
      <patternFill patternType="solid">
        <fgColor rgb="FFFF9900"/>
        <bgColor rgb="FFFF99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</fills>
  <borders count="8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rgb="FF0000FF"/>
      </top>
      <bottom style="thin">
        <color rgb="FF0000FF"/>
      </bottom>
      <diagonal/>
    </border>
  </borders>
  <cellStyleXfs count="3">
    <xf numFmtId="0" fontId="0" fillId="0" borderId="0"/>
    <xf numFmtId="0" fontId="25" fillId="0" borderId="0"/>
    <xf numFmtId="0" fontId="29" fillId="0" borderId="0" applyNumberFormat="0" applyFill="0" applyBorder="0" applyAlignment="0" applyProtection="0"/>
  </cellStyleXfs>
  <cellXfs count="236">
    <xf numFmtId="0" fontId="0" fillId="0" borderId="0" xfId="0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64" fontId="9" fillId="0" borderId="0" xfId="0" applyNumberFormat="1" applyFont="1" applyAlignment="1">
      <alignment horizont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164" fontId="13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/>
    </xf>
    <xf numFmtId="167" fontId="15" fillId="0" borderId="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1" fillId="0" borderId="10" xfId="0" applyFont="1" applyBorder="1" applyAlignment="1">
      <alignment vertical="center"/>
    </xf>
    <xf numFmtId="0" fontId="1" fillId="0" borderId="10" xfId="0" applyFont="1" applyBorder="1" applyAlignment="1">
      <alignment horizontal="left" vertical="center"/>
    </xf>
    <xf numFmtId="0" fontId="1" fillId="15" borderId="10" xfId="0" applyFont="1" applyFill="1" applyBorder="1" applyAlignment="1">
      <alignment horizontal="left" vertical="center"/>
    </xf>
    <xf numFmtId="0" fontId="1" fillId="15" borderId="10" xfId="0" applyFont="1" applyFill="1" applyBorder="1" applyAlignment="1">
      <alignment vertical="center"/>
    </xf>
    <xf numFmtId="0" fontId="1" fillId="16" borderId="0" xfId="0" applyFont="1" applyFill="1" applyAlignment="1">
      <alignment horizontal="left" vertical="center"/>
    </xf>
    <xf numFmtId="0" fontId="1" fillId="16" borderId="0" xfId="0" applyFont="1" applyFill="1" applyAlignment="1">
      <alignment vertical="center"/>
    </xf>
    <xf numFmtId="2" fontId="1" fillId="0" borderId="10" xfId="0" applyNumberFormat="1" applyFont="1" applyBorder="1" applyAlignment="1">
      <alignment vertical="center"/>
    </xf>
    <xf numFmtId="0" fontId="0" fillId="0" borderId="10" xfId="0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0" xfId="0" applyFill="1" applyBorder="1"/>
    <xf numFmtId="0" fontId="0" fillId="14" borderId="12" xfId="0" applyFill="1" applyBorder="1" applyAlignment="1"/>
    <xf numFmtId="0" fontId="0" fillId="14" borderId="0" xfId="0" applyFill="1" applyBorder="1" applyAlignment="1"/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10" xfId="0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5" fillId="0" borderId="39" xfId="0" applyFont="1" applyBorder="1" applyAlignment="1">
      <alignment vertical="center"/>
    </xf>
    <xf numFmtId="0" fontId="5" fillId="0" borderId="48" xfId="0" applyFont="1" applyBorder="1" applyAlignment="1">
      <alignment vertical="center"/>
    </xf>
    <xf numFmtId="0" fontId="5" fillId="0" borderId="46" xfId="0" applyFont="1" applyBorder="1" applyAlignment="1">
      <alignment vertical="center"/>
    </xf>
    <xf numFmtId="0" fontId="1" fillId="15" borderId="10" xfId="0" applyFont="1" applyFill="1" applyBorder="1" applyAlignment="1">
      <alignment horizontal="center" vertical="center"/>
    </xf>
    <xf numFmtId="0" fontId="1" fillId="15" borderId="10" xfId="0" quotePrefix="1" applyFont="1" applyFill="1" applyBorder="1" applyAlignment="1">
      <alignment horizontal="center" vertical="center"/>
    </xf>
    <xf numFmtId="0" fontId="25" fillId="0" borderId="0" xfId="1" applyFont="1" applyAlignment="1"/>
    <xf numFmtId="0" fontId="1" fillId="0" borderId="1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Alignment="1">
      <alignment vertical="center"/>
    </xf>
    <xf numFmtId="2" fontId="1" fillId="0" borderId="10" xfId="0" applyNumberFormat="1" applyFont="1" applyBorder="1" applyAlignment="1">
      <alignment horizontal="center" vertical="center"/>
    </xf>
    <xf numFmtId="0" fontId="26" fillId="0" borderId="66" xfId="1" applyFont="1" applyBorder="1" applyAlignment="1">
      <alignment horizontal="left"/>
    </xf>
    <xf numFmtId="0" fontId="28" fillId="0" borderId="67" xfId="1" applyFont="1" applyBorder="1"/>
    <xf numFmtId="0" fontId="28" fillId="0" borderId="68" xfId="1" applyFont="1" applyBorder="1"/>
    <xf numFmtId="0" fontId="26" fillId="0" borderId="69" xfId="1" applyFont="1" applyBorder="1" applyAlignment="1">
      <alignment horizontal="left"/>
    </xf>
    <xf numFmtId="0" fontId="28" fillId="0" borderId="70" xfId="1" applyFont="1" applyBorder="1"/>
    <xf numFmtId="0" fontId="26" fillId="0" borderId="71" xfId="1" applyFont="1" applyBorder="1" applyAlignment="1">
      <alignment horizontal="left"/>
    </xf>
    <xf numFmtId="0" fontId="25" fillId="0" borderId="0" xfId="1" applyFont="1" applyAlignment="1"/>
    <xf numFmtId="0" fontId="26" fillId="0" borderId="0" xfId="1" applyFont="1" applyAlignment="1">
      <alignment horizontal="left"/>
    </xf>
    <xf numFmtId="0" fontId="28" fillId="0" borderId="72" xfId="1" applyFont="1" applyBorder="1"/>
    <xf numFmtId="0" fontId="26" fillId="0" borderId="73" xfId="1" applyFont="1" applyBorder="1" applyAlignment="1">
      <alignment horizontal="left"/>
    </xf>
    <xf numFmtId="0" fontId="28" fillId="0" borderId="74" xfId="1" applyFont="1" applyBorder="1"/>
    <xf numFmtId="0" fontId="28" fillId="0" borderId="75" xfId="1" applyFont="1" applyBorder="1"/>
    <xf numFmtId="0" fontId="26" fillId="0" borderId="76" xfId="1" applyFont="1" applyBorder="1" applyAlignment="1">
      <alignment horizontal="left" wrapText="1"/>
    </xf>
    <xf numFmtId="0" fontId="28" fillId="0" borderId="74" xfId="1" applyFont="1" applyBorder="1" applyAlignment="1">
      <alignment wrapText="1"/>
    </xf>
    <xf numFmtId="0" fontId="28" fillId="0" borderId="77" xfId="1" applyFont="1" applyBorder="1" applyAlignment="1">
      <alignment wrapText="1"/>
    </xf>
    <xf numFmtId="0" fontId="26" fillId="0" borderId="58" xfId="1" applyFont="1" applyBorder="1" applyAlignment="1">
      <alignment horizontal="left"/>
    </xf>
    <xf numFmtId="0" fontId="28" fillId="0" borderId="59" xfId="1" applyFont="1" applyBorder="1"/>
    <xf numFmtId="0" fontId="28" fillId="0" borderId="60" xfId="1" applyFont="1" applyBorder="1"/>
    <xf numFmtId="0" fontId="26" fillId="0" borderId="61" xfId="1" applyFont="1" applyBorder="1" applyAlignment="1">
      <alignment horizontal="left"/>
    </xf>
    <xf numFmtId="0" fontId="28" fillId="0" borderId="62" xfId="1" applyFont="1" applyBorder="1"/>
    <xf numFmtId="0" fontId="30" fillId="0" borderId="63" xfId="1" applyFont="1" applyBorder="1" applyAlignment="1">
      <alignment horizontal="center"/>
    </xf>
    <xf numFmtId="0" fontId="28" fillId="0" borderId="13" xfId="1" applyFont="1" applyBorder="1" applyAlignment="1">
      <alignment horizontal="center"/>
    </xf>
    <xf numFmtId="0" fontId="28" fillId="0" borderId="64" xfId="1" applyFont="1" applyBorder="1" applyAlignment="1">
      <alignment horizontal="center"/>
    </xf>
    <xf numFmtId="14" fontId="26" fillId="0" borderId="9" xfId="1" applyNumberFormat="1" applyFont="1" applyBorder="1" applyAlignment="1">
      <alignment horizontal="left"/>
    </xf>
    <xf numFmtId="0" fontId="28" fillId="0" borderId="17" xfId="1" applyFont="1" applyBorder="1"/>
    <xf numFmtId="0" fontId="28" fillId="0" borderId="79" xfId="1" applyFont="1" applyBorder="1"/>
    <xf numFmtId="0" fontId="26" fillId="0" borderId="63" xfId="1" applyFont="1" applyBorder="1" applyAlignment="1">
      <alignment horizontal="left"/>
    </xf>
    <xf numFmtId="0" fontId="28" fillId="0" borderId="13" xfId="1" applyFont="1" applyBorder="1"/>
    <xf numFmtId="0" fontId="28" fillId="0" borderId="64" xfId="1" applyFont="1" applyBorder="1"/>
    <xf numFmtId="0" fontId="28" fillId="0" borderId="71" xfId="1" applyFont="1" applyBorder="1"/>
    <xf numFmtId="0" fontId="30" fillId="0" borderId="78" xfId="1" applyFont="1" applyBorder="1" applyAlignment="1">
      <alignment horizontal="center"/>
    </xf>
    <xf numFmtId="0" fontId="28" fillId="0" borderId="17" xfId="1" applyFont="1" applyBorder="1" applyAlignment="1">
      <alignment horizontal="center"/>
    </xf>
    <xf numFmtId="0" fontId="28" fillId="0" borderId="57" xfId="1" applyFont="1" applyBorder="1" applyAlignment="1">
      <alignment horizontal="center"/>
    </xf>
    <xf numFmtId="0" fontId="26" fillId="0" borderId="76" xfId="1" applyFont="1" applyBorder="1" applyAlignment="1">
      <alignment horizontal="left"/>
    </xf>
    <xf numFmtId="0" fontId="28" fillId="0" borderId="77" xfId="1" applyFont="1" applyBorder="1"/>
    <xf numFmtId="0" fontId="26" fillId="0" borderId="7" xfId="1" applyFont="1" applyBorder="1" applyAlignment="1">
      <alignment horizontal="left"/>
    </xf>
    <xf numFmtId="0" fontId="28" fillId="0" borderId="65" xfId="1" applyFont="1" applyBorder="1"/>
    <xf numFmtId="0" fontId="26" fillId="0" borderId="66" xfId="1" applyFont="1" applyBorder="1" applyAlignment="1">
      <alignment horizontal="left" wrapText="1"/>
    </xf>
    <xf numFmtId="0" fontId="29" fillId="0" borderId="61" xfId="2" applyBorder="1" applyAlignment="1">
      <alignment horizontal="left"/>
    </xf>
    <xf numFmtId="0" fontId="29" fillId="0" borderId="59" xfId="2" applyBorder="1"/>
    <xf numFmtId="0" fontId="29" fillId="0" borderId="62" xfId="2" applyBorder="1"/>
    <xf numFmtId="0" fontId="26" fillId="20" borderId="0" xfId="1" applyFont="1" applyFill="1" applyAlignment="1">
      <alignment horizontal="right"/>
    </xf>
    <xf numFmtId="0" fontId="27" fillId="21" borderId="6" xfId="1" applyFont="1" applyFill="1" applyBorder="1" applyAlignment="1">
      <alignment horizontal="center" vertical="center" wrapText="1"/>
    </xf>
    <xf numFmtId="0" fontId="28" fillId="0" borderId="16" xfId="1" applyFont="1" applyBorder="1"/>
    <xf numFmtId="0" fontId="28" fillId="0" borderId="28" xfId="1" applyFont="1" applyBorder="1"/>
    <xf numFmtId="0" fontId="28" fillId="0" borderId="11" xfId="1" applyFont="1" applyBorder="1"/>
    <xf numFmtId="0" fontId="28" fillId="0" borderId="2" xfId="1" applyFont="1" applyBorder="1"/>
    <xf numFmtId="0" fontId="28" fillId="0" borderId="9" xfId="1" applyFont="1" applyBorder="1"/>
    <xf numFmtId="0" fontId="28" fillId="0" borderId="57" xfId="1" applyFont="1" applyBorder="1"/>
    <xf numFmtId="14" fontId="26" fillId="0" borderId="7" xfId="1" applyNumberFormat="1" applyFont="1" applyBorder="1" applyAlignment="1">
      <alignment horizontal="left"/>
    </xf>
    <xf numFmtId="0" fontId="1" fillId="5" borderId="7" xfId="0" applyFont="1" applyFill="1" applyBorder="1" applyAlignment="1">
      <alignment horizontal="center" vertical="top"/>
    </xf>
    <xf numFmtId="0" fontId="1" fillId="5" borderId="13" xfId="0" applyFont="1" applyFill="1" applyBorder="1" applyAlignment="1">
      <alignment horizontal="center" vertical="top"/>
    </xf>
    <xf numFmtId="0" fontId="1" fillId="5" borderId="25" xfId="0" applyFont="1" applyFill="1" applyBorder="1" applyAlignment="1">
      <alignment horizontal="center" vertical="top"/>
    </xf>
    <xf numFmtId="0" fontId="0" fillId="0" borderId="10" xfId="0" applyBorder="1" applyAlignment="1">
      <alignment horizontal="center"/>
    </xf>
    <xf numFmtId="0" fontId="23" fillId="18" borderId="18" xfId="0" applyFont="1" applyFill="1" applyBorder="1" applyAlignment="1">
      <alignment horizontal="center"/>
    </xf>
    <xf numFmtId="0" fontId="23" fillId="18" borderId="19" xfId="0" applyFont="1" applyFill="1" applyBorder="1" applyAlignment="1">
      <alignment horizontal="center"/>
    </xf>
    <xf numFmtId="0" fontId="23" fillId="18" borderId="21" xfId="0" applyFont="1" applyFill="1" applyBorder="1" applyAlignment="1">
      <alignment horizontal="center"/>
    </xf>
    <xf numFmtId="0" fontId="23" fillId="18" borderId="22" xfId="0" applyFont="1" applyFill="1" applyBorder="1" applyAlignment="1">
      <alignment horizontal="center"/>
    </xf>
    <xf numFmtId="0" fontId="20" fillId="17" borderId="0" xfId="0" applyFont="1" applyFill="1" applyAlignment="1">
      <alignment horizontal="center" vertical="center"/>
    </xf>
    <xf numFmtId="0" fontId="23" fillId="18" borderId="20" xfId="0" applyFont="1" applyFill="1" applyBorder="1" applyAlignment="1">
      <alignment horizontal="center"/>
    </xf>
    <xf numFmtId="0" fontId="23" fillId="18" borderId="23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 vertical="center"/>
    </xf>
    <xf numFmtId="0" fontId="22" fillId="4" borderId="16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7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9" borderId="10" xfId="0" applyFill="1" applyBorder="1" applyAlignment="1">
      <alignment horizontal="center"/>
    </xf>
    <xf numFmtId="0" fontId="1" fillId="0" borderId="7" xfId="0" applyFont="1" applyFill="1" applyBorder="1" applyAlignment="1">
      <alignment horizontal="center" vertical="top"/>
    </xf>
    <xf numFmtId="0" fontId="1" fillId="0" borderId="13" xfId="0" applyFont="1" applyFill="1" applyBorder="1" applyAlignment="1">
      <alignment horizontal="center" vertical="top"/>
    </xf>
    <xf numFmtId="0" fontId="1" fillId="0" borderId="0" xfId="0" applyFont="1" applyAlignment="1">
      <alignment horizontal="center" vertical="center"/>
    </xf>
    <xf numFmtId="0" fontId="1" fillId="4" borderId="9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8" fillId="13" borderId="0" xfId="0" applyFont="1" applyFill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7" fillId="12" borderId="0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vertical="center"/>
    </xf>
    <xf numFmtId="0" fontId="17" fillId="11" borderId="0" xfId="0" applyFont="1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ill="1" applyBorder="1"/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0" xfId="0" applyFont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48" xfId="0" applyFill="1" applyBorder="1"/>
    <xf numFmtId="0" fontId="2" fillId="3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2" fillId="3" borderId="44" xfId="0" applyFont="1" applyFill="1" applyBorder="1" applyAlignment="1">
      <alignment horizontal="left" vertical="center"/>
    </xf>
    <xf numFmtId="0" fontId="2" fillId="3" borderId="45" xfId="0" applyFont="1" applyFill="1" applyBorder="1" applyAlignment="1">
      <alignment horizontal="left" vertical="center"/>
    </xf>
    <xf numFmtId="0" fontId="0" fillId="0" borderId="45" xfId="0" applyFill="1" applyBorder="1"/>
    <xf numFmtId="0" fontId="0" fillId="0" borderId="46" xfId="0" applyFill="1" applyBorder="1"/>
    <xf numFmtId="0" fontId="2" fillId="2" borderId="37" xfId="0" applyFont="1" applyFill="1" applyBorder="1" applyAlignment="1">
      <alignment horizontal="left" vertical="center"/>
    </xf>
    <xf numFmtId="0" fontId="2" fillId="2" borderId="38" xfId="0" applyFont="1" applyFill="1" applyBorder="1" applyAlignment="1">
      <alignment horizontal="left" vertical="center"/>
    </xf>
    <xf numFmtId="0" fontId="0" fillId="4" borderId="38" xfId="0" applyFill="1" applyBorder="1"/>
    <xf numFmtId="0" fontId="0" fillId="4" borderId="39" xfId="0" applyFill="1" applyBorder="1"/>
    <xf numFmtId="0" fontId="2" fillId="2" borderId="44" xfId="0" applyFont="1" applyFill="1" applyBorder="1" applyAlignment="1">
      <alignment horizontal="left" vertical="center"/>
    </xf>
    <xf numFmtId="0" fontId="2" fillId="2" borderId="45" xfId="0" applyFont="1" applyFill="1" applyBorder="1" applyAlignment="1">
      <alignment horizontal="left" vertical="center"/>
    </xf>
    <xf numFmtId="0" fontId="0" fillId="4" borderId="45" xfId="0" applyFill="1" applyBorder="1"/>
    <xf numFmtId="0" fontId="0" fillId="4" borderId="46" xfId="0" applyFill="1" applyBorder="1"/>
    <xf numFmtId="0" fontId="2" fillId="0" borderId="37" xfId="0" applyFont="1" applyFill="1" applyBorder="1" applyAlignment="1">
      <alignment horizontal="left" vertical="center"/>
    </xf>
    <xf numFmtId="0" fontId="2" fillId="0" borderId="38" xfId="0" applyFont="1" applyFill="1" applyBorder="1" applyAlignment="1">
      <alignment horizontal="left" vertical="center"/>
    </xf>
    <xf numFmtId="0" fontId="0" fillId="0" borderId="38" xfId="0" applyFill="1" applyBorder="1"/>
    <xf numFmtId="0" fontId="0" fillId="0" borderId="39" xfId="0" applyFill="1" applyBorder="1"/>
    <xf numFmtId="0" fontId="2" fillId="3" borderId="53" xfId="0" applyFont="1" applyFill="1" applyBorder="1" applyAlignment="1">
      <alignment horizontal="left" vertical="center"/>
    </xf>
    <xf numFmtId="0" fontId="2" fillId="3" borderId="54" xfId="0" applyFont="1" applyFill="1" applyBorder="1" applyAlignment="1">
      <alignment horizontal="left" vertical="center"/>
    </xf>
    <xf numFmtId="0" fontId="0" fillId="0" borderId="54" xfId="0" applyFill="1" applyBorder="1"/>
    <xf numFmtId="0" fontId="0" fillId="0" borderId="55" xfId="0" applyFill="1" applyBorder="1"/>
    <xf numFmtId="0" fontId="19" fillId="2" borderId="44" xfId="0" applyFont="1" applyFill="1" applyBorder="1" applyAlignment="1">
      <alignment horizontal="left" vertical="center"/>
    </xf>
    <xf numFmtId="0" fontId="19" fillId="2" borderId="45" xfId="0" applyFont="1" applyFill="1" applyBorder="1" applyAlignment="1">
      <alignment horizontal="left" vertical="center"/>
    </xf>
    <xf numFmtId="0" fontId="5" fillId="0" borderId="49" xfId="0" applyFont="1" applyFill="1" applyBorder="1" applyAlignment="1">
      <alignment horizontal="center" vertical="center"/>
    </xf>
    <xf numFmtId="0" fontId="5" fillId="0" borderId="5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34" xfId="0" applyFont="1" applyFill="1" applyBorder="1" applyAlignment="1">
      <alignment horizontal="left" vertical="center"/>
    </xf>
    <xf numFmtId="0" fontId="4" fillId="0" borderId="35" xfId="0" applyFont="1" applyFill="1" applyBorder="1" applyAlignment="1">
      <alignment horizontal="left" vertical="center"/>
    </xf>
    <xf numFmtId="0" fontId="4" fillId="0" borderId="36" xfId="0" applyFont="1" applyFill="1" applyBorder="1" applyAlignment="1">
      <alignment horizontal="left" vertical="center"/>
    </xf>
    <xf numFmtId="0" fontId="4" fillId="0" borderId="29" xfId="0" applyFont="1" applyFill="1" applyBorder="1" applyAlignment="1">
      <alignment horizontal="left" vertical="center"/>
    </xf>
    <xf numFmtId="0" fontId="4" fillId="0" borderId="30" xfId="0" applyFont="1" applyFill="1" applyBorder="1" applyAlignment="1">
      <alignment horizontal="left" vertical="center"/>
    </xf>
    <xf numFmtId="0" fontId="2" fillId="0" borderId="44" xfId="0" applyFont="1" applyFill="1" applyBorder="1" applyAlignment="1">
      <alignment horizontal="left" vertical="center"/>
    </xf>
    <xf numFmtId="0" fontId="2" fillId="0" borderId="45" xfId="0" applyFont="1" applyFill="1" applyBorder="1" applyAlignment="1">
      <alignment horizontal="left" vertical="center"/>
    </xf>
    <xf numFmtId="0" fontId="4" fillId="0" borderId="32" xfId="0" applyFont="1" applyFill="1" applyBorder="1" applyAlignment="1">
      <alignment horizontal="left" vertical="center"/>
    </xf>
    <xf numFmtId="0" fontId="19" fillId="2" borderId="37" xfId="0" applyFont="1" applyFill="1" applyBorder="1" applyAlignment="1">
      <alignment horizontal="left" vertical="center"/>
    </xf>
    <xf numFmtId="0" fontId="19" fillId="2" borderId="38" xfId="0" applyFont="1" applyFill="1" applyBorder="1" applyAlignment="1">
      <alignment horizontal="left" vertical="center"/>
    </xf>
    <xf numFmtId="0" fontId="5" fillId="0" borderId="38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left" vertical="center"/>
    </xf>
    <xf numFmtId="0" fontId="19" fillId="3" borderId="44" xfId="0" applyFont="1" applyFill="1" applyBorder="1" applyAlignment="1">
      <alignment horizontal="left" vertical="center"/>
    </xf>
    <xf numFmtId="0" fontId="19" fillId="3" borderId="45" xfId="0" applyFont="1" applyFill="1" applyBorder="1" applyAlignment="1">
      <alignment horizontal="left" vertical="center"/>
    </xf>
    <xf numFmtId="0" fontId="2" fillId="3" borderId="47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2" fillId="0" borderId="52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28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left" vertical="center"/>
    </xf>
    <xf numFmtId="0" fontId="2" fillId="3" borderId="38" xfId="0" applyFont="1" applyFill="1" applyBorder="1" applyAlignment="1">
      <alignment horizontal="left" vertical="center"/>
    </xf>
    <xf numFmtId="0" fontId="2" fillId="0" borderId="53" xfId="0" applyFont="1" applyFill="1" applyBorder="1" applyAlignment="1">
      <alignment horizontal="left" vertical="center"/>
    </xf>
    <xf numFmtId="0" fontId="2" fillId="0" borderId="54" xfId="0" applyFont="1" applyFill="1" applyBorder="1" applyAlignment="1">
      <alignment horizontal="left" vertical="center"/>
    </xf>
    <xf numFmtId="0" fontId="19" fillId="3" borderId="47" xfId="0" applyFont="1" applyFill="1" applyBorder="1" applyAlignment="1">
      <alignment horizontal="left" vertical="center"/>
    </xf>
    <xf numFmtId="0" fontId="19" fillId="3" borderId="1" xfId="0" applyFont="1" applyFill="1" applyBorder="1" applyAlignment="1">
      <alignment horizontal="left" vertical="center"/>
    </xf>
    <xf numFmtId="0" fontId="1" fillId="5" borderId="14" xfId="0" applyFont="1" applyFill="1" applyBorder="1" applyAlignment="1">
      <alignment horizontal="center" vertical="top"/>
    </xf>
    <xf numFmtId="0" fontId="1" fillId="5" borderId="15" xfId="0" applyFont="1" applyFill="1" applyBorder="1" applyAlignment="1">
      <alignment horizontal="center" vertical="top"/>
    </xf>
    <xf numFmtId="0" fontId="1" fillId="5" borderId="83" xfId="0" applyFont="1" applyFill="1" applyBorder="1" applyAlignment="1">
      <alignment horizontal="center" vertical="top"/>
    </xf>
    <xf numFmtId="0" fontId="1" fillId="5" borderId="0" xfId="0" applyFont="1" applyFill="1" applyBorder="1" applyAlignment="1">
      <alignment horizontal="center"/>
    </xf>
    <xf numFmtId="0" fontId="1" fillId="5" borderId="56" xfId="0" applyFont="1" applyFill="1" applyBorder="1" applyAlignment="1">
      <alignment horizontal="center"/>
    </xf>
    <xf numFmtId="0" fontId="24" fillId="0" borderId="80" xfId="0" applyFont="1" applyBorder="1" applyAlignment="1">
      <alignment horizontal="center" vertical="center" wrapText="1"/>
    </xf>
    <xf numFmtId="0" fontId="24" fillId="0" borderId="52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 vertical="center" wrapText="1"/>
    </xf>
    <xf numFmtId="0" fontId="24" fillId="0" borderId="81" xfId="0" applyFont="1" applyBorder="1" applyAlignment="1">
      <alignment horizontal="center" vertical="center" wrapText="1"/>
    </xf>
    <xf numFmtId="0" fontId="24" fillId="0" borderId="82" xfId="0" applyFont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253B603D-B47A-4485-8B58-AB5B95ACDA49}"/>
  </cellStyles>
  <dxfs count="341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colors>
    <mruColors>
      <color rgb="FFFF7C80"/>
      <color rgb="FFFF5050"/>
      <color rgb="FFFB5C1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104775"/>
          <a:ext cx="2124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</xdr:row>
          <xdr:rowOff>200025</xdr:rowOff>
        </xdr:from>
        <xdr:to>
          <xdr:col>26</xdr:col>
          <xdr:colOff>609600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Results from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ocs.google.com/document/d/1_y9WS4fOdisfRefzAwLMQFyz9u9yI_hNgfXlCaGQaq4/ed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28A3C-B6E7-42D0-BD37-51571EA47534}">
  <sheetPr codeName="Sheet2">
    <outlinePr summaryBelow="0" summaryRight="0"/>
    <pageSetUpPr autoPageBreaks="0"/>
  </sheetPr>
  <dimension ref="A1:H37"/>
  <sheetViews>
    <sheetView workbookViewId="0">
      <selection activeCell="E16" sqref="E16:H16"/>
    </sheetView>
  </sheetViews>
  <sheetFormatPr defaultColWidth="12.625" defaultRowHeight="15.75" customHeight="1"/>
  <cols>
    <col min="1" max="1" width="17.375" style="49" customWidth="1"/>
    <col min="2" max="2" width="9.25" style="49" customWidth="1"/>
    <col min="3" max="4" width="5.875" style="49" customWidth="1"/>
    <col min="5" max="5" width="17.125" style="49" customWidth="1"/>
    <col min="6" max="6" width="15.75" style="49" customWidth="1"/>
    <col min="7" max="7" width="16.375" style="49" customWidth="1"/>
    <col min="8" max="8" width="19.625" style="49" customWidth="1"/>
    <col min="9" max="16384" width="12.625" style="49"/>
  </cols>
  <sheetData>
    <row r="1" spans="1:8" ht="12.75">
      <c r="A1" s="95" t="s">
        <v>148</v>
      </c>
      <c r="B1" s="60"/>
      <c r="C1" s="60"/>
      <c r="D1" s="60"/>
      <c r="E1" s="60"/>
      <c r="F1" s="60"/>
      <c r="G1" s="60"/>
      <c r="H1" s="60"/>
    </row>
    <row r="2" spans="1:8" ht="15.75" customHeight="1">
      <c r="A2" s="60"/>
      <c r="B2" s="60"/>
      <c r="C2" s="60"/>
      <c r="D2" s="60"/>
      <c r="E2" s="60"/>
      <c r="F2" s="60"/>
      <c r="G2" s="60"/>
      <c r="H2" s="60"/>
    </row>
    <row r="3" spans="1:8" ht="15.75" customHeight="1">
      <c r="A3" s="60"/>
      <c r="B3" s="60"/>
      <c r="C3" s="60"/>
      <c r="D3" s="60"/>
      <c r="E3" s="60"/>
      <c r="F3" s="60"/>
      <c r="G3" s="60"/>
      <c r="H3" s="60"/>
    </row>
    <row r="4" spans="1:8" ht="15.75" customHeight="1">
      <c r="A4" s="60"/>
      <c r="B4" s="60"/>
      <c r="C4" s="60"/>
      <c r="D4" s="60"/>
      <c r="E4" s="60"/>
      <c r="F4" s="60"/>
      <c r="G4" s="60"/>
      <c r="H4" s="60"/>
    </row>
    <row r="5" spans="1:8" ht="12.75">
      <c r="A5" s="96" t="s">
        <v>169</v>
      </c>
      <c r="B5" s="97"/>
      <c r="C5" s="97"/>
      <c r="D5" s="97"/>
      <c r="E5" s="97"/>
      <c r="F5" s="97"/>
      <c r="G5" s="97"/>
      <c r="H5" s="98"/>
    </row>
    <row r="6" spans="1:8" ht="12.75">
      <c r="A6" s="99"/>
      <c r="B6" s="60"/>
      <c r="C6" s="60"/>
      <c r="D6" s="60"/>
      <c r="E6" s="60"/>
      <c r="F6" s="60"/>
      <c r="G6" s="60"/>
      <c r="H6" s="100"/>
    </row>
    <row r="7" spans="1:8" ht="12.75">
      <c r="A7" s="99"/>
      <c r="B7" s="60"/>
      <c r="C7" s="60"/>
      <c r="D7" s="60"/>
      <c r="E7" s="60"/>
      <c r="F7" s="60"/>
      <c r="G7" s="60"/>
      <c r="H7" s="100"/>
    </row>
    <row r="8" spans="1:8" ht="12.75">
      <c r="A8" s="99"/>
      <c r="B8" s="60"/>
      <c r="C8" s="60"/>
      <c r="D8" s="60"/>
      <c r="E8" s="60"/>
      <c r="F8" s="60"/>
      <c r="G8" s="60"/>
      <c r="H8" s="100"/>
    </row>
    <row r="9" spans="1:8" ht="13.5" thickBot="1">
      <c r="A9" s="101"/>
      <c r="B9" s="78"/>
      <c r="C9" s="78"/>
      <c r="D9" s="78"/>
      <c r="E9" s="78"/>
      <c r="F9" s="78"/>
      <c r="G9" s="78"/>
      <c r="H9" s="102"/>
    </row>
    <row r="10" spans="1:8" ht="18">
      <c r="A10" s="69" t="s">
        <v>149</v>
      </c>
      <c r="B10" s="70"/>
      <c r="C10" s="70"/>
      <c r="D10" s="71"/>
      <c r="E10" s="72"/>
      <c r="F10" s="70"/>
      <c r="G10" s="70"/>
      <c r="H10" s="73"/>
    </row>
    <row r="11" spans="1:8" ht="18">
      <c r="A11" s="80" t="s">
        <v>150</v>
      </c>
      <c r="B11" s="81"/>
      <c r="C11" s="81"/>
      <c r="D11" s="82"/>
      <c r="E11" s="103"/>
      <c r="F11" s="81"/>
      <c r="G11" s="81"/>
      <c r="H11" s="90"/>
    </row>
    <row r="12" spans="1:8" ht="18">
      <c r="A12" s="80" t="s">
        <v>151</v>
      </c>
      <c r="B12" s="81"/>
      <c r="C12" s="81"/>
      <c r="D12" s="82"/>
      <c r="E12" s="89"/>
      <c r="F12" s="81"/>
      <c r="G12" s="81"/>
      <c r="H12" s="90"/>
    </row>
    <row r="13" spans="1:8" ht="18.75" thickBot="1">
      <c r="A13" s="91" t="s">
        <v>152</v>
      </c>
      <c r="B13" s="55"/>
      <c r="C13" s="55"/>
      <c r="D13" s="56"/>
      <c r="E13" s="57"/>
      <c r="F13" s="55"/>
      <c r="G13" s="55"/>
      <c r="H13" s="58"/>
    </row>
    <row r="14" spans="1:8" ht="18.75" thickBot="1">
      <c r="A14" s="59"/>
      <c r="B14" s="60"/>
      <c r="C14" s="60"/>
      <c r="D14" s="60"/>
      <c r="E14" s="61"/>
      <c r="F14" s="60"/>
      <c r="G14" s="60"/>
      <c r="H14" s="62"/>
    </row>
    <row r="15" spans="1:8" ht="18">
      <c r="A15" s="69" t="s">
        <v>153</v>
      </c>
      <c r="B15" s="70"/>
      <c r="C15" s="70"/>
      <c r="D15" s="71"/>
      <c r="E15" s="92" t="s">
        <v>163</v>
      </c>
      <c r="F15" s="93"/>
      <c r="G15" s="93"/>
      <c r="H15" s="94"/>
    </row>
    <row r="16" spans="1:8" ht="18.75" thickBot="1">
      <c r="A16" s="54" t="s">
        <v>154</v>
      </c>
      <c r="B16" s="55"/>
      <c r="C16" s="55"/>
      <c r="D16" s="56"/>
      <c r="E16" s="57" t="s">
        <v>170</v>
      </c>
      <c r="F16" s="55"/>
      <c r="G16" s="55"/>
      <c r="H16" s="58"/>
    </row>
    <row r="17" spans="1:8" ht="12.75">
      <c r="A17" s="59"/>
      <c r="B17" s="60"/>
      <c r="C17" s="60"/>
      <c r="D17" s="60"/>
      <c r="E17" s="60"/>
      <c r="F17" s="60"/>
      <c r="G17" s="60"/>
      <c r="H17" s="62"/>
    </row>
    <row r="18" spans="1:8" ht="13.5" thickBot="1">
      <c r="A18" s="83"/>
      <c r="B18" s="60"/>
      <c r="C18" s="60"/>
      <c r="D18" s="60"/>
      <c r="E18" s="60"/>
      <c r="F18" s="60"/>
      <c r="G18" s="60"/>
      <c r="H18" s="62"/>
    </row>
    <row r="19" spans="1:8" ht="18.75" thickBot="1">
      <c r="A19" s="63" t="s">
        <v>155</v>
      </c>
      <c r="B19" s="64"/>
      <c r="C19" s="64"/>
      <c r="D19" s="65"/>
      <c r="E19" s="87" t="s">
        <v>156</v>
      </c>
      <c r="F19" s="64"/>
      <c r="G19" s="64"/>
      <c r="H19" s="88"/>
    </row>
    <row r="20" spans="1:8" ht="18">
      <c r="A20" s="84" t="s">
        <v>164</v>
      </c>
      <c r="B20" s="85"/>
      <c r="C20" s="85"/>
      <c r="D20" s="86"/>
      <c r="E20" s="77"/>
      <c r="F20" s="78"/>
      <c r="G20" s="78"/>
      <c r="H20" s="79"/>
    </row>
    <row r="21" spans="1:8" ht="18">
      <c r="A21" s="74" t="s">
        <v>165</v>
      </c>
      <c r="B21" s="75"/>
      <c r="C21" s="75"/>
      <c r="D21" s="76"/>
      <c r="E21" s="77"/>
      <c r="F21" s="78"/>
      <c r="G21" s="78"/>
      <c r="H21" s="79"/>
    </row>
    <row r="22" spans="1:8" ht="18">
      <c r="A22" s="74" t="s">
        <v>166</v>
      </c>
      <c r="B22" s="75"/>
      <c r="C22" s="75"/>
      <c r="D22" s="76"/>
      <c r="E22" s="77"/>
      <c r="F22" s="78"/>
      <c r="G22" s="78"/>
      <c r="H22" s="79"/>
    </row>
    <row r="23" spans="1:8" ht="18">
      <c r="A23" s="74" t="s">
        <v>167</v>
      </c>
      <c r="B23" s="75"/>
      <c r="C23" s="75"/>
      <c r="D23" s="76"/>
      <c r="E23" s="77"/>
      <c r="F23" s="78"/>
      <c r="G23" s="78"/>
      <c r="H23" s="79"/>
    </row>
    <row r="24" spans="1:8" ht="18">
      <c r="A24" s="74" t="s">
        <v>168</v>
      </c>
      <c r="B24" s="75"/>
      <c r="C24" s="75"/>
      <c r="D24" s="76"/>
      <c r="E24" s="77"/>
      <c r="F24" s="78"/>
      <c r="G24" s="78"/>
      <c r="H24" s="79"/>
    </row>
    <row r="25" spans="1:8" ht="18">
      <c r="A25" s="80"/>
      <c r="B25" s="81"/>
      <c r="C25" s="81"/>
      <c r="D25" s="82"/>
      <c r="E25" s="77"/>
      <c r="F25" s="78"/>
      <c r="G25" s="78"/>
      <c r="H25" s="79"/>
    </row>
    <row r="26" spans="1:8" ht="18">
      <c r="A26" s="80"/>
      <c r="B26" s="81"/>
      <c r="C26" s="81"/>
      <c r="D26" s="82"/>
      <c r="E26" s="77"/>
      <c r="F26" s="78"/>
      <c r="G26" s="78"/>
      <c r="H26" s="79"/>
    </row>
    <row r="27" spans="1:8" ht="18.75" thickBot="1">
      <c r="A27" s="54"/>
      <c r="B27" s="55"/>
      <c r="C27" s="55"/>
      <c r="D27" s="56"/>
      <c r="E27" s="77"/>
      <c r="F27" s="78"/>
      <c r="G27" s="78"/>
      <c r="H27" s="79"/>
    </row>
    <row r="28" spans="1:8" ht="12.75">
      <c r="A28" s="59"/>
      <c r="B28" s="60"/>
      <c r="C28" s="60"/>
      <c r="D28" s="60"/>
      <c r="E28" s="60"/>
      <c r="F28" s="60"/>
      <c r="G28" s="60"/>
      <c r="H28" s="62"/>
    </row>
    <row r="29" spans="1:8" ht="13.5" thickBot="1">
      <c r="A29" s="83"/>
      <c r="B29" s="60"/>
      <c r="C29" s="60"/>
      <c r="D29" s="60"/>
      <c r="E29" s="60"/>
      <c r="F29" s="60"/>
      <c r="G29" s="60"/>
      <c r="H29" s="62"/>
    </row>
    <row r="30" spans="1:8" ht="60" customHeight="1" thickBot="1">
      <c r="A30" s="63" t="s">
        <v>157</v>
      </c>
      <c r="B30" s="64"/>
      <c r="C30" s="64"/>
      <c r="D30" s="65"/>
      <c r="E30" s="66"/>
      <c r="F30" s="67"/>
      <c r="G30" s="67"/>
      <c r="H30" s="68"/>
    </row>
    <row r="31" spans="1:8" ht="18.75" thickBot="1">
      <c r="A31" s="59"/>
      <c r="B31" s="60"/>
      <c r="C31" s="60"/>
      <c r="D31" s="60"/>
      <c r="E31" s="61"/>
      <c r="F31" s="60"/>
      <c r="G31" s="60"/>
      <c r="H31" s="62"/>
    </row>
    <row r="32" spans="1:8" ht="57" customHeight="1" thickBot="1">
      <c r="A32" s="63" t="s">
        <v>158</v>
      </c>
      <c r="B32" s="64"/>
      <c r="C32" s="64"/>
      <c r="D32" s="65"/>
      <c r="E32" s="66"/>
      <c r="F32" s="67"/>
      <c r="G32" s="67"/>
      <c r="H32" s="68"/>
    </row>
    <row r="33" spans="1:8" ht="18.75" thickBot="1">
      <c r="A33" s="59"/>
      <c r="B33" s="60"/>
      <c r="C33" s="60"/>
      <c r="D33" s="60"/>
      <c r="E33" s="61"/>
      <c r="F33" s="60"/>
      <c r="G33" s="60"/>
      <c r="H33" s="62"/>
    </row>
    <row r="34" spans="1:8" ht="53.25" customHeight="1" thickBot="1">
      <c r="A34" s="63" t="s">
        <v>159</v>
      </c>
      <c r="B34" s="64"/>
      <c r="C34" s="64"/>
      <c r="D34" s="65"/>
      <c r="E34" s="66"/>
      <c r="F34" s="67"/>
      <c r="G34" s="67"/>
      <c r="H34" s="68"/>
    </row>
    <row r="35" spans="1:8" ht="18.75" thickBot="1">
      <c r="A35" s="59"/>
      <c r="B35" s="60"/>
      <c r="C35" s="60"/>
      <c r="D35" s="60"/>
      <c r="E35" s="60"/>
      <c r="F35" s="60"/>
      <c r="G35" s="60"/>
      <c r="H35" s="62"/>
    </row>
    <row r="36" spans="1:8" ht="18">
      <c r="A36" s="69" t="s">
        <v>160</v>
      </c>
      <c r="B36" s="70"/>
      <c r="C36" s="70"/>
      <c r="D36" s="71"/>
      <c r="E36" s="72" t="s">
        <v>161</v>
      </c>
      <c r="F36" s="70"/>
      <c r="G36" s="70"/>
      <c r="H36" s="73"/>
    </row>
    <row r="37" spans="1:8" ht="18.75" thickBot="1">
      <c r="A37" s="54" t="s">
        <v>162</v>
      </c>
      <c r="B37" s="55"/>
      <c r="C37" s="55"/>
      <c r="D37" s="56"/>
      <c r="E37" s="57" t="s">
        <v>161</v>
      </c>
      <c r="F37" s="55"/>
      <c r="G37" s="55"/>
      <c r="H37" s="58"/>
    </row>
  </sheetData>
  <mergeCells count="51">
    <mergeCell ref="A1:H4"/>
    <mergeCell ref="A5:H9"/>
    <mergeCell ref="A10:D10"/>
    <mergeCell ref="E10:H10"/>
    <mergeCell ref="A11:D11"/>
    <mergeCell ref="E11:H11"/>
    <mergeCell ref="A19:D19"/>
    <mergeCell ref="E19:H19"/>
    <mergeCell ref="A12:D12"/>
    <mergeCell ref="E12:H12"/>
    <mergeCell ref="A13:D13"/>
    <mergeCell ref="E13:H13"/>
    <mergeCell ref="A14:D14"/>
    <mergeCell ref="E14:H14"/>
    <mergeCell ref="A15:D15"/>
    <mergeCell ref="E15:H15"/>
    <mergeCell ref="A16:D16"/>
    <mergeCell ref="E16:H16"/>
    <mergeCell ref="A17:H18"/>
    <mergeCell ref="A20:D20"/>
    <mergeCell ref="E20:H20"/>
    <mergeCell ref="A21:D21"/>
    <mergeCell ref="E21:H21"/>
    <mergeCell ref="A22:D22"/>
    <mergeCell ref="E22:H22"/>
    <mergeCell ref="A30:D30"/>
    <mergeCell ref="E30:H30"/>
    <mergeCell ref="A23:D23"/>
    <mergeCell ref="E23:H23"/>
    <mergeCell ref="A24:D24"/>
    <mergeCell ref="E24:H24"/>
    <mergeCell ref="A25:D25"/>
    <mergeCell ref="E25:H25"/>
    <mergeCell ref="A26:D26"/>
    <mergeCell ref="E26:H26"/>
    <mergeCell ref="A27:D27"/>
    <mergeCell ref="E27:H27"/>
    <mergeCell ref="A28:H29"/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E34:H34"/>
    <mergeCell ref="A35:H35"/>
    <mergeCell ref="A36:D36"/>
    <mergeCell ref="E36:H36"/>
  </mergeCells>
  <conditionalFormatting sqref="E20:H27">
    <cfRule type="expression" dxfId="340" priority="1">
      <formula>AND(ISNUMBER(E20),TRUNC(E20)&lt;TODAY())</formula>
    </cfRule>
  </conditionalFormatting>
  <dataValidations disablePrompts="1" count="1">
    <dataValidation type="list" allowBlank="1" sqref="E12" xr:uid="{654A5C0C-F148-40F1-A99F-2B72E32C7553}">
      <formula1>"OnLogic US-VT,OnLogic US-NC,Onlogic TW,Onlogic MY"</formula1>
    </dataValidation>
  </dataValidations>
  <hyperlinks>
    <hyperlink ref="E15:H15" r:id="rId1" display="DC-DC Test instructions V1.0" xr:uid="{EFC3DCDE-3439-4158-89D2-85B1C8BC681B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FC1160"/>
  <sheetViews>
    <sheetView tabSelected="1" topLeftCell="AB1" zoomScaleNormal="100" workbookViewId="0">
      <selection activeCell="AK26" sqref="AK26:AN26"/>
    </sheetView>
  </sheetViews>
  <sheetFormatPr defaultColWidth="0" defaultRowHeight="0" customHeight="1" zeroHeight="1"/>
  <cols>
    <col min="1" max="2" width="8.375" customWidth="1"/>
    <col min="3" max="3" width="17.125" customWidth="1"/>
    <col min="4" max="4" width="11.875" customWidth="1"/>
    <col min="5" max="5" width="12.875" customWidth="1"/>
    <col min="6" max="6" width="13.625" customWidth="1"/>
    <col min="7" max="7" width="12.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1.75" customWidth="1"/>
    <col min="13" max="13" width="13.375" customWidth="1"/>
    <col min="14" max="16" width="8.375" customWidth="1"/>
    <col min="17" max="17" width="12.25" customWidth="1"/>
    <col min="18" max="31" width="8.375" customWidth="1"/>
    <col min="32" max="75" width="10.375" customWidth="1"/>
    <col min="76" max="713" width="10.375" hidden="1"/>
    <col min="714" max="16383" width="9" hidden="1"/>
  </cols>
  <sheetData>
    <row r="1" spans="1:44" ht="14.25" customHeight="1" thickBot="1">
      <c r="A1" s="143"/>
      <c r="B1" s="143"/>
      <c r="C1" s="143"/>
      <c r="D1" s="143"/>
      <c r="E1" s="143"/>
      <c r="F1" s="143"/>
      <c r="G1" s="14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44" ht="18" customHeight="1">
      <c r="A2" s="167" t="s">
        <v>0</v>
      </c>
      <c r="B2" s="168"/>
      <c r="C2" s="168"/>
      <c r="D2" s="168"/>
      <c r="E2" s="169"/>
      <c r="F2" s="169"/>
      <c r="G2" s="17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F2" s="108" t="s">
        <v>129</v>
      </c>
      <c r="AG2" s="109"/>
      <c r="AH2" s="109"/>
      <c r="AI2" s="109"/>
      <c r="AJ2" s="109"/>
      <c r="AK2" s="109"/>
      <c r="AL2" s="109"/>
      <c r="AM2" s="109"/>
      <c r="AN2" s="113"/>
      <c r="AO2" s="108" t="s">
        <v>144</v>
      </c>
      <c r="AP2" s="109"/>
      <c r="AQ2" s="109"/>
      <c r="AR2" s="109"/>
    </row>
    <row r="3" spans="1:44" ht="18" customHeight="1" thickBot="1">
      <c r="A3" s="198"/>
      <c r="B3" s="199"/>
      <c r="C3" s="199"/>
      <c r="D3" s="199"/>
      <c r="E3" s="199"/>
      <c r="F3" s="199"/>
      <c r="G3" s="200"/>
      <c r="H3" s="195" t="s">
        <v>1</v>
      </c>
      <c r="I3" s="195"/>
      <c r="J3" s="195"/>
      <c r="K3" s="195"/>
      <c r="L3" s="195"/>
      <c r="M3" s="210" t="s">
        <v>2</v>
      </c>
      <c r="N3" s="210"/>
      <c r="O3" s="210"/>
      <c r="P3" s="210"/>
      <c r="Q3" s="210"/>
      <c r="R3" s="210"/>
      <c r="S3" s="1"/>
      <c r="T3" s="1"/>
      <c r="U3" s="112" t="s">
        <v>94</v>
      </c>
      <c r="V3" s="112"/>
      <c r="W3" s="112"/>
      <c r="X3" s="112"/>
      <c r="Y3" s="112"/>
      <c r="Z3" s="112"/>
      <c r="AA3" s="112"/>
      <c r="AB3" s="112"/>
      <c r="AC3" s="112"/>
      <c r="AD3" s="112"/>
      <c r="AF3" s="110"/>
      <c r="AG3" s="111"/>
      <c r="AH3" s="111"/>
      <c r="AI3" s="111"/>
      <c r="AJ3" s="111"/>
      <c r="AK3" s="111"/>
      <c r="AL3" s="111"/>
      <c r="AM3" s="111"/>
      <c r="AN3" s="114"/>
      <c r="AO3" s="110"/>
      <c r="AP3" s="111"/>
      <c r="AQ3" s="111"/>
      <c r="AR3" s="111"/>
    </row>
    <row r="4" spans="1:44" ht="18" customHeight="1">
      <c r="A4" s="201"/>
      <c r="B4" s="202"/>
      <c r="C4" s="202"/>
      <c r="D4" s="202"/>
      <c r="E4" s="202"/>
      <c r="F4" s="202"/>
      <c r="G4" s="203"/>
      <c r="H4" s="183" t="s">
        <v>3</v>
      </c>
      <c r="I4" s="183"/>
      <c r="J4" s="183"/>
      <c r="K4" s="183"/>
      <c r="L4" s="184"/>
      <c r="M4" s="211"/>
      <c r="N4" s="210"/>
      <c r="O4" s="210"/>
      <c r="P4" s="210"/>
      <c r="Q4" s="210"/>
      <c r="R4" s="210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F4" s="126" t="s">
        <v>112</v>
      </c>
      <c r="AG4" s="127"/>
      <c r="AH4" s="127"/>
      <c r="AI4" s="127"/>
      <c r="AJ4" s="127"/>
      <c r="AK4" s="107">
        <f>E2</f>
        <v>0</v>
      </c>
      <c r="AL4" s="107"/>
      <c r="AM4" s="107"/>
      <c r="AN4" s="107"/>
    </row>
    <row r="5" spans="1:44" ht="18" customHeight="1" thickBot="1">
      <c r="A5" s="185" t="s">
        <v>4</v>
      </c>
      <c r="B5" s="186"/>
      <c r="C5" s="186"/>
      <c r="D5" s="186"/>
      <c r="E5" s="157"/>
      <c r="F5" s="157"/>
      <c r="G5" s="158"/>
      <c r="H5" s="179" t="s">
        <v>5</v>
      </c>
      <c r="I5" s="179"/>
      <c r="J5" s="179"/>
      <c r="K5" s="179"/>
      <c r="L5" s="187"/>
      <c r="M5" s="211"/>
      <c r="N5" s="210"/>
      <c r="O5" s="210"/>
      <c r="P5" s="210"/>
      <c r="Q5" s="210"/>
      <c r="R5" s="210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F5" s="128" t="s">
        <v>128</v>
      </c>
      <c r="AG5" s="129"/>
      <c r="AH5" s="129"/>
      <c r="AI5" s="129"/>
      <c r="AJ5" s="129"/>
      <c r="AK5" s="107" t="str">
        <f>CONCATENATE("Voltage: ",DUT_VOUT,"V")</f>
        <v>Voltage: 0V</v>
      </c>
      <c r="AL5" s="107"/>
      <c r="AM5" s="107"/>
      <c r="AN5" s="107"/>
    </row>
    <row r="6" spans="1:44" ht="18" customHeight="1">
      <c r="A6" s="188" t="s">
        <v>6</v>
      </c>
      <c r="B6" s="189"/>
      <c r="C6" s="189"/>
      <c r="D6" s="189"/>
      <c r="E6" s="190">
        <v>0</v>
      </c>
      <c r="F6" s="190"/>
      <c r="G6" s="44" t="s">
        <v>7</v>
      </c>
      <c r="H6" s="191" t="s">
        <v>130</v>
      </c>
      <c r="I6" s="179"/>
      <c r="J6" s="179"/>
      <c r="K6" s="179"/>
      <c r="L6" s="187"/>
      <c r="M6" s="211"/>
      <c r="N6" s="210"/>
      <c r="O6" s="210"/>
      <c r="P6" s="210"/>
      <c r="Q6" s="210"/>
      <c r="R6" s="210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F6" s="115" t="s">
        <v>113</v>
      </c>
      <c r="AG6" s="116"/>
      <c r="AH6" s="116"/>
      <c r="AI6" s="116"/>
      <c r="AJ6" s="116"/>
      <c r="AK6" s="107" t="str">
        <f>CONCATENATE("MAX CURRENT: ",ICCMAX,"A")</f>
        <v>MAX CURRENT: A</v>
      </c>
      <c r="AL6" s="107"/>
      <c r="AM6" s="107"/>
      <c r="AN6" s="107"/>
    </row>
    <row r="7" spans="1:44" ht="18" customHeight="1">
      <c r="A7" s="194" t="s">
        <v>9</v>
      </c>
      <c r="B7" s="152"/>
      <c r="C7" s="152"/>
      <c r="D7" s="152"/>
      <c r="E7" s="212">
        <f>E6*1.05</f>
        <v>0</v>
      </c>
      <c r="F7" s="212"/>
      <c r="G7" s="45" t="s">
        <v>7</v>
      </c>
      <c r="H7" s="191" t="s">
        <v>10</v>
      </c>
      <c r="I7" s="179"/>
      <c r="J7" s="179"/>
      <c r="K7" s="179"/>
      <c r="L7" s="187"/>
      <c r="M7" s="211"/>
      <c r="N7" s="210"/>
      <c r="O7" s="210"/>
      <c r="P7" s="210"/>
      <c r="Q7" s="210"/>
      <c r="R7" s="210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F7" s="117"/>
      <c r="AG7" s="118"/>
      <c r="AH7" s="118"/>
      <c r="AI7" s="118"/>
      <c r="AJ7" s="118"/>
      <c r="AK7" s="107" t="str">
        <f>CONCATENATE("TDC  CURRENT: ",ICCTDC,"A")</f>
        <v>TDC  CURRENT: A</v>
      </c>
      <c r="AL7" s="107"/>
      <c r="AM7" s="107"/>
      <c r="AN7" s="107"/>
    </row>
    <row r="8" spans="1:44" ht="18" customHeight="1">
      <c r="A8" s="194" t="s">
        <v>11</v>
      </c>
      <c r="B8" s="152"/>
      <c r="C8" s="152"/>
      <c r="D8" s="152"/>
      <c r="E8" s="212">
        <f>E6*0.95</f>
        <v>0</v>
      </c>
      <c r="F8" s="212"/>
      <c r="G8" s="45" t="s">
        <v>7</v>
      </c>
      <c r="H8" s="191" t="s">
        <v>12</v>
      </c>
      <c r="I8" s="179"/>
      <c r="J8" s="179"/>
      <c r="K8" s="179"/>
      <c r="L8" s="187"/>
      <c r="M8" s="211"/>
      <c r="N8" s="210"/>
      <c r="O8" s="210"/>
      <c r="P8" s="210"/>
      <c r="Q8" s="210"/>
      <c r="R8" s="210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F8" s="104" t="s">
        <v>3</v>
      </c>
      <c r="AG8" s="105"/>
      <c r="AH8" s="105"/>
      <c r="AI8" s="105"/>
      <c r="AJ8" s="105"/>
      <c r="AK8" s="107" t="str">
        <f>IF(COUNTA(C38:C72),IF(AND(MIN(C38:C72)&gt;E8,MAX(C38:C72)&lt;E7),"WITH SPEC","OUT OF SPEC"),"")</f>
        <v/>
      </c>
      <c r="AL8" s="107"/>
      <c r="AM8" s="107"/>
      <c r="AN8" s="107"/>
      <c r="AO8" s="107" t="s">
        <v>131</v>
      </c>
      <c r="AP8" s="107"/>
      <c r="AQ8" s="107"/>
      <c r="AR8" s="107"/>
    </row>
    <row r="9" spans="1:44" ht="18" customHeight="1" thickBot="1">
      <c r="A9" s="175" t="s">
        <v>92</v>
      </c>
      <c r="B9" s="176"/>
      <c r="C9" s="176"/>
      <c r="D9" s="176"/>
      <c r="E9" s="177">
        <v>0</v>
      </c>
      <c r="F9" s="178"/>
      <c r="G9" s="46" t="s">
        <v>7</v>
      </c>
      <c r="H9" s="196" t="s">
        <v>93</v>
      </c>
      <c r="I9" s="197"/>
      <c r="J9" s="197"/>
      <c r="K9" s="197"/>
      <c r="L9" s="187"/>
      <c r="M9" s="211"/>
      <c r="N9" s="210"/>
      <c r="O9" s="210"/>
      <c r="P9" s="210"/>
      <c r="Q9" s="210"/>
      <c r="R9" s="210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F9" s="104" t="s">
        <v>114</v>
      </c>
      <c r="AG9" s="105"/>
      <c r="AH9" s="105"/>
      <c r="AI9" s="105"/>
      <c r="AJ9" s="105"/>
      <c r="AK9" s="107" t="str">
        <f>IF(COUNTA(C38:C87),VLOOKUP(ICCTDC,B79:C115,2),"")</f>
        <v/>
      </c>
      <c r="AL9" s="107"/>
      <c r="AM9" s="107"/>
      <c r="AN9" s="107"/>
      <c r="AO9" s="107" t="s">
        <v>132</v>
      </c>
      <c r="AP9" s="107"/>
      <c r="AQ9" s="107"/>
      <c r="AR9" s="107"/>
    </row>
    <row r="10" spans="1:44" ht="18" customHeight="1">
      <c r="A10" s="159" t="s">
        <v>13</v>
      </c>
      <c r="B10" s="160"/>
      <c r="C10" s="160"/>
      <c r="D10" s="160"/>
      <c r="E10" s="161"/>
      <c r="F10" s="161"/>
      <c r="G10" s="162"/>
      <c r="H10" s="191" t="s">
        <v>14</v>
      </c>
      <c r="I10" s="179"/>
      <c r="J10" s="179"/>
      <c r="K10" s="179"/>
      <c r="L10" s="187"/>
      <c r="M10" s="211"/>
      <c r="N10" s="210"/>
      <c r="O10" s="210"/>
      <c r="P10" s="210"/>
      <c r="Q10" s="210"/>
      <c r="R10" s="210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F10" s="104" t="s">
        <v>145</v>
      </c>
      <c r="AG10" s="105"/>
      <c r="AH10" s="105"/>
      <c r="AI10" s="105"/>
      <c r="AJ10" s="105"/>
      <c r="AK10" s="107" t="str">
        <f>IF(COUNTA(D121:E121)=2,CONCATENATE(D121," Deg PM, ",E121," dB GM",),"")</f>
        <v/>
      </c>
      <c r="AL10" s="107"/>
      <c r="AM10" s="107"/>
      <c r="AN10" s="107"/>
      <c r="AO10" s="107" t="str">
        <f>CONCATENATE("&gt;",F121," Deg PM, &gt;",G121,"dB GM")</f>
        <v>&gt;45 Deg PM, &gt;15dB GM</v>
      </c>
      <c r="AP10" s="107"/>
      <c r="AQ10" s="107"/>
      <c r="AR10" s="107"/>
    </row>
    <row r="11" spans="1:44" ht="18" customHeight="1" thickBot="1">
      <c r="A11" s="192" t="s">
        <v>15</v>
      </c>
      <c r="B11" s="193"/>
      <c r="C11" s="193"/>
      <c r="D11" s="193"/>
      <c r="E11" s="157"/>
      <c r="F11" s="157"/>
      <c r="G11" s="158"/>
      <c r="H11" s="191" t="s">
        <v>16</v>
      </c>
      <c r="I11" s="179"/>
      <c r="J11" s="179"/>
      <c r="K11" s="179"/>
      <c r="L11" s="187"/>
      <c r="M11" s="211"/>
      <c r="N11" s="210"/>
      <c r="O11" s="210"/>
      <c r="P11" s="210"/>
      <c r="Q11" s="210"/>
      <c r="R11" s="210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F11" s="104" t="s">
        <v>146</v>
      </c>
      <c r="AG11" s="105"/>
      <c r="AH11" s="105"/>
      <c r="AI11" s="105"/>
      <c r="AJ11" s="105"/>
      <c r="AK11" s="107" t="str">
        <f>IF(COUNTA(D122:E122)=2,CONCATENATE(D122," Deg PM, ",E122," dB GM",),"")</f>
        <v/>
      </c>
      <c r="AL11" s="107"/>
      <c r="AM11" s="107"/>
      <c r="AN11" s="107"/>
      <c r="AO11" s="107" t="str">
        <f>CONCATENATE("&gt;",F122," Deg PM, &gt;",G122,"dB GM")</f>
        <v>&gt;45 Deg PM, &gt;15dB GM</v>
      </c>
      <c r="AP11" s="107"/>
      <c r="AQ11" s="107"/>
      <c r="AR11" s="107"/>
    </row>
    <row r="12" spans="1:44" ht="18" customHeight="1">
      <c r="A12" s="204"/>
      <c r="B12" s="205"/>
      <c r="C12" s="205"/>
      <c r="D12" s="205"/>
      <c r="E12" s="205"/>
      <c r="F12" s="205"/>
      <c r="G12" s="206"/>
      <c r="H12" s="191" t="s">
        <v>17</v>
      </c>
      <c r="I12" s="179"/>
      <c r="J12" s="179"/>
      <c r="K12" s="179"/>
      <c r="L12" s="187"/>
      <c r="M12" s="211"/>
      <c r="N12" s="210"/>
      <c r="O12" s="210"/>
      <c r="P12" s="210"/>
      <c r="Q12" s="210"/>
      <c r="R12" s="210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F12" s="104" t="s">
        <v>115</v>
      </c>
      <c r="AG12" s="105"/>
      <c r="AH12" s="105"/>
      <c r="AI12" s="105"/>
      <c r="AJ12" s="105"/>
      <c r="AK12" s="122" t="e">
        <f>CONCATENATE(F192,"V - ",D192,"V:", LEFT(M192,4), "% ripple")</f>
        <v>#DIV/0!</v>
      </c>
      <c r="AL12" s="107"/>
      <c r="AM12" s="107"/>
      <c r="AN12" s="107"/>
      <c r="AO12" s="107" t="str">
        <f>CONCATENATE(E$8,"V - ",E$7,"V: &lt;5%")</f>
        <v>0V - 0V: &lt;5%</v>
      </c>
      <c r="AP12" s="107"/>
      <c r="AQ12" s="107"/>
      <c r="AR12" s="107"/>
    </row>
    <row r="13" spans="1:44" ht="18" customHeight="1" thickBot="1">
      <c r="A13" s="207"/>
      <c r="B13" s="208"/>
      <c r="C13" s="208"/>
      <c r="D13" s="208"/>
      <c r="E13" s="208"/>
      <c r="F13" s="208"/>
      <c r="G13" s="209"/>
      <c r="H13" s="191" t="s">
        <v>18</v>
      </c>
      <c r="I13" s="179"/>
      <c r="J13" s="179"/>
      <c r="K13" s="179"/>
      <c r="L13" s="187"/>
      <c r="M13" s="211"/>
      <c r="N13" s="210"/>
      <c r="O13" s="210"/>
      <c r="P13" s="210"/>
      <c r="Q13" s="210"/>
      <c r="R13" s="210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F13" s="104" t="s">
        <v>116</v>
      </c>
      <c r="AG13" s="105"/>
      <c r="AH13" s="105"/>
      <c r="AI13" s="105"/>
      <c r="AJ13" s="105"/>
      <c r="AK13" s="122" t="e">
        <f>CONCATENATE(F193,"V - ",D193,"V:", LEFT(M193,4), "% ripple")</f>
        <v>#DIV/0!</v>
      </c>
      <c r="AL13" s="107"/>
      <c r="AM13" s="107"/>
      <c r="AN13" s="107"/>
      <c r="AO13" s="107" t="str">
        <f>CONCATENATE(E$8,"V - ",E$7,"V: &lt;3%")</f>
        <v>0V - 0V: &lt;3%</v>
      </c>
      <c r="AP13" s="107"/>
      <c r="AQ13" s="107"/>
      <c r="AR13" s="107"/>
    </row>
    <row r="14" spans="1:44" ht="18" customHeight="1" thickBot="1">
      <c r="A14" s="171" t="s">
        <v>136</v>
      </c>
      <c r="B14" s="172"/>
      <c r="C14" s="172"/>
      <c r="D14" s="172"/>
      <c r="E14" s="173"/>
      <c r="F14" s="173"/>
      <c r="G14" s="174"/>
      <c r="H14" s="180" t="s">
        <v>19</v>
      </c>
      <c r="I14" s="181"/>
      <c r="J14" s="181"/>
      <c r="K14" s="181"/>
      <c r="L14" s="182"/>
      <c r="M14" s="211"/>
      <c r="N14" s="210"/>
      <c r="O14" s="210"/>
      <c r="P14" s="210"/>
      <c r="Q14" s="210"/>
      <c r="R14" s="210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F14" s="123" t="s">
        <v>117</v>
      </c>
      <c r="AG14" s="124"/>
      <c r="AH14" s="124"/>
      <c r="AI14" s="124"/>
      <c r="AJ14" s="124"/>
      <c r="AK14" s="107"/>
      <c r="AL14" s="107"/>
      <c r="AM14" s="107"/>
      <c r="AN14" s="107"/>
      <c r="AO14" s="107"/>
      <c r="AP14" s="107"/>
      <c r="AQ14" s="107"/>
      <c r="AR14" s="107"/>
    </row>
    <row r="15" spans="1:44" ht="18" customHeight="1" thickBot="1">
      <c r="A15" s="215" t="s">
        <v>20</v>
      </c>
      <c r="B15" s="216"/>
      <c r="C15" s="216"/>
      <c r="D15" s="216"/>
      <c r="E15" s="173"/>
      <c r="F15" s="173"/>
      <c r="G15" s="174"/>
      <c r="H15" s="179"/>
      <c r="I15" s="179"/>
      <c r="J15" s="179"/>
      <c r="K15" s="179"/>
      <c r="L15" s="179"/>
      <c r="M15" s="210"/>
      <c r="N15" s="210"/>
      <c r="O15" s="210"/>
      <c r="P15" s="210"/>
      <c r="Q15" s="210"/>
      <c r="R15" s="210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F15" s="104" t="s">
        <v>118</v>
      </c>
      <c r="AG15" s="105"/>
      <c r="AH15" s="105"/>
      <c r="AI15" s="105"/>
      <c r="AJ15" s="105"/>
      <c r="AK15" s="107" t="str">
        <f>CONCATENATE(F244,"V - ",D244,"V")</f>
        <v>V - V</v>
      </c>
      <c r="AL15" s="107"/>
      <c r="AM15" s="107"/>
      <c r="AN15" s="107"/>
      <c r="AO15" s="107" t="str">
        <f>CONCATENATE(E$8,"V - ",E$7,"V")</f>
        <v>0V - 0V</v>
      </c>
      <c r="AP15" s="107"/>
      <c r="AQ15" s="107"/>
      <c r="AR15" s="107"/>
    </row>
    <row r="16" spans="1:44" ht="18" customHeight="1">
      <c r="A16" s="188" t="s">
        <v>21</v>
      </c>
      <c r="B16" s="189"/>
      <c r="C16" s="189"/>
      <c r="D16" s="189"/>
      <c r="E16" s="169"/>
      <c r="F16" s="169"/>
      <c r="G16" s="170"/>
      <c r="H16" s="179"/>
      <c r="I16" s="179"/>
      <c r="J16" s="179"/>
      <c r="K16" s="179"/>
      <c r="L16" s="179"/>
      <c r="M16" s="210"/>
      <c r="N16" s="210"/>
      <c r="O16" s="210"/>
      <c r="P16" s="210"/>
      <c r="Q16" s="210"/>
      <c r="R16" s="210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F16" s="104" t="s">
        <v>119</v>
      </c>
      <c r="AG16" s="105"/>
      <c r="AH16" s="105"/>
      <c r="AI16" s="105"/>
      <c r="AJ16" s="105"/>
      <c r="AK16" s="107" t="str">
        <f>CONCATENATE(F245,"V - ",D245,"V")</f>
        <v>V - V</v>
      </c>
      <c r="AL16" s="107"/>
      <c r="AM16" s="107"/>
      <c r="AN16" s="107"/>
      <c r="AO16" s="107" t="str">
        <f>CONCATENATE(E$8,"V - ",E$7,"V")</f>
        <v>0V - 0V</v>
      </c>
      <c r="AP16" s="107"/>
      <c r="AQ16" s="107"/>
      <c r="AR16" s="107"/>
    </row>
    <row r="17" spans="1:44" ht="18" customHeight="1">
      <c r="A17" s="217" t="s">
        <v>22</v>
      </c>
      <c r="B17" s="218"/>
      <c r="C17" s="218"/>
      <c r="D17" s="218"/>
      <c r="E17" s="150"/>
      <c r="F17" s="150"/>
      <c r="G17" s="151"/>
      <c r="M17" s="210"/>
      <c r="N17" s="210"/>
      <c r="O17" s="210"/>
      <c r="P17" s="210"/>
      <c r="Q17" s="210"/>
      <c r="R17" s="210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F17" s="104" t="s">
        <v>120</v>
      </c>
      <c r="AG17" s="105"/>
      <c r="AH17" s="105"/>
      <c r="AI17" s="105"/>
      <c r="AJ17" s="105"/>
      <c r="AK17" s="107" t="str">
        <f>CONCATENATE(F246,"V - ",D246,"V")</f>
        <v>V - V</v>
      </c>
      <c r="AL17" s="107"/>
      <c r="AM17" s="107"/>
      <c r="AN17" s="107"/>
      <c r="AO17" s="107" t="str">
        <f>CONCATENATE(E$8,"V - ",E$7,"V")</f>
        <v>0V - 0V</v>
      </c>
      <c r="AP17" s="107"/>
      <c r="AQ17" s="107"/>
      <c r="AR17" s="107"/>
    </row>
    <row r="18" spans="1:44" ht="18" customHeight="1">
      <c r="A18" s="194" t="s">
        <v>23</v>
      </c>
      <c r="B18" s="152"/>
      <c r="C18" s="152"/>
      <c r="D18" s="152"/>
      <c r="E18" s="150"/>
      <c r="F18" s="150"/>
      <c r="G18" s="151"/>
      <c r="H18" s="1"/>
      <c r="I18" s="1"/>
      <c r="J18" s="1"/>
      <c r="K18" s="1"/>
      <c r="L18" s="1"/>
      <c r="M18" s="210"/>
      <c r="N18" s="210"/>
      <c r="O18" s="210"/>
      <c r="P18" s="210"/>
      <c r="Q18" s="210"/>
      <c r="R18" s="210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F18" s="123" t="s">
        <v>121</v>
      </c>
      <c r="AG18" s="124"/>
      <c r="AH18" s="124"/>
      <c r="AI18" s="124"/>
      <c r="AJ18" s="124"/>
      <c r="AK18" s="107"/>
      <c r="AL18" s="107"/>
      <c r="AM18" s="107"/>
      <c r="AN18" s="107"/>
      <c r="AO18" s="107"/>
      <c r="AP18" s="107"/>
      <c r="AQ18" s="107"/>
      <c r="AR18" s="107"/>
    </row>
    <row r="19" spans="1:44" ht="18" customHeight="1" thickBot="1">
      <c r="A19" s="155" t="s">
        <v>24</v>
      </c>
      <c r="B19" s="156"/>
      <c r="C19" s="156"/>
      <c r="D19" s="156"/>
      <c r="E19" s="157"/>
      <c r="F19" s="157"/>
      <c r="G19" s="158"/>
      <c r="H19" s="1"/>
      <c r="I19" s="1"/>
      <c r="J19" s="1"/>
      <c r="K19" s="1"/>
      <c r="L19" s="1"/>
      <c r="M19" s="210"/>
      <c r="N19" s="210"/>
      <c r="O19" s="210"/>
      <c r="P19" s="210"/>
      <c r="Q19" s="210"/>
      <c r="R19" s="210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F19" s="104" t="s">
        <v>118</v>
      </c>
      <c r="AG19" s="105"/>
      <c r="AH19" s="105"/>
      <c r="AI19" s="105"/>
      <c r="AJ19" s="105"/>
      <c r="AK19" s="107" t="str">
        <f>CONCATENATE(F248,"V - ",D248,"V")</f>
        <v>V - V</v>
      </c>
      <c r="AL19" s="107"/>
      <c r="AM19" s="107"/>
      <c r="AN19" s="107"/>
      <c r="AO19" s="107" t="str">
        <f>CONCATENATE(E$8,"V - ",E$7,"V")</f>
        <v>0V - 0V</v>
      </c>
      <c r="AP19" s="107"/>
      <c r="AQ19" s="107"/>
      <c r="AR19" s="107"/>
    </row>
    <row r="20" spans="1:44" ht="18" customHeight="1">
      <c r="A20" s="213" t="s">
        <v>25</v>
      </c>
      <c r="B20" s="214"/>
      <c r="C20" s="214"/>
      <c r="D20" s="214"/>
      <c r="E20" s="169"/>
      <c r="F20" s="169"/>
      <c r="G20" s="170"/>
      <c r="H20" s="1"/>
      <c r="I20" s="1"/>
      <c r="J20" s="1"/>
      <c r="K20" s="1"/>
      <c r="L20" s="1"/>
      <c r="M20" s="210"/>
      <c r="N20" s="210"/>
      <c r="O20" s="210"/>
      <c r="P20" s="210"/>
      <c r="Q20" s="210"/>
      <c r="R20" s="210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F20" s="104" t="s">
        <v>119</v>
      </c>
      <c r="AG20" s="105"/>
      <c r="AH20" s="105"/>
      <c r="AI20" s="105"/>
      <c r="AJ20" s="105"/>
      <c r="AK20" s="107" t="str">
        <f>CONCATENATE(F249,"V - ",D249,"V")</f>
        <v>V - V</v>
      </c>
      <c r="AL20" s="107"/>
      <c r="AM20" s="107"/>
      <c r="AN20" s="107"/>
      <c r="AO20" s="107" t="str">
        <f>CONCATENATE(E$8,"V - ",E$7,"V")</f>
        <v>0V - 0V</v>
      </c>
      <c r="AP20" s="107"/>
      <c r="AQ20" s="107"/>
      <c r="AR20" s="107"/>
    </row>
    <row r="21" spans="1:44" ht="18" customHeight="1" thickBot="1">
      <c r="A21" s="155" t="s">
        <v>26</v>
      </c>
      <c r="B21" s="156"/>
      <c r="C21" s="156"/>
      <c r="D21" s="156"/>
      <c r="E21" s="157"/>
      <c r="F21" s="157"/>
      <c r="G21" s="158"/>
      <c r="H21" s="1"/>
      <c r="I21" s="1"/>
      <c r="J21" s="1"/>
      <c r="K21" s="1"/>
      <c r="L21" s="1"/>
      <c r="M21" s="210"/>
      <c r="N21" s="210"/>
      <c r="O21" s="210"/>
      <c r="P21" s="210"/>
      <c r="Q21" s="210"/>
      <c r="R21" s="210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F21" s="104" t="s">
        <v>120</v>
      </c>
      <c r="AG21" s="105"/>
      <c r="AH21" s="105"/>
      <c r="AI21" s="105"/>
      <c r="AJ21" s="105"/>
      <c r="AK21" s="107" t="str">
        <f>CONCATENATE(F250,"V - ",D250,"V")</f>
        <v>V - V</v>
      </c>
      <c r="AL21" s="107"/>
      <c r="AM21" s="107"/>
      <c r="AN21" s="107"/>
      <c r="AO21" s="107" t="str">
        <f>CONCATENATE(E$8,"V - ",E$7,"V")</f>
        <v>0V - 0V</v>
      </c>
      <c r="AP21" s="107"/>
      <c r="AQ21" s="107"/>
      <c r="AR21" s="107"/>
    </row>
    <row r="22" spans="1:44" ht="18" customHeight="1">
      <c r="A22" s="159" t="s">
        <v>27</v>
      </c>
      <c r="B22" s="160"/>
      <c r="C22" s="160"/>
      <c r="D22" s="160"/>
      <c r="E22" s="161"/>
      <c r="F22" s="161"/>
      <c r="G22" s="162"/>
      <c r="H22" s="1"/>
      <c r="I22" s="1"/>
      <c r="J22" s="1"/>
      <c r="K22" s="1"/>
      <c r="L22" s="1"/>
      <c r="M22" s="210"/>
      <c r="N22" s="210"/>
      <c r="O22" s="210"/>
      <c r="P22" s="210"/>
      <c r="Q22" s="210"/>
      <c r="R22" s="210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F22" s="104" t="s">
        <v>17</v>
      </c>
      <c r="AG22" s="105"/>
      <c r="AH22" s="105"/>
      <c r="AI22" s="105"/>
      <c r="AJ22" s="105"/>
      <c r="AK22" s="107"/>
      <c r="AL22" s="107"/>
      <c r="AM22" s="107"/>
      <c r="AN22" s="107"/>
      <c r="AO22" s="107" t="s">
        <v>133</v>
      </c>
      <c r="AP22" s="107"/>
      <c r="AQ22" s="107"/>
      <c r="AR22" s="107"/>
    </row>
    <row r="23" spans="1:44" ht="18" customHeight="1" thickBot="1">
      <c r="A23" s="163" t="s">
        <v>28</v>
      </c>
      <c r="B23" s="164"/>
      <c r="C23" s="164"/>
      <c r="D23" s="164"/>
      <c r="E23" s="165"/>
      <c r="F23" s="165"/>
      <c r="G23" s="166"/>
      <c r="H23" s="1"/>
      <c r="I23" s="1"/>
      <c r="J23" s="1"/>
      <c r="K23" s="1"/>
      <c r="L23" s="1"/>
      <c r="M23" s="210"/>
      <c r="N23" s="210"/>
      <c r="O23" s="210"/>
      <c r="P23" s="210"/>
      <c r="Q23" s="210"/>
      <c r="R23" s="210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F23" s="104" t="s">
        <v>18</v>
      </c>
      <c r="AG23" s="105"/>
      <c r="AH23" s="105"/>
      <c r="AI23" s="105"/>
      <c r="AJ23" s="105"/>
      <c r="AK23" s="107"/>
      <c r="AL23" s="107"/>
      <c r="AM23" s="107"/>
      <c r="AN23" s="107"/>
      <c r="AO23" s="107" t="s">
        <v>134</v>
      </c>
      <c r="AP23" s="107"/>
      <c r="AQ23" s="107"/>
      <c r="AR23" s="107"/>
    </row>
    <row r="24" spans="1:44" ht="18" customHeight="1">
      <c r="H24" s="1"/>
      <c r="I24" s="1"/>
      <c r="J24" s="1"/>
      <c r="K24" s="1"/>
      <c r="L24" s="1"/>
      <c r="M24" s="210"/>
      <c r="N24" s="210"/>
      <c r="O24" s="210"/>
      <c r="P24" s="210"/>
      <c r="Q24" s="210"/>
      <c r="R24" s="210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F24" s="104" t="s">
        <v>122</v>
      </c>
      <c r="AG24" s="105"/>
      <c r="AH24" s="105"/>
      <c r="AI24" s="105"/>
      <c r="AJ24" s="105"/>
      <c r="AK24" s="107" t="str">
        <f>CONCATENATE(E341,"V - ",D341,"V")</f>
        <v>V - V</v>
      </c>
      <c r="AL24" s="107"/>
      <c r="AM24" s="107"/>
      <c r="AN24" s="107"/>
      <c r="AO24" s="107" t="str">
        <f>CONCATENATE(E$9*0.95,"V - ",E$9*1.05,"V")</f>
        <v>0V - 0V</v>
      </c>
      <c r="AP24" s="107"/>
      <c r="AQ24" s="107"/>
      <c r="AR24" s="107"/>
    </row>
    <row r="25" spans="1:44" ht="18" customHeight="1">
      <c r="H25" s="1"/>
      <c r="I25" s="1"/>
      <c r="J25" s="1"/>
      <c r="K25" s="1"/>
      <c r="L25" s="1"/>
      <c r="M25" s="210"/>
      <c r="N25" s="210"/>
      <c r="O25" s="210"/>
      <c r="P25" s="210"/>
      <c r="Q25" s="210"/>
      <c r="R25" s="210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F25" s="104" t="s">
        <v>123</v>
      </c>
      <c r="AG25" s="105"/>
      <c r="AH25" s="105"/>
      <c r="AI25" s="105"/>
      <c r="AJ25" s="105"/>
      <c r="AK25" s="107" t="str">
        <f>CONCATENATE(E342,"V - ",D342,"V")</f>
        <v>V - V</v>
      </c>
      <c r="AL25" s="107"/>
      <c r="AM25" s="107"/>
      <c r="AN25" s="107"/>
      <c r="AO25" s="107" t="str">
        <f>CONCATENATE(E$9*0.95,"V - ",E$9*1.05,"V")</f>
        <v>0V - 0V</v>
      </c>
      <c r="AP25" s="107"/>
      <c r="AQ25" s="107"/>
      <c r="AR25" s="107"/>
    </row>
    <row r="26" spans="1:44" ht="18" customHeight="1">
      <c r="H26" s="2"/>
      <c r="I26" s="2"/>
      <c r="J26" s="2"/>
      <c r="K26" s="2"/>
      <c r="L26" s="1"/>
      <c r="M26" s="3"/>
      <c r="N26" s="3"/>
      <c r="O26" s="3"/>
      <c r="P26" s="3"/>
      <c r="Q26" s="3"/>
      <c r="R26" s="3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F26" s="104" t="s">
        <v>173</v>
      </c>
      <c r="AG26" s="105"/>
      <c r="AH26" s="105"/>
      <c r="AI26" s="105"/>
      <c r="AJ26" s="105"/>
      <c r="AK26" s="107" t="e">
        <f>CONCATENATE(LEFT(L342,4),"% ")</f>
        <v>#DIV/0!</v>
      </c>
      <c r="AL26" s="107"/>
      <c r="AM26" s="107"/>
      <c r="AN26" s="107"/>
      <c r="AO26" s="107" t="s">
        <v>175</v>
      </c>
      <c r="AP26" s="107"/>
      <c r="AQ26" s="107"/>
      <c r="AR26" s="107"/>
    </row>
    <row r="27" spans="1:44" ht="18" customHeight="1">
      <c r="H27" s="2"/>
      <c r="I27" s="2"/>
      <c r="J27" s="2"/>
      <c r="K27" s="2"/>
      <c r="L27" s="1"/>
      <c r="M27" s="3"/>
      <c r="N27" s="3"/>
      <c r="O27" s="3"/>
      <c r="P27" s="3"/>
      <c r="Q27" s="3"/>
      <c r="R27" s="3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F27" s="104" t="s">
        <v>124</v>
      </c>
      <c r="AG27" s="105"/>
      <c r="AH27" s="105"/>
      <c r="AI27" s="105"/>
      <c r="AJ27" s="106"/>
      <c r="AK27" s="119" t="str">
        <f>CONCATENATE(E344,"V - ",D344,"V")</f>
        <v>V - V</v>
      </c>
      <c r="AL27" s="120"/>
      <c r="AM27" s="120"/>
      <c r="AN27" s="121"/>
      <c r="AO27" s="119" t="str">
        <f>CONCATENATE(E$9*0.95,"V - ",E$9*1.05,"V")</f>
        <v>0V - 0V</v>
      </c>
      <c r="AP27" s="120"/>
      <c r="AQ27" s="120"/>
      <c r="AR27" s="121"/>
    </row>
    <row r="28" spans="1:44" ht="18" customHeight="1"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F28" s="104" t="s">
        <v>16</v>
      </c>
      <c r="AG28" s="105"/>
      <c r="AH28" s="105"/>
      <c r="AI28" s="105"/>
      <c r="AJ28" s="106"/>
      <c r="AK28" s="119" t="str">
        <f>CONCATENATE("@ ",OCP_MEAS,"A")</f>
        <v>@ A</v>
      </c>
      <c r="AL28" s="120"/>
      <c r="AM28" s="120"/>
      <c r="AN28" s="121"/>
      <c r="AO28" s="119" t="str">
        <f>CONCATENATE("&gt;",E16*1.2,"A")</f>
        <v>&gt;0A</v>
      </c>
      <c r="AP28" s="120"/>
      <c r="AQ28" s="120"/>
      <c r="AR28" s="121"/>
    </row>
    <row r="29" spans="1:44" ht="18" customHeight="1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F29" s="104" t="s">
        <v>125</v>
      </c>
      <c r="AG29" s="105"/>
      <c r="AH29" s="105"/>
      <c r="AI29" s="105"/>
      <c r="AJ29" s="106"/>
      <c r="AK29" s="119" t="str">
        <f>CONCATENATE(G396,"% - ",H396,"%")</f>
        <v>% - %</v>
      </c>
      <c r="AL29" s="120"/>
      <c r="AM29" s="120"/>
      <c r="AN29" s="121"/>
      <c r="AO29" s="119" t="e">
        <f>CONCATENATE(TEXT((DUT_VOUT/DUT_VIN)*0.975,"0.0%")," -",TEXT((DUT_VOUT/DUT_VIN)*1.025,"0.0%"))</f>
        <v>#DIV/0!</v>
      </c>
      <c r="AP29" s="120"/>
      <c r="AQ29" s="120"/>
      <c r="AR29" s="121"/>
    </row>
    <row r="30" spans="1:44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F30" s="104" t="s">
        <v>126</v>
      </c>
      <c r="AG30" s="105"/>
      <c r="AH30" s="105"/>
      <c r="AI30" s="105"/>
      <c r="AJ30" s="106"/>
      <c r="AK30" s="119" t="str">
        <f>CONCATENATE(G397,"% - ",H397,"%")</f>
        <v>% - %</v>
      </c>
      <c r="AL30" s="120"/>
      <c r="AM30" s="120"/>
      <c r="AN30" s="121"/>
      <c r="AO30" s="119" t="e">
        <f>CONCATENATE(TEXT((DUT_VOUT/DUT_VIN)*0.99,"0.0%")," -",TEXT((DUT_VOUT/DUT_VIN)*1.08,"0.0%"))</f>
        <v>#DIV/0!</v>
      </c>
      <c r="AP30" s="120"/>
      <c r="AQ30" s="120"/>
      <c r="AR30" s="121"/>
    </row>
    <row r="31" spans="1:44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F31" s="104" t="s">
        <v>135</v>
      </c>
      <c r="AG31" s="105"/>
      <c r="AH31" s="105"/>
      <c r="AI31" s="105"/>
      <c r="AJ31" s="106"/>
      <c r="AK31" s="119" t="str">
        <f>IF(COUNTA(E396:E398)=3,CONCATENATE(TEXT(AVERAGE(E397:E398)/1000,"0")," kHz",),"")</f>
        <v/>
      </c>
      <c r="AL31" s="120"/>
      <c r="AM31" s="120"/>
      <c r="AN31" s="121"/>
      <c r="AO31" s="119" t="str">
        <f>CONCATENATE(SWITCH_FREQ*0.95," kHz - ",SWITCH_FREQ*1.05," kHz")</f>
        <v>0 kHz - 0 kHz</v>
      </c>
      <c r="AP31" s="120"/>
      <c r="AQ31" s="120"/>
      <c r="AR31" s="121"/>
    </row>
    <row r="32" spans="1:44" ht="20.25" customHeight="1" thickBot="1">
      <c r="A32" s="133" t="s">
        <v>29</v>
      </c>
      <c r="B32" s="133"/>
      <c r="C32" s="133"/>
      <c r="D32" s="133"/>
      <c r="E32" s="133"/>
      <c r="F32" s="4"/>
      <c r="G32" s="5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1"/>
      <c r="Z32" s="1"/>
      <c r="AA32" s="1"/>
      <c r="AB32" s="1"/>
      <c r="AC32" s="1"/>
      <c r="AF32" s="233" t="s">
        <v>137</v>
      </c>
      <c r="AG32" s="234"/>
      <c r="AH32" s="234"/>
      <c r="AI32" s="234"/>
      <c r="AJ32" s="235"/>
      <c r="AK32" s="119" t="str">
        <f>CONCATENATE("MAX: ",MAX(E679:E681),"V","  MIN: ",MIN(D679:D681),"V")</f>
        <v>MAX: 0V  MIN: 0V</v>
      </c>
      <c r="AL32" s="120"/>
      <c r="AM32" s="120"/>
      <c r="AN32" s="121"/>
      <c r="AO32" s="119" t="str">
        <f>CONCATENATE("Max V &lt;",0.8*E14)</f>
        <v>Max V &lt;0</v>
      </c>
      <c r="AP32" s="120"/>
      <c r="AQ32" s="120"/>
      <c r="AR32" s="121"/>
    </row>
    <row r="33" spans="1:44" ht="15.75" customHeight="1">
      <c r="A33" s="152" t="s">
        <v>30</v>
      </c>
      <c r="B33" s="152"/>
      <c r="C33" s="152"/>
      <c r="D33" s="152"/>
      <c r="E33" s="6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3"/>
    </row>
    <row r="34" spans="1:44" ht="15.75" customHeight="1">
      <c r="A34" s="152" t="s">
        <v>31</v>
      </c>
      <c r="B34" s="152"/>
      <c r="C34" s="152"/>
      <c r="D34" s="152"/>
      <c r="E34" s="6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F34" s="219" t="s">
        <v>127</v>
      </c>
      <c r="AG34" s="220"/>
      <c r="AH34" s="220"/>
      <c r="AI34" s="220"/>
      <c r="AJ34" s="221"/>
      <c r="AK34" s="119"/>
      <c r="AL34" s="120"/>
      <c r="AM34" s="120"/>
      <c r="AN34" s="121"/>
      <c r="AO34" s="119" t="s">
        <v>174</v>
      </c>
      <c r="AP34" s="120"/>
      <c r="AQ34" s="120"/>
      <c r="AR34" s="121"/>
    </row>
    <row r="35" spans="1:44" ht="15.75" customHeight="1" thickBot="1">
      <c r="A35" s="1"/>
      <c r="B35" s="1"/>
      <c r="C35" s="1"/>
      <c r="D35" s="1"/>
      <c r="E35" s="1"/>
      <c r="F35" s="1"/>
      <c r="G35" s="1"/>
      <c r="H35" s="1"/>
      <c r="I35" s="7"/>
      <c r="J35" s="8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O35" s="51"/>
      <c r="AP35" s="51"/>
      <c r="AQ35" s="51"/>
      <c r="AR35" s="51"/>
    </row>
    <row r="36" spans="1:44" ht="20.25" customHeight="1">
      <c r="A36" s="1"/>
      <c r="B36" s="153" t="s">
        <v>32</v>
      </c>
      <c r="C36" s="9">
        <f>E2</f>
        <v>0</v>
      </c>
      <c r="D36" s="10" t="s">
        <v>33</v>
      </c>
      <c r="E36" s="11" t="s">
        <v>34</v>
      </c>
      <c r="F36" s="154" t="s">
        <v>35</v>
      </c>
      <c r="G36" s="154" t="s">
        <v>36</v>
      </c>
      <c r="H36" s="147" t="s">
        <v>37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F36" s="224" t="s">
        <v>147</v>
      </c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6"/>
    </row>
    <row r="37" spans="1:44" ht="22.5" customHeight="1">
      <c r="A37" s="1"/>
      <c r="B37" s="153"/>
      <c r="C37" s="12" t="s">
        <v>38</v>
      </c>
      <c r="D37" s="13" t="s">
        <v>7</v>
      </c>
      <c r="E37" s="14" t="s">
        <v>39</v>
      </c>
      <c r="F37" s="154"/>
      <c r="G37" s="154"/>
      <c r="H37" s="14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F37" s="227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9"/>
    </row>
    <row r="38" spans="1:44" ht="15.75" customHeight="1">
      <c r="A38" s="1"/>
      <c r="B38" s="15">
        <v>0</v>
      </c>
      <c r="C38" s="16"/>
      <c r="D38" s="15"/>
      <c r="E38" s="16"/>
      <c r="F38" s="17">
        <f>E38*D38</f>
        <v>0</v>
      </c>
      <c r="G38" s="17">
        <f t="shared" ref="G38:G72" si="0">C38*B38</f>
        <v>0</v>
      </c>
      <c r="H38" s="17">
        <f>F38-G38</f>
        <v>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F38" s="227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9"/>
    </row>
    <row r="39" spans="1:44" ht="15.75" customHeight="1">
      <c r="A39" s="1"/>
      <c r="B39" s="15"/>
      <c r="C39" s="16"/>
      <c r="D39" s="15"/>
      <c r="E39" s="16"/>
      <c r="F39" s="17">
        <f t="shared" ref="F39:F72" si="1">(E39-E$38)*D39</f>
        <v>0</v>
      </c>
      <c r="G39" s="17">
        <f t="shared" si="0"/>
        <v>0</v>
      </c>
      <c r="H39" s="17">
        <f t="shared" ref="H39:H72" si="2">F39-G39</f>
        <v>0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F39" s="227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9"/>
    </row>
    <row r="40" spans="1:44" ht="15.75" customHeight="1">
      <c r="A40" s="1"/>
      <c r="B40" s="15"/>
      <c r="C40" s="16"/>
      <c r="D40" s="15"/>
      <c r="E40" s="16"/>
      <c r="F40" s="17">
        <f t="shared" si="1"/>
        <v>0</v>
      </c>
      <c r="G40" s="17">
        <f t="shared" si="0"/>
        <v>0</v>
      </c>
      <c r="H40" s="17">
        <f t="shared" si="2"/>
        <v>0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F40" s="227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9"/>
    </row>
    <row r="41" spans="1:44" ht="15.75" customHeight="1">
      <c r="A41" s="1"/>
      <c r="B41" s="15"/>
      <c r="C41" s="16"/>
      <c r="D41" s="15"/>
      <c r="E41" s="16"/>
      <c r="F41" s="17">
        <f t="shared" si="1"/>
        <v>0</v>
      </c>
      <c r="G41" s="17">
        <f t="shared" si="0"/>
        <v>0</v>
      </c>
      <c r="H41" s="17">
        <f t="shared" si="2"/>
        <v>0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F41" s="227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9"/>
    </row>
    <row r="42" spans="1:44" ht="15.75" customHeight="1">
      <c r="A42" s="1"/>
      <c r="B42" s="15"/>
      <c r="C42" s="16"/>
      <c r="D42" s="15"/>
      <c r="E42" s="16"/>
      <c r="F42" s="17">
        <f t="shared" si="1"/>
        <v>0</v>
      </c>
      <c r="G42" s="17">
        <f t="shared" si="0"/>
        <v>0</v>
      </c>
      <c r="H42" s="17">
        <f t="shared" si="2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F42" s="227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9"/>
    </row>
    <row r="43" spans="1:44" ht="15.75" customHeight="1">
      <c r="A43" s="1"/>
      <c r="B43" s="15"/>
      <c r="C43" s="16"/>
      <c r="D43" s="15"/>
      <c r="E43" s="16"/>
      <c r="F43" s="17">
        <f t="shared" si="1"/>
        <v>0</v>
      </c>
      <c r="G43" s="17">
        <f t="shared" si="0"/>
        <v>0</v>
      </c>
      <c r="H43" s="17">
        <f t="shared" si="2"/>
        <v>0</v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F43" s="227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9"/>
    </row>
    <row r="44" spans="1:44" ht="15.75" customHeight="1" thickBot="1">
      <c r="A44" s="1"/>
      <c r="B44" s="15"/>
      <c r="C44" s="16"/>
      <c r="D44" s="15"/>
      <c r="E44" s="16"/>
      <c r="F44" s="17">
        <f t="shared" si="1"/>
        <v>0</v>
      </c>
      <c r="G44" s="17">
        <f t="shared" si="0"/>
        <v>0</v>
      </c>
      <c r="H44" s="17">
        <f t="shared" si="2"/>
        <v>0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F44" s="230"/>
      <c r="AG44" s="231"/>
      <c r="AH44" s="231"/>
      <c r="AI44" s="231"/>
      <c r="AJ44" s="231"/>
      <c r="AK44" s="231"/>
      <c r="AL44" s="231"/>
      <c r="AM44" s="231"/>
      <c r="AN44" s="231"/>
      <c r="AO44" s="231"/>
      <c r="AP44" s="231"/>
      <c r="AQ44" s="231"/>
      <c r="AR44" s="232"/>
    </row>
    <row r="45" spans="1:44" ht="15.75" customHeight="1">
      <c r="A45" s="1"/>
      <c r="B45" s="15"/>
      <c r="C45" s="16"/>
      <c r="D45" s="15"/>
      <c r="E45" s="16"/>
      <c r="F45" s="17">
        <f t="shared" si="1"/>
        <v>0</v>
      </c>
      <c r="G45" s="17">
        <f t="shared" si="0"/>
        <v>0</v>
      </c>
      <c r="H45" s="17">
        <f t="shared" si="2"/>
        <v>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44" ht="15.75" customHeight="1">
      <c r="A46" s="1"/>
      <c r="B46" s="15"/>
      <c r="C46" s="16"/>
      <c r="D46" s="15"/>
      <c r="E46" s="16"/>
      <c r="F46" s="17">
        <f t="shared" si="1"/>
        <v>0</v>
      </c>
      <c r="G46" s="17">
        <f t="shared" si="0"/>
        <v>0</v>
      </c>
      <c r="H46" s="17">
        <f t="shared" si="2"/>
        <v>0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44" ht="15.75" customHeight="1">
      <c r="A47" s="1"/>
      <c r="B47" s="15"/>
      <c r="C47" s="16"/>
      <c r="D47" s="15"/>
      <c r="E47" s="16"/>
      <c r="F47" s="17">
        <f t="shared" si="1"/>
        <v>0</v>
      </c>
      <c r="G47" s="17">
        <f t="shared" si="0"/>
        <v>0</v>
      </c>
      <c r="H47" s="17">
        <f t="shared" si="2"/>
        <v>0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44" ht="15.75" customHeight="1">
      <c r="A48" s="1"/>
      <c r="B48" s="15"/>
      <c r="C48" s="16"/>
      <c r="D48" s="15"/>
      <c r="E48" s="16"/>
      <c r="F48" s="17">
        <f t="shared" si="1"/>
        <v>0</v>
      </c>
      <c r="G48" s="17">
        <f t="shared" si="0"/>
        <v>0</v>
      </c>
      <c r="H48" s="17">
        <f t="shared" si="2"/>
        <v>0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15.75" customHeight="1">
      <c r="A49" s="1"/>
      <c r="B49" s="15"/>
      <c r="C49" s="16"/>
      <c r="D49" s="15"/>
      <c r="E49" s="16"/>
      <c r="F49" s="17">
        <f t="shared" si="1"/>
        <v>0</v>
      </c>
      <c r="G49" s="17">
        <f t="shared" si="0"/>
        <v>0</v>
      </c>
      <c r="H49" s="17">
        <f t="shared" si="2"/>
        <v>0</v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15.75" customHeight="1">
      <c r="A50" s="1"/>
      <c r="B50" s="15"/>
      <c r="C50" s="16"/>
      <c r="D50" s="15"/>
      <c r="E50" s="16"/>
      <c r="F50" s="17">
        <f t="shared" si="1"/>
        <v>0</v>
      </c>
      <c r="G50" s="17">
        <f t="shared" si="0"/>
        <v>0</v>
      </c>
      <c r="H50" s="17">
        <f t="shared" si="2"/>
        <v>0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5.75" customHeight="1">
      <c r="A51" s="1"/>
      <c r="B51" s="15"/>
      <c r="C51" s="16"/>
      <c r="D51" s="15"/>
      <c r="E51" s="16"/>
      <c r="F51" s="17">
        <f t="shared" si="1"/>
        <v>0</v>
      </c>
      <c r="G51" s="17">
        <f t="shared" si="0"/>
        <v>0</v>
      </c>
      <c r="H51" s="17">
        <f t="shared" si="2"/>
        <v>0</v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5.75" customHeight="1">
      <c r="A52" s="1"/>
      <c r="B52" s="15"/>
      <c r="C52" s="16"/>
      <c r="D52" s="15"/>
      <c r="E52" s="16"/>
      <c r="F52" s="17">
        <f t="shared" si="1"/>
        <v>0</v>
      </c>
      <c r="G52" s="17">
        <f t="shared" si="0"/>
        <v>0</v>
      </c>
      <c r="H52" s="17">
        <f t="shared" si="2"/>
        <v>0</v>
      </c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5.75" customHeight="1">
      <c r="A53" s="1"/>
      <c r="B53" s="15"/>
      <c r="C53" s="16"/>
      <c r="D53" s="15"/>
      <c r="E53" s="16"/>
      <c r="F53" s="17">
        <f t="shared" si="1"/>
        <v>0</v>
      </c>
      <c r="G53" s="17">
        <f t="shared" si="0"/>
        <v>0</v>
      </c>
      <c r="H53" s="17">
        <f t="shared" si="2"/>
        <v>0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5.75" customHeight="1">
      <c r="A54" s="1"/>
      <c r="B54" s="15"/>
      <c r="C54" s="16"/>
      <c r="D54" s="15"/>
      <c r="E54" s="16"/>
      <c r="F54" s="17">
        <f t="shared" si="1"/>
        <v>0</v>
      </c>
      <c r="G54" s="17">
        <f t="shared" si="0"/>
        <v>0</v>
      </c>
      <c r="H54" s="17">
        <f t="shared" si="2"/>
        <v>0</v>
      </c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 ht="15.75" customHeight="1">
      <c r="A55" s="1"/>
      <c r="B55" s="15"/>
      <c r="C55" s="16"/>
      <c r="D55" s="15"/>
      <c r="E55" s="16"/>
      <c r="F55" s="17">
        <f t="shared" si="1"/>
        <v>0</v>
      </c>
      <c r="G55" s="17">
        <f t="shared" si="0"/>
        <v>0</v>
      </c>
      <c r="H55" s="17">
        <f t="shared" si="2"/>
        <v>0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 ht="15.75" customHeight="1">
      <c r="A56" s="1"/>
      <c r="B56" s="15"/>
      <c r="C56" s="16"/>
      <c r="D56" s="15"/>
      <c r="E56" s="16"/>
      <c r="F56" s="17">
        <f t="shared" si="1"/>
        <v>0</v>
      </c>
      <c r="G56" s="17">
        <f t="shared" si="0"/>
        <v>0</v>
      </c>
      <c r="H56" s="17">
        <f t="shared" si="2"/>
        <v>0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 ht="15.75" customHeight="1">
      <c r="A57" s="1"/>
      <c r="B57" s="15"/>
      <c r="C57" s="16"/>
      <c r="D57" s="15"/>
      <c r="E57" s="16"/>
      <c r="F57" s="17">
        <f t="shared" si="1"/>
        <v>0</v>
      </c>
      <c r="G57" s="17">
        <f t="shared" si="0"/>
        <v>0</v>
      </c>
      <c r="H57" s="17">
        <f t="shared" si="2"/>
        <v>0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 ht="15.75" customHeight="1">
      <c r="A58" s="1"/>
      <c r="B58" s="15"/>
      <c r="C58" s="16"/>
      <c r="D58" s="15"/>
      <c r="E58" s="16"/>
      <c r="F58" s="17">
        <f t="shared" si="1"/>
        <v>0</v>
      </c>
      <c r="G58" s="17">
        <f t="shared" si="0"/>
        <v>0</v>
      </c>
      <c r="H58" s="17">
        <f t="shared" si="2"/>
        <v>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 ht="15.75" customHeight="1">
      <c r="A59" s="1"/>
      <c r="B59" s="15"/>
      <c r="C59" s="16"/>
      <c r="D59" s="15"/>
      <c r="E59" s="16"/>
      <c r="F59" s="17">
        <f t="shared" si="1"/>
        <v>0</v>
      </c>
      <c r="G59" s="17">
        <f t="shared" si="0"/>
        <v>0</v>
      </c>
      <c r="H59" s="17">
        <f t="shared" si="2"/>
        <v>0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 ht="15.75" customHeight="1">
      <c r="A60" s="1"/>
      <c r="B60" s="15"/>
      <c r="C60" s="16"/>
      <c r="D60" s="15"/>
      <c r="E60" s="16"/>
      <c r="F60" s="17">
        <f t="shared" si="1"/>
        <v>0</v>
      </c>
      <c r="G60" s="17">
        <f t="shared" si="0"/>
        <v>0</v>
      </c>
      <c r="H60" s="17">
        <f t="shared" si="2"/>
        <v>0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 ht="15.75" customHeight="1">
      <c r="A61" s="1"/>
      <c r="B61" s="15"/>
      <c r="C61" s="16"/>
      <c r="D61" s="15"/>
      <c r="E61" s="16"/>
      <c r="F61" s="17">
        <f t="shared" si="1"/>
        <v>0</v>
      </c>
      <c r="G61" s="17">
        <f t="shared" si="0"/>
        <v>0</v>
      </c>
      <c r="H61" s="17">
        <f t="shared" si="2"/>
        <v>0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 ht="15.75" customHeight="1">
      <c r="A62" s="1"/>
      <c r="B62" s="15"/>
      <c r="C62" s="16"/>
      <c r="D62" s="15"/>
      <c r="E62" s="16"/>
      <c r="F62" s="17">
        <f t="shared" si="1"/>
        <v>0</v>
      </c>
      <c r="G62" s="17">
        <f t="shared" si="0"/>
        <v>0</v>
      </c>
      <c r="H62" s="17">
        <f t="shared" si="2"/>
        <v>0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 ht="15.75" customHeight="1">
      <c r="A63" s="1"/>
      <c r="B63" s="15"/>
      <c r="C63" s="16"/>
      <c r="D63" s="15"/>
      <c r="E63" s="16"/>
      <c r="F63" s="17">
        <f t="shared" si="1"/>
        <v>0</v>
      </c>
      <c r="G63" s="17">
        <f t="shared" si="0"/>
        <v>0</v>
      </c>
      <c r="H63" s="17">
        <f t="shared" si="2"/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 ht="15.75" customHeight="1">
      <c r="A64" s="1"/>
      <c r="B64" s="15"/>
      <c r="C64" s="16"/>
      <c r="D64" s="15"/>
      <c r="E64" s="16"/>
      <c r="F64" s="17">
        <f t="shared" si="1"/>
        <v>0</v>
      </c>
      <c r="G64" s="17">
        <f t="shared" si="0"/>
        <v>0</v>
      </c>
      <c r="H64" s="17">
        <f t="shared" si="2"/>
        <v>0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31" ht="15.75" customHeight="1">
      <c r="A65" s="1"/>
      <c r="B65" s="15"/>
      <c r="C65" s="16"/>
      <c r="D65" s="15"/>
      <c r="E65" s="16"/>
      <c r="F65" s="17">
        <f t="shared" si="1"/>
        <v>0</v>
      </c>
      <c r="G65" s="17">
        <f t="shared" si="0"/>
        <v>0</v>
      </c>
      <c r="H65" s="17">
        <f t="shared" si="2"/>
        <v>0</v>
      </c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31" ht="15.75" customHeight="1">
      <c r="A66" s="1"/>
      <c r="B66" s="15"/>
      <c r="C66" s="16"/>
      <c r="D66" s="15"/>
      <c r="E66" s="16"/>
      <c r="F66" s="17">
        <f t="shared" si="1"/>
        <v>0</v>
      </c>
      <c r="G66" s="17">
        <f t="shared" si="0"/>
        <v>0</v>
      </c>
      <c r="H66" s="17">
        <f t="shared" si="2"/>
        <v>0</v>
      </c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31" ht="15.75" customHeight="1">
      <c r="A67" s="1"/>
      <c r="B67" s="15"/>
      <c r="C67" s="16"/>
      <c r="D67" s="15"/>
      <c r="E67" s="16"/>
      <c r="F67" s="17">
        <f t="shared" si="1"/>
        <v>0</v>
      </c>
      <c r="G67" s="17">
        <f t="shared" si="0"/>
        <v>0</v>
      </c>
      <c r="H67" s="17">
        <f t="shared" si="2"/>
        <v>0</v>
      </c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31" ht="15.75" customHeight="1">
      <c r="A68" s="1"/>
      <c r="B68" s="15"/>
      <c r="C68" s="16"/>
      <c r="D68" s="15"/>
      <c r="E68" s="16"/>
      <c r="F68" s="17">
        <f t="shared" si="1"/>
        <v>0</v>
      </c>
      <c r="G68" s="17">
        <f t="shared" si="0"/>
        <v>0</v>
      </c>
      <c r="H68" s="17">
        <f t="shared" si="2"/>
        <v>0</v>
      </c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31" ht="15.75" customHeight="1">
      <c r="A69" s="1"/>
      <c r="B69" s="15"/>
      <c r="C69" s="16"/>
      <c r="D69" s="15"/>
      <c r="E69" s="16"/>
      <c r="F69" s="17">
        <f>(E69-E$38)*D69</f>
        <v>0</v>
      </c>
      <c r="G69" s="17">
        <f t="shared" si="0"/>
        <v>0</v>
      </c>
      <c r="H69" s="17">
        <f t="shared" si="2"/>
        <v>0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31" ht="15.75" customHeight="1">
      <c r="A70" s="1"/>
      <c r="B70" s="15"/>
      <c r="C70" s="16"/>
      <c r="D70" s="15"/>
      <c r="E70" s="16"/>
      <c r="F70" s="17">
        <f t="shared" si="1"/>
        <v>0</v>
      </c>
      <c r="G70" s="17">
        <f t="shared" si="0"/>
        <v>0</v>
      </c>
      <c r="H70" s="17">
        <f t="shared" si="2"/>
        <v>0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31" ht="15.75" customHeight="1">
      <c r="A71" s="1"/>
      <c r="B71" s="15"/>
      <c r="C71" s="16"/>
      <c r="D71" s="15"/>
      <c r="E71" s="16"/>
      <c r="F71" s="17">
        <f t="shared" si="1"/>
        <v>0</v>
      </c>
      <c r="G71" s="17">
        <f t="shared" si="0"/>
        <v>0</v>
      </c>
      <c r="H71" s="17">
        <f t="shared" si="2"/>
        <v>0</v>
      </c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31" ht="15.75" customHeight="1">
      <c r="A72" s="1"/>
      <c r="B72" s="15"/>
      <c r="C72" s="16"/>
      <c r="D72" s="15"/>
      <c r="E72" s="16"/>
      <c r="F72" s="17">
        <f t="shared" si="1"/>
        <v>0</v>
      </c>
      <c r="G72" s="17">
        <f t="shared" si="0"/>
        <v>0</v>
      </c>
      <c r="H72" s="17">
        <f t="shared" si="2"/>
        <v>0</v>
      </c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31" ht="15.75" customHeight="1">
      <c r="A73" s="1"/>
      <c r="B73" s="18"/>
      <c r="C73" s="19"/>
      <c r="D73" s="19"/>
      <c r="E73" s="19"/>
      <c r="F73" s="19"/>
      <c r="G73" s="18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ht="20.25" customHeight="1" thickBot="1">
      <c r="A74" s="133" t="s">
        <v>5</v>
      </c>
      <c r="B74" s="133"/>
      <c r="C74" s="133"/>
      <c r="D74" s="133"/>
      <c r="E74" s="133"/>
      <c r="F74" s="4"/>
      <c r="G74" s="5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1"/>
      <c r="Z74" s="1"/>
      <c r="AA74" s="1"/>
      <c r="AB74" s="1"/>
      <c r="AC74" s="1"/>
      <c r="AD74" s="1"/>
      <c r="AE74" s="1"/>
    </row>
    <row r="75" spans="1:31" ht="15.75" customHeight="1">
      <c r="A75" s="143"/>
      <c r="B75" s="143"/>
      <c r="C75" s="143"/>
      <c r="D75" s="143"/>
      <c r="E75" s="143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ht="15.75" customHeight="1">
      <c r="A77" s="1"/>
      <c r="B77" s="148" t="s">
        <v>40</v>
      </c>
      <c r="C77" s="149" t="s">
        <v>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ht="15.75" customHeight="1">
      <c r="A78" s="1"/>
      <c r="B78" s="148"/>
      <c r="C78" s="149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ht="15.75" customHeight="1">
      <c r="A79" s="1"/>
      <c r="B79" s="15">
        <f>B38</f>
        <v>0</v>
      </c>
      <c r="C79" s="20" t="str">
        <f>IF(COUNTA(C38:E38)=3,G38/(F38),"")</f>
        <v/>
      </c>
      <c r="D79" s="52">
        <f>COUNT(B80:B115)</f>
        <v>0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ht="15.75" customHeight="1">
      <c r="A80" s="1"/>
      <c r="B80" s="15" t="str">
        <f>IF(B39=0, "",B39)</f>
        <v/>
      </c>
      <c r="C80" s="20" t="str">
        <f t="shared" ref="C80:C115" si="3">IF(COUNTA(C39:E39)=3,G39/(F39),"")</f>
        <v/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15.75" customHeight="1">
      <c r="A81" s="1"/>
      <c r="B81" s="15" t="str">
        <f t="shared" ref="B81:B115" si="4">IF(B40=0, "",B40)</f>
        <v/>
      </c>
      <c r="C81" s="20" t="str">
        <f t="shared" si="3"/>
        <v/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ht="15.75" customHeight="1">
      <c r="A82" s="1"/>
      <c r="B82" s="15" t="str">
        <f t="shared" si="4"/>
        <v/>
      </c>
      <c r="C82" s="20" t="str">
        <f t="shared" si="3"/>
        <v/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5.75" customHeight="1">
      <c r="A83" s="1"/>
      <c r="B83" s="15" t="str">
        <f t="shared" si="4"/>
        <v/>
      </c>
      <c r="C83" s="20" t="str">
        <f t="shared" si="3"/>
        <v/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5.75" customHeight="1">
      <c r="A84" s="1"/>
      <c r="B84" s="15" t="str">
        <f t="shared" si="4"/>
        <v/>
      </c>
      <c r="C84" s="20" t="str">
        <f t="shared" si="3"/>
        <v/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5.75" customHeight="1">
      <c r="A85" s="1"/>
      <c r="B85" s="15" t="str">
        <f t="shared" si="4"/>
        <v/>
      </c>
      <c r="C85" s="20" t="str">
        <f t="shared" si="3"/>
        <v/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5.75" customHeight="1">
      <c r="A86" s="1"/>
      <c r="B86" s="15" t="str">
        <f t="shared" si="4"/>
        <v/>
      </c>
      <c r="C86" s="20" t="str">
        <f t="shared" si="3"/>
        <v/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5.75" customHeight="1">
      <c r="A87" s="1"/>
      <c r="B87" s="15" t="str">
        <f t="shared" si="4"/>
        <v/>
      </c>
      <c r="C87" s="20" t="str">
        <f t="shared" si="3"/>
        <v/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5.75" customHeight="1">
      <c r="A88" s="1"/>
      <c r="B88" s="15" t="str">
        <f t="shared" si="4"/>
        <v/>
      </c>
      <c r="C88" s="20" t="str">
        <f t="shared" si="3"/>
        <v/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5.75" customHeight="1">
      <c r="A89" s="1"/>
      <c r="B89" s="15" t="str">
        <f t="shared" si="4"/>
        <v/>
      </c>
      <c r="C89" s="20" t="str">
        <f t="shared" si="3"/>
        <v/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5.75" customHeight="1">
      <c r="A90" s="1"/>
      <c r="B90" s="15" t="str">
        <f t="shared" si="4"/>
        <v/>
      </c>
      <c r="C90" s="20" t="str">
        <f t="shared" si="3"/>
        <v/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5.75" customHeight="1">
      <c r="A91" s="1"/>
      <c r="B91" s="15" t="str">
        <f t="shared" si="4"/>
        <v/>
      </c>
      <c r="C91" s="20" t="str">
        <f t="shared" si="3"/>
        <v/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5.75" customHeight="1">
      <c r="A92" s="1"/>
      <c r="B92" s="15" t="str">
        <f t="shared" si="4"/>
        <v/>
      </c>
      <c r="C92" s="20" t="str">
        <f t="shared" si="3"/>
        <v/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5.75" customHeight="1">
      <c r="A93" s="1"/>
      <c r="B93" s="15" t="str">
        <f t="shared" si="4"/>
        <v/>
      </c>
      <c r="C93" s="20" t="str">
        <f t="shared" si="3"/>
        <v/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5.75" customHeight="1">
      <c r="A94" s="1"/>
      <c r="B94" s="15" t="str">
        <f t="shared" si="4"/>
        <v/>
      </c>
      <c r="C94" s="20" t="str">
        <f t="shared" si="3"/>
        <v/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5.75" customHeight="1">
      <c r="A95" s="1"/>
      <c r="B95" s="15" t="str">
        <f t="shared" si="4"/>
        <v/>
      </c>
      <c r="C95" s="20" t="str">
        <f t="shared" si="3"/>
        <v/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5.75" customHeight="1">
      <c r="A96" s="1"/>
      <c r="B96" s="15" t="str">
        <f t="shared" si="4"/>
        <v/>
      </c>
      <c r="C96" s="20" t="str">
        <f t="shared" si="3"/>
        <v/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5.75" customHeight="1">
      <c r="A97" s="1"/>
      <c r="B97" s="15" t="str">
        <f t="shared" si="4"/>
        <v/>
      </c>
      <c r="C97" s="20" t="str">
        <f t="shared" si="3"/>
        <v/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5.75" customHeight="1">
      <c r="A98" s="1"/>
      <c r="B98" s="15" t="str">
        <f t="shared" si="4"/>
        <v/>
      </c>
      <c r="C98" s="20" t="str">
        <f t="shared" si="3"/>
        <v/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ht="15.75" customHeight="1">
      <c r="A99" s="1"/>
      <c r="B99" s="15" t="str">
        <f t="shared" si="4"/>
        <v/>
      </c>
      <c r="C99" s="20" t="str">
        <f t="shared" si="3"/>
        <v/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ht="15.75" customHeight="1">
      <c r="A100" s="1"/>
      <c r="B100" s="15" t="str">
        <f t="shared" si="4"/>
        <v/>
      </c>
      <c r="C100" s="20" t="str">
        <f t="shared" si="3"/>
        <v/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ht="15.75" customHeight="1">
      <c r="A101" s="1"/>
      <c r="B101" s="15" t="str">
        <f t="shared" si="4"/>
        <v/>
      </c>
      <c r="C101" s="20" t="str">
        <f t="shared" si="3"/>
        <v/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ht="15.75" customHeight="1">
      <c r="A102" s="1"/>
      <c r="B102" s="15" t="str">
        <f t="shared" si="4"/>
        <v/>
      </c>
      <c r="C102" s="20" t="str">
        <f t="shared" si="3"/>
        <v/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ht="15.75" customHeight="1">
      <c r="A103" s="1"/>
      <c r="B103" s="15" t="str">
        <f t="shared" si="4"/>
        <v/>
      </c>
      <c r="C103" s="20" t="str">
        <f t="shared" si="3"/>
        <v/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ht="15.75" customHeight="1">
      <c r="A104" s="1"/>
      <c r="B104" s="15" t="str">
        <f t="shared" si="4"/>
        <v/>
      </c>
      <c r="C104" s="20" t="str">
        <f t="shared" si="3"/>
        <v/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ht="15.75" customHeight="1">
      <c r="A105" s="1"/>
      <c r="B105" s="15" t="str">
        <f t="shared" si="4"/>
        <v/>
      </c>
      <c r="C105" s="20" t="str">
        <f t="shared" si="3"/>
        <v/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ht="15.75" customHeight="1">
      <c r="A106" s="1"/>
      <c r="B106" s="15" t="str">
        <f t="shared" si="4"/>
        <v/>
      </c>
      <c r="C106" s="20" t="str">
        <f t="shared" si="3"/>
        <v/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ht="15.75" customHeight="1">
      <c r="A107" s="1"/>
      <c r="B107" s="15" t="str">
        <f t="shared" si="4"/>
        <v/>
      </c>
      <c r="C107" s="20" t="str">
        <f t="shared" si="3"/>
        <v/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ht="15.75" customHeight="1">
      <c r="A108" s="1"/>
      <c r="B108" s="15" t="str">
        <f t="shared" si="4"/>
        <v/>
      </c>
      <c r="C108" s="20" t="str">
        <f t="shared" si="3"/>
        <v/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ht="15.75" customHeight="1">
      <c r="A109" s="1"/>
      <c r="B109" s="15" t="str">
        <f t="shared" si="4"/>
        <v/>
      </c>
      <c r="C109" s="20" t="str">
        <f t="shared" si="3"/>
        <v/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ht="15.75" customHeight="1">
      <c r="A110" s="1"/>
      <c r="B110" s="15" t="str">
        <f t="shared" si="4"/>
        <v/>
      </c>
      <c r="C110" s="20" t="str">
        <f t="shared" si="3"/>
        <v/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t="15.75" customHeight="1">
      <c r="A111" s="1"/>
      <c r="B111" s="15" t="str">
        <f t="shared" si="4"/>
        <v/>
      </c>
      <c r="C111" s="20" t="str">
        <f t="shared" si="3"/>
        <v/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t="15.75" customHeight="1">
      <c r="A112" s="1"/>
      <c r="B112" s="15" t="str">
        <f t="shared" si="4"/>
        <v/>
      </c>
      <c r="C112" s="20" t="str">
        <f t="shared" si="3"/>
        <v/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t="15.75" customHeight="1">
      <c r="A113" s="1"/>
      <c r="B113" s="15" t="str">
        <f t="shared" si="4"/>
        <v/>
      </c>
      <c r="C113" s="20" t="str">
        <f t="shared" si="3"/>
        <v/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t="15.75" customHeight="1">
      <c r="A114" s="1"/>
      <c r="B114" s="15" t="str">
        <f t="shared" si="4"/>
        <v/>
      </c>
      <c r="C114" s="20" t="str">
        <f t="shared" si="3"/>
        <v/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t="15.75" customHeight="1">
      <c r="A115" s="1"/>
      <c r="B115" s="15" t="str">
        <f t="shared" si="4"/>
        <v/>
      </c>
      <c r="C115" s="20" t="str">
        <f t="shared" si="3"/>
        <v/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t="20.25" customHeight="1" thickBot="1">
      <c r="A118" s="133" t="s">
        <v>8</v>
      </c>
      <c r="B118" s="133"/>
      <c r="C118" s="133"/>
      <c r="D118" s="133"/>
      <c r="E118" s="133"/>
      <c r="F118" s="4"/>
      <c r="G118" s="5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1"/>
      <c r="Z118" s="1"/>
      <c r="AA118" s="1"/>
      <c r="AB118" s="1"/>
      <c r="AC118" s="1"/>
      <c r="AD118" s="1"/>
      <c r="AE118" s="1"/>
    </row>
    <row r="119" spans="1:31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t="49.5" customHeight="1">
      <c r="A120" s="132" t="s">
        <v>139</v>
      </c>
      <c r="B120" s="132"/>
      <c r="C120" s="132"/>
      <c r="D120" s="43" t="s">
        <v>140</v>
      </c>
      <c r="E120" s="43" t="s">
        <v>141</v>
      </c>
      <c r="F120" s="43" t="s">
        <v>142</v>
      </c>
      <c r="G120" s="43" t="s">
        <v>143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t="21.75" customHeight="1">
      <c r="A121" s="132" t="s">
        <v>70</v>
      </c>
      <c r="B121" s="132"/>
      <c r="C121" s="132"/>
      <c r="D121" s="36"/>
      <c r="E121" s="36"/>
      <c r="F121" s="47">
        <v>45</v>
      </c>
      <c r="G121" s="48">
        <v>15</v>
      </c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t="20.25" customHeight="1">
      <c r="A122" s="132" t="s">
        <v>71</v>
      </c>
      <c r="B122" s="132"/>
      <c r="C122" s="132"/>
      <c r="D122" s="36"/>
      <c r="E122" s="36"/>
      <c r="F122" s="47">
        <v>45</v>
      </c>
      <c r="G122" s="48">
        <v>15</v>
      </c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t="15.75" customHeight="1">
      <c r="A125" s="131" t="s">
        <v>41</v>
      </c>
      <c r="B125" s="131"/>
      <c r="C125" s="131"/>
      <c r="D125" s="1"/>
      <c r="E125" s="1"/>
      <c r="F125" s="1"/>
      <c r="G125" s="1"/>
      <c r="H125" s="1"/>
      <c r="I125" s="1"/>
      <c r="J125" s="1"/>
      <c r="K125" s="1"/>
      <c r="M125" s="21"/>
      <c r="N125" s="131" t="s">
        <v>42</v>
      </c>
      <c r="O125" s="131"/>
      <c r="P125" s="13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t="15.75" customHeight="1"/>
    <row r="127" spans="1:31" ht="15.75" customHeight="1"/>
    <row r="128" spans="1:31" ht="15.75" customHeight="1"/>
    <row r="129" spans="1:31" ht="15.75" customHeight="1"/>
    <row r="130" spans="1:31" ht="15.75" customHeight="1"/>
    <row r="131" spans="1:31" ht="15.75" customHeight="1"/>
    <row r="132" spans="1:31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t="20.25" customHeight="1" thickBot="1">
      <c r="A189" s="133" t="s">
        <v>10</v>
      </c>
      <c r="B189" s="133"/>
      <c r="C189" s="133"/>
      <c r="D189" s="133"/>
      <c r="E189" s="133"/>
      <c r="F189" s="4"/>
      <c r="G189" s="5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1"/>
      <c r="Z189" s="1"/>
      <c r="AA189" s="1"/>
      <c r="AB189" s="1"/>
      <c r="AC189" s="1"/>
      <c r="AD189" s="1"/>
      <c r="AE189" s="1"/>
    </row>
    <row r="190" spans="1:31" ht="20.25" customHeight="1">
      <c r="A190" s="25"/>
      <c r="B190" s="25"/>
      <c r="C190" s="25"/>
      <c r="D190" s="25"/>
      <c r="E190" s="25"/>
      <c r="F190" s="25"/>
      <c r="G190" s="27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1"/>
      <c r="Z190" s="1"/>
      <c r="AA190" s="1"/>
      <c r="AB190" s="1"/>
      <c r="AC190" s="1"/>
      <c r="AD190" s="1"/>
      <c r="AE190" s="1"/>
    </row>
    <row r="191" spans="1:31" ht="20.25" customHeight="1">
      <c r="A191" s="132" t="s">
        <v>69</v>
      </c>
      <c r="B191" s="132"/>
      <c r="C191" s="132"/>
      <c r="D191" s="28" t="s">
        <v>72</v>
      </c>
      <c r="E191" s="28" t="s">
        <v>73</v>
      </c>
      <c r="F191" s="28" t="s">
        <v>70</v>
      </c>
      <c r="G191" s="29" t="s">
        <v>74</v>
      </c>
      <c r="H191" s="28" t="s">
        <v>75</v>
      </c>
      <c r="I191" s="28" t="s">
        <v>76</v>
      </c>
      <c r="J191" s="28" t="s">
        <v>77</v>
      </c>
      <c r="K191" s="28" t="s">
        <v>84</v>
      </c>
      <c r="L191" s="28" t="s">
        <v>85</v>
      </c>
      <c r="M191" s="50" t="s">
        <v>172</v>
      </c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1"/>
      <c r="Z191" s="1"/>
      <c r="AA191" s="1"/>
      <c r="AB191" s="1"/>
      <c r="AC191" s="1"/>
      <c r="AD191" s="1"/>
      <c r="AE191" s="1"/>
    </row>
    <row r="192" spans="1:31" ht="20.25" customHeight="1">
      <c r="A192" s="132" t="s">
        <v>70</v>
      </c>
      <c r="B192" s="132"/>
      <c r="C192" s="132"/>
      <c r="D192" s="37"/>
      <c r="E192" s="37"/>
      <c r="F192" s="37"/>
      <c r="G192" s="30">
        <f>E$8</f>
        <v>0</v>
      </c>
      <c r="H192" s="31">
        <f>E$7</f>
        <v>0</v>
      </c>
      <c r="I192" s="28">
        <f>F192-G192</f>
        <v>0</v>
      </c>
      <c r="J192" s="28">
        <f>H192-D192</f>
        <v>0</v>
      </c>
      <c r="K192" s="34" t="e">
        <f t="shared" ref="K192:L194" si="5">I192/DUT_VOUT*100</f>
        <v>#DIV/0!</v>
      </c>
      <c r="L192" s="34" t="e">
        <f t="shared" si="5"/>
        <v>#DIV/0!</v>
      </c>
      <c r="M192" s="53" t="e">
        <f>(ABS(D192-F192)/E192)*100</f>
        <v>#DIV/0!</v>
      </c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1"/>
      <c r="Z192" s="1"/>
      <c r="AA192" s="1"/>
      <c r="AB192" s="1"/>
      <c r="AC192" s="1"/>
      <c r="AD192" s="1"/>
      <c r="AE192" s="1"/>
    </row>
    <row r="193" spans="1:43" ht="20.25" customHeight="1">
      <c r="A193" s="132" t="s">
        <v>71</v>
      </c>
      <c r="B193" s="132"/>
      <c r="C193" s="132"/>
      <c r="D193" s="37"/>
      <c r="E193" s="37"/>
      <c r="F193" s="37"/>
      <c r="G193" s="30">
        <f t="shared" ref="G193:G194" si="6">E$8</f>
        <v>0</v>
      </c>
      <c r="H193" s="31">
        <f t="shared" ref="H193:H194" si="7">E$7</f>
        <v>0</v>
      </c>
      <c r="I193" s="28">
        <f t="shared" ref="I193:I194" si="8">F193-G193</f>
        <v>0</v>
      </c>
      <c r="J193" s="28">
        <f t="shared" ref="J193:J194" si="9">H193-D193</f>
        <v>0</v>
      </c>
      <c r="K193" s="34" t="e">
        <f t="shared" si="5"/>
        <v>#DIV/0!</v>
      </c>
      <c r="L193" s="34" t="e">
        <f t="shared" si="5"/>
        <v>#DIV/0!</v>
      </c>
      <c r="M193" s="53" t="e">
        <f t="shared" ref="M193:M194" si="10">(ABS(D193-F193)/E193)*100</f>
        <v>#DIV/0!</v>
      </c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1"/>
      <c r="Z193" s="1"/>
      <c r="AA193" s="1"/>
      <c r="AB193" s="1"/>
      <c r="AC193" s="1"/>
      <c r="AD193" s="1"/>
      <c r="AE193" s="1"/>
    </row>
    <row r="194" spans="1:43" ht="20.25" customHeight="1">
      <c r="A194" s="132" t="s">
        <v>72</v>
      </c>
      <c r="B194" s="132"/>
      <c r="C194" s="132"/>
      <c r="D194" s="37"/>
      <c r="E194" s="37"/>
      <c r="F194" s="37"/>
      <c r="G194" s="30">
        <f t="shared" si="6"/>
        <v>0</v>
      </c>
      <c r="H194" s="31">
        <f t="shared" si="7"/>
        <v>0</v>
      </c>
      <c r="I194" s="28">
        <f t="shared" si="8"/>
        <v>0</v>
      </c>
      <c r="J194" s="28">
        <f t="shared" si="9"/>
        <v>0</v>
      </c>
      <c r="K194" s="34" t="e">
        <f t="shared" si="5"/>
        <v>#DIV/0!</v>
      </c>
      <c r="L194" s="34" t="e">
        <f t="shared" si="5"/>
        <v>#DIV/0!</v>
      </c>
      <c r="M194" s="53" t="e">
        <f t="shared" si="10"/>
        <v>#DIV/0!</v>
      </c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1"/>
      <c r="Z194" s="1"/>
      <c r="AA194" s="1"/>
      <c r="AB194" s="1"/>
      <c r="AC194" s="1"/>
      <c r="AD194" s="1"/>
      <c r="AE194" s="1"/>
    </row>
    <row r="195" spans="1:43" ht="20.25" customHeight="1">
      <c r="A195" s="25"/>
      <c r="B195" s="25"/>
      <c r="C195" s="25"/>
      <c r="D195" s="25"/>
      <c r="E195" s="25"/>
      <c r="F195" s="25"/>
      <c r="G195" s="27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1"/>
      <c r="Z195" s="1"/>
      <c r="AA195" s="1"/>
      <c r="AB195" s="1"/>
      <c r="AC195" s="1"/>
      <c r="AD195" s="1"/>
      <c r="AE195" s="1"/>
    </row>
    <row r="196" spans="1:43" ht="20.25" customHeight="1">
      <c r="A196" s="25"/>
      <c r="B196" s="25"/>
      <c r="C196" s="25"/>
      <c r="D196" s="25"/>
      <c r="E196" s="25"/>
      <c r="F196" s="25"/>
      <c r="G196" s="27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1"/>
      <c r="Z196" s="1"/>
      <c r="AA196" s="1"/>
      <c r="AB196" s="1"/>
      <c r="AC196" s="1"/>
      <c r="AD196" s="1"/>
      <c r="AE196" s="1"/>
    </row>
    <row r="197" spans="1:43" ht="20.25" customHeight="1">
      <c r="A197" s="25"/>
      <c r="B197" s="25"/>
      <c r="C197" s="25"/>
      <c r="D197" s="25"/>
      <c r="E197" s="25"/>
      <c r="F197" s="25"/>
      <c r="G197" s="27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1"/>
      <c r="Z197" s="1"/>
      <c r="AA197" s="1"/>
      <c r="AB197" s="1"/>
      <c r="AC197" s="1"/>
      <c r="AD197" s="1"/>
      <c r="AE197" s="1"/>
    </row>
    <row r="198" spans="1:43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43" ht="15.75" customHeight="1">
      <c r="A199" s="131" t="s">
        <v>41</v>
      </c>
      <c r="B199" s="131"/>
      <c r="C199" s="131"/>
      <c r="D199" s="1"/>
      <c r="E199" s="1"/>
      <c r="F199" s="1"/>
      <c r="G199" s="1"/>
      <c r="H199" s="1"/>
      <c r="I199" s="1"/>
      <c r="K199" s="21"/>
      <c r="L199" s="21"/>
      <c r="M199" s="1"/>
      <c r="N199" s="131" t="s">
        <v>42</v>
      </c>
      <c r="O199" s="131"/>
      <c r="P199" s="13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31" t="s">
        <v>68</v>
      </c>
      <c r="AF199" s="131"/>
      <c r="AG199" s="131"/>
    </row>
    <row r="200" spans="1:43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43" ht="15.75" customHeight="1">
      <c r="A201" s="125"/>
      <c r="B201" s="125"/>
      <c r="C201" s="125"/>
      <c r="D201" s="125"/>
      <c r="E201" s="125"/>
      <c r="F201" s="125"/>
      <c r="G201" s="125"/>
      <c r="H201" s="125"/>
      <c r="I201" s="125"/>
      <c r="J201" s="125"/>
      <c r="K201" s="125"/>
      <c r="L201" s="125"/>
      <c r="M201" s="1"/>
      <c r="N201" s="125"/>
      <c r="O201" s="125"/>
      <c r="P201" s="125"/>
      <c r="Q201" s="125"/>
      <c r="R201" s="125"/>
      <c r="S201" s="125"/>
      <c r="T201" s="125"/>
      <c r="U201" s="125"/>
      <c r="V201" s="125"/>
      <c r="W201" s="125"/>
      <c r="X201" s="125"/>
      <c r="Y201" s="125"/>
      <c r="Z201" s="125"/>
      <c r="AA201" s="125"/>
      <c r="AB201" s="125"/>
      <c r="AC201" s="125"/>
      <c r="AD201" s="1"/>
      <c r="AE201" s="12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</row>
    <row r="202" spans="1:43" ht="15.75" customHeight="1">
      <c r="A202" s="125"/>
      <c r="B202" s="125"/>
      <c r="C202" s="125"/>
      <c r="D202" s="125"/>
      <c r="E202" s="125"/>
      <c r="F202" s="125"/>
      <c r="G202" s="125"/>
      <c r="H202" s="125"/>
      <c r="I202" s="125"/>
      <c r="J202" s="125"/>
      <c r="K202" s="125"/>
      <c r="L202" s="125"/>
      <c r="M202" s="1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5"/>
      <c r="AD202" s="1"/>
      <c r="AE202" s="125"/>
      <c r="AF202" s="125"/>
      <c r="AG202" s="125"/>
      <c r="AH202" s="125"/>
      <c r="AI202" s="125"/>
      <c r="AJ202" s="125"/>
      <c r="AK202" s="125"/>
      <c r="AL202" s="125"/>
      <c r="AM202" s="125"/>
      <c r="AN202" s="125"/>
      <c r="AO202" s="125"/>
      <c r="AP202" s="125"/>
      <c r="AQ202" s="125"/>
    </row>
    <row r="203" spans="1:43" ht="15.75" customHeight="1">
      <c r="A203" s="125"/>
      <c r="B203" s="125"/>
      <c r="C203" s="125"/>
      <c r="D203" s="125"/>
      <c r="E203" s="125"/>
      <c r="F203" s="125"/>
      <c r="G203" s="125"/>
      <c r="H203" s="125"/>
      <c r="I203" s="125"/>
      <c r="J203" s="125"/>
      <c r="K203" s="125"/>
      <c r="L203" s="125"/>
      <c r="M203" s="1"/>
      <c r="N203" s="125"/>
      <c r="O203" s="125"/>
      <c r="P203" s="125"/>
      <c r="Q203" s="125"/>
      <c r="R203" s="125"/>
      <c r="S203" s="125"/>
      <c r="T203" s="125"/>
      <c r="U203" s="125"/>
      <c r="V203" s="125"/>
      <c r="W203" s="125"/>
      <c r="X203" s="125"/>
      <c r="Y203" s="125"/>
      <c r="Z203" s="125"/>
      <c r="AA203" s="125"/>
      <c r="AB203" s="125"/>
      <c r="AC203" s="125"/>
      <c r="AD203" s="1"/>
      <c r="AE203" s="12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/>
      <c r="AQ203" s="125"/>
    </row>
    <row r="204" spans="1:43" ht="15.75" customHeight="1">
      <c r="A204" s="125"/>
      <c r="B204" s="125"/>
      <c r="C204" s="125"/>
      <c r="D204" s="125"/>
      <c r="E204" s="125"/>
      <c r="F204" s="125"/>
      <c r="G204" s="125"/>
      <c r="H204" s="125"/>
      <c r="I204" s="125"/>
      <c r="J204" s="125"/>
      <c r="K204" s="125"/>
      <c r="L204" s="125"/>
      <c r="M204" s="1"/>
      <c r="N204" s="125"/>
      <c r="O204" s="125"/>
      <c r="P204" s="125"/>
      <c r="Q204" s="125"/>
      <c r="R204" s="125"/>
      <c r="S204" s="125"/>
      <c r="T204" s="125"/>
      <c r="U204" s="125"/>
      <c r="V204" s="125"/>
      <c r="W204" s="125"/>
      <c r="X204" s="125"/>
      <c r="Y204" s="125"/>
      <c r="Z204" s="125"/>
      <c r="AA204" s="125"/>
      <c r="AB204" s="125"/>
      <c r="AC204" s="125"/>
      <c r="AD204" s="1"/>
      <c r="AE204" s="12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</row>
    <row r="205" spans="1:43" ht="15.75" customHeight="1">
      <c r="A205" s="125"/>
      <c r="B205" s="125"/>
      <c r="C205" s="125"/>
      <c r="D205" s="125"/>
      <c r="E205" s="125"/>
      <c r="F205" s="125"/>
      <c r="G205" s="125"/>
      <c r="H205" s="125"/>
      <c r="I205" s="125"/>
      <c r="J205" s="125"/>
      <c r="K205" s="125"/>
      <c r="L205" s="125"/>
      <c r="M205" s="1"/>
      <c r="N205" s="125"/>
      <c r="O205" s="125"/>
      <c r="P205" s="125"/>
      <c r="Q205" s="125"/>
      <c r="R205" s="125"/>
      <c r="S205" s="125"/>
      <c r="T205" s="125"/>
      <c r="U205" s="125"/>
      <c r="V205" s="125"/>
      <c r="W205" s="125"/>
      <c r="X205" s="125"/>
      <c r="Y205" s="125"/>
      <c r="Z205" s="125"/>
      <c r="AA205" s="125"/>
      <c r="AB205" s="125"/>
      <c r="AC205" s="125"/>
      <c r="AD205" s="1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Q205" s="125"/>
    </row>
    <row r="206" spans="1:43" ht="15.75" customHeight="1">
      <c r="A206" s="125"/>
      <c r="B206" s="125"/>
      <c r="C206" s="125"/>
      <c r="D206" s="125"/>
      <c r="E206" s="125"/>
      <c r="F206" s="125"/>
      <c r="G206" s="125"/>
      <c r="H206" s="125"/>
      <c r="I206" s="125"/>
      <c r="J206" s="125"/>
      <c r="K206" s="125"/>
      <c r="L206" s="125"/>
      <c r="M206" s="1"/>
      <c r="N206" s="125"/>
      <c r="O206" s="125"/>
      <c r="P206" s="125"/>
      <c r="Q206" s="125"/>
      <c r="R206" s="125"/>
      <c r="S206" s="125"/>
      <c r="T206" s="125"/>
      <c r="U206" s="125"/>
      <c r="V206" s="125"/>
      <c r="W206" s="125"/>
      <c r="X206" s="125"/>
      <c r="Y206" s="125"/>
      <c r="Z206" s="125"/>
      <c r="AA206" s="125"/>
      <c r="AB206" s="125"/>
      <c r="AC206" s="125"/>
      <c r="AD206" s="1"/>
      <c r="AE206" s="12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</row>
    <row r="207" spans="1:43" ht="15.75" customHeight="1">
      <c r="A207" s="125"/>
      <c r="B207" s="125"/>
      <c r="C207" s="125"/>
      <c r="D207" s="125"/>
      <c r="E207" s="125"/>
      <c r="F207" s="125"/>
      <c r="G207" s="125"/>
      <c r="H207" s="125"/>
      <c r="I207" s="125"/>
      <c r="J207" s="125"/>
      <c r="K207" s="125"/>
      <c r="L207" s="125"/>
      <c r="M207" s="1"/>
      <c r="N207" s="125"/>
      <c r="O207" s="125"/>
      <c r="P207" s="125"/>
      <c r="Q207" s="125"/>
      <c r="R207" s="125"/>
      <c r="S207" s="125"/>
      <c r="T207" s="125"/>
      <c r="U207" s="125"/>
      <c r="V207" s="125"/>
      <c r="W207" s="125"/>
      <c r="X207" s="125"/>
      <c r="Y207" s="125"/>
      <c r="Z207" s="125"/>
      <c r="AA207" s="125"/>
      <c r="AB207" s="125"/>
      <c r="AC207" s="125"/>
      <c r="AD207" s="1"/>
      <c r="AE207" s="12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/>
      <c r="AQ207" s="125"/>
    </row>
    <row r="208" spans="1:43" ht="15.75" customHeight="1">
      <c r="A208" s="125"/>
      <c r="B208" s="125"/>
      <c r="C208" s="125"/>
      <c r="D208" s="125"/>
      <c r="E208" s="125"/>
      <c r="F208" s="125"/>
      <c r="G208" s="125"/>
      <c r="H208" s="125"/>
      <c r="I208" s="125"/>
      <c r="J208" s="125"/>
      <c r="K208" s="125"/>
      <c r="L208" s="125"/>
      <c r="M208" s="1"/>
      <c r="N208" s="125"/>
      <c r="O208" s="125"/>
      <c r="P208" s="125"/>
      <c r="Q208" s="125"/>
      <c r="R208" s="125"/>
      <c r="S208" s="125"/>
      <c r="T208" s="125"/>
      <c r="U208" s="125"/>
      <c r="V208" s="125"/>
      <c r="W208" s="125"/>
      <c r="X208" s="125"/>
      <c r="Y208" s="125"/>
      <c r="Z208" s="125"/>
      <c r="AA208" s="125"/>
      <c r="AB208" s="125"/>
      <c r="AC208" s="125"/>
      <c r="AD208" s="1"/>
      <c r="AE208" s="125"/>
      <c r="AF208" s="125"/>
      <c r="AG208" s="125"/>
      <c r="AH208" s="125"/>
      <c r="AI208" s="125"/>
      <c r="AJ208" s="125"/>
      <c r="AK208" s="125"/>
      <c r="AL208" s="125"/>
      <c r="AM208" s="125"/>
      <c r="AN208" s="125"/>
      <c r="AO208" s="125"/>
      <c r="AP208" s="125"/>
      <c r="AQ208" s="125"/>
    </row>
    <row r="209" spans="1:43" ht="15.75" customHeight="1">
      <c r="A209" s="125"/>
      <c r="B209" s="125"/>
      <c r="C209" s="125"/>
      <c r="D209" s="125"/>
      <c r="E209" s="125"/>
      <c r="F209" s="125"/>
      <c r="G209" s="125"/>
      <c r="H209" s="125"/>
      <c r="I209" s="125"/>
      <c r="J209" s="125"/>
      <c r="K209" s="125"/>
      <c r="L209" s="125"/>
      <c r="M209" s="1"/>
      <c r="N209" s="125"/>
      <c r="O209" s="125"/>
      <c r="P209" s="125"/>
      <c r="Q209" s="125"/>
      <c r="R209" s="125"/>
      <c r="S209" s="125"/>
      <c r="T209" s="125"/>
      <c r="U209" s="125"/>
      <c r="V209" s="125"/>
      <c r="W209" s="125"/>
      <c r="X209" s="125"/>
      <c r="Y209" s="125"/>
      <c r="Z209" s="125"/>
      <c r="AA209" s="125"/>
      <c r="AB209" s="125"/>
      <c r="AC209" s="125"/>
      <c r="AD209" s="1"/>
      <c r="AE209" s="125"/>
      <c r="AF209" s="125"/>
      <c r="AG209" s="125"/>
      <c r="AH209" s="125"/>
      <c r="AI209" s="125"/>
      <c r="AJ209" s="125"/>
      <c r="AK209" s="125"/>
      <c r="AL209" s="125"/>
      <c r="AM209" s="125"/>
      <c r="AN209" s="125"/>
      <c r="AO209" s="125"/>
      <c r="AP209" s="125"/>
      <c r="AQ209" s="125"/>
    </row>
    <row r="210" spans="1:43" ht="15.75" customHeight="1">
      <c r="A210" s="125"/>
      <c r="B210" s="125"/>
      <c r="C210" s="125"/>
      <c r="D210" s="125"/>
      <c r="E210" s="125"/>
      <c r="F210" s="125"/>
      <c r="G210" s="125"/>
      <c r="H210" s="125"/>
      <c r="I210" s="125"/>
      <c r="J210" s="125"/>
      <c r="K210" s="125"/>
      <c r="L210" s="125"/>
      <c r="M210" s="1"/>
      <c r="N210" s="125"/>
      <c r="O210" s="125"/>
      <c r="P210" s="125"/>
      <c r="Q210" s="125"/>
      <c r="R210" s="125"/>
      <c r="S210" s="125"/>
      <c r="T210" s="125"/>
      <c r="U210" s="125"/>
      <c r="V210" s="125"/>
      <c r="W210" s="125"/>
      <c r="X210" s="125"/>
      <c r="Y210" s="125"/>
      <c r="Z210" s="125"/>
      <c r="AA210" s="125"/>
      <c r="AB210" s="125"/>
      <c r="AC210" s="125"/>
      <c r="AD210" s="1"/>
      <c r="AE210" s="125"/>
      <c r="AF210" s="125"/>
      <c r="AG210" s="125"/>
      <c r="AH210" s="125"/>
      <c r="AI210" s="125"/>
      <c r="AJ210" s="125"/>
      <c r="AK210" s="125"/>
      <c r="AL210" s="125"/>
      <c r="AM210" s="125"/>
      <c r="AN210" s="125"/>
      <c r="AO210" s="125"/>
      <c r="AP210" s="125"/>
      <c r="AQ210" s="125"/>
    </row>
    <row r="211" spans="1:43" ht="15.75" customHeight="1">
      <c r="A211" s="125"/>
      <c r="B211" s="125"/>
      <c r="C211" s="125"/>
      <c r="D211" s="125"/>
      <c r="E211" s="125"/>
      <c r="F211" s="125"/>
      <c r="G211" s="125"/>
      <c r="H211" s="125"/>
      <c r="I211" s="125"/>
      <c r="J211" s="125"/>
      <c r="K211" s="125"/>
      <c r="L211" s="125"/>
      <c r="M211" s="1"/>
      <c r="N211" s="125"/>
      <c r="O211" s="125"/>
      <c r="P211" s="125"/>
      <c r="Q211" s="125"/>
      <c r="R211" s="125"/>
      <c r="S211" s="125"/>
      <c r="T211" s="125"/>
      <c r="U211" s="125"/>
      <c r="V211" s="125"/>
      <c r="W211" s="125"/>
      <c r="X211" s="125"/>
      <c r="Y211" s="125"/>
      <c r="Z211" s="125"/>
      <c r="AA211" s="125"/>
      <c r="AB211" s="125"/>
      <c r="AC211" s="125"/>
      <c r="AD211" s="1"/>
      <c r="AE211" s="125"/>
      <c r="AF211" s="125"/>
      <c r="AG211" s="125"/>
      <c r="AH211" s="125"/>
      <c r="AI211" s="125"/>
      <c r="AJ211" s="125"/>
      <c r="AK211" s="125"/>
      <c r="AL211" s="125"/>
      <c r="AM211" s="125"/>
      <c r="AN211" s="125"/>
      <c r="AO211" s="125"/>
      <c r="AP211" s="125"/>
      <c r="AQ211" s="125"/>
    </row>
    <row r="212" spans="1:43" ht="15.75" customHeight="1">
      <c r="A212" s="125"/>
      <c r="B212" s="125"/>
      <c r="C212" s="125"/>
      <c r="D212" s="125"/>
      <c r="E212" s="125"/>
      <c r="F212" s="125"/>
      <c r="G212" s="125"/>
      <c r="H212" s="125"/>
      <c r="I212" s="125"/>
      <c r="J212" s="125"/>
      <c r="K212" s="125"/>
      <c r="L212" s="125"/>
      <c r="M212" s="1"/>
      <c r="N212" s="125"/>
      <c r="O212" s="125"/>
      <c r="P212" s="125"/>
      <c r="Q212" s="125"/>
      <c r="R212" s="125"/>
      <c r="S212" s="125"/>
      <c r="T212" s="125"/>
      <c r="U212" s="125"/>
      <c r="V212" s="125"/>
      <c r="W212" s="125"/>
      <c r="X212" s="125"/>
      <c r="Y212" s="125"/>
      <c r="Z212" s="125"/>
      <c r="AA212" s="125"/>
      <c r="AB212" s="125"/>
      <c r="AC212" s="125"/>
      <c r="AD212" s="1"/>
      <c r="AE212" s="125"/>
      <c r="AF212" s="125"/>
      <c r="AG212" s="125"/>
      <c r="AH212" s="125"/>
      <c r="AI212" s="125"/>
      <c r="AJ212" s="125"/>
      <c r="AK212" s="125"/>
      <c r="AL212" s="125"/>
      <c r="AM212" s="125"/>
      <c r="AN212" s="125"/>
      <c r="AO212" s="125"/>
      <c r="AP212" s="125"/>
      <c r="AQ212" s="125"/>
    </row>
    <row r="213" spans="1:43" ht="15.75" customHeight="1">
      <c r="A213" s="125"/>
      <c r="B213" s="125"/>
      <c r="C213" s="125"/>
      <c r="D213" s="125"/>
      <c r="E213" s="125"/>
      <c r="F213" s="125"/>
      <c r="G213" s="125"/>
      <c r="H213" s="125"/>
      <c r="I213" s="125"/>
      <c r="J213" s="125"/>
      <c r="K213" s="125"/>
      <c r="L213" s="125"/>
      <c r="M213" s="1"/>
      <c r="N213" s="125"/>
      <c r="O213" s="125"/>
      <c r="P213" s="125"/>
      <c r="Q213" s="125"/>
      <c r="R213" s="125"/>
      <c r="S213" s="125"/>
      <c r="T213" s="125"/>
      <c r="U213" s="125"/>
      <c r="V213" s="125"/>
      <c r="W213" s="125"/>
      <c r="X213" s="125"/>
      <c r="Y213" s="125"/>
      <c r="Z213" s="125"/>
      <c r="AA213" s="125"/>
      <c r="AB213" s="125"/>
      <c r="AC213" s="125"/>
      <c r="AD213" s="1"/>
      <c r="AE213" s="125"/>
      <c r="AF213" s="125"/>
      <c r="AG213" s="125"/>
      <c r="AH213" s="125"/>
      <c r="AI213" s="125"/>
      <c r="AJ213" s="125"/>
      <c r="AK213" s="125"/>
      <c r="AL213" s="125"/>
      <c r="AM213" s="125"/>
      <c r="AN213" s="125"/>
      <c r="AO213" s="125"/>
      <c r="AP213" s="125"/>
      <c r="AQ213" s="125"/>
    </row>
    <row r="214" spans="1:43" ht="15.75" customHeight="1">
      <c r="A214" s="125"/>
      <c r="B214" s="125"/>
      <c r="C214" s="125"/>
      <c r="D214" s="125"/>
      <c r="E214" s="125"/>
      <c r="F214" s="125"/>
      <c r="G214" s="125"/>
      <c r="H214" s="125"/>
      <c r="I214" s="125"/>
      <c r="J214" s="125"/>
      <c r="K214" s="125"/>
      <c r="L214" s="125"/>
      <c r="M214" s="1"/>
      <c r="N214" s="125"/>
      <c r="O214" s="125"/>
      <c r="P214" s="125"/>
      <c r="Q214" s="125"/>
      <c r="R214" s="125"/>
      <c r="S214" s="125"/>
      <c r="T214" s="125"/>
      <c r="U214" s="125"/>
      <c r="V214" s="125"/>
      <c r="W214" s="125"/>
      <c r="X214" s="125"/>
      <c r="Y214" s="125"/>
      <c r="Z214" s="125"/>
      <c r="AA214" s="125"/>
      <c r="AB214" s="125"/>
      <c r="AC214" s="125"/>
      <c r="AD214" s="1"/>
      <c r="AE214" s="125"/>
      <c r="AF214" s="125"/>
      <c r="AG214" s="125"/>
      <c r="AH214" s="125"/>
      <c r="AI214" s="125"/>
      <c r="AJ214" s="125"/>
      <c r="AK214" s="125"/>
      <c r="AL214" s="125"/>
      <c r="AM214" s="125"/>
      <c r="AN214" s="125"/>
      <c r="AO214" s="125"/>
      <c r="AP214" s="125"/>
      <c r="AQ214" s="125"/>
    </row>
    <row r="215" spans="1:43" ht="15.75" customHeight="1">
      <c r="A215" s="125"/>
      <c r="B215" s="125"/>
      <c r="C215" s="125"/>
      <c r="D215" s="125"/>
      <c r="E215" s="125"/>
      <c r="F215" s="125"/>
      <c r="G215" s="125"/>
      <c r="H215" s="125"/>
      <c r="I215" s="125"/>
      <c r="J215" s="125"/>
      <c r="K215" s="125"/>
      <c r="L215" s="125"/>
      <c r="M215" s="1"/>
      <c r="N215" s="125"/>
      <c r="O215" s="125"/>
      <c r="P215" s="125"/>
      <c r="Q215" s="125"/>
      <c r="R215" s="125"/>
      <c r="S215" s="125"/>
      <c r="T215" s="125"/>
      <c r="U215" s="125"/>
      <c r="V215" s="125"/>
      <c r="W215" s="125"/>
      <c r="X215" s="125"/>
      <c r="Y215" s="125"/>
      <c r="Z215" s="125"/>
      <c r="AA215" s="125"/>
      <c r="AB215" s="125"/>
      <c r="AC215" s="125"/>
      <c r="AD215" s="1"/>
      <c r="AE215" s="125"/>
      <c r="AF215" s="125"/>
      <c r="AG215" s="125"/>
      <c r="AH215" s="125"/>
      <c r="AI215" s="125"/>
      <c r="AJ215" s="125"/>
      <c r="AK215" s="125"/>
      <c r="AL215" s="125"/>
      <c r="AM215" s="125"/>
      <c r="AN215" s="125"/>
      <c r="AO215" s="125"/>
      <c r="AP215" s="125"/>
      <c r="AQ215" s="125"/>
    </row>
    <row r="216" spans="1:43" ht="15.75" customHeight="1">
      <c r="A216" s="125"/>
      <c r="B216" s="125"/>
      <c r="C216" s="125"/>
      <c r="D216" s="125"/>
      <c r="E216" s="125"/>
      <c r="F216" s="125"/>
      <c r="G216" s="125"/>
      <c r="H216" s="125"/>
      <c r="I216" s="125"/>
      <c r="J216" s="125"/>
      <c r="K216" s="125"/>
      <c r="L216" s="125"/>
      <c r="M216" s="1"/>
      <c r="N216" s="125"/>
      <c r="O216" s="125"/>
      <c r="P216" s="125"/>
      <c r="Q216" s="125"/>
      <c r="R216" s="125"/>
      <c r="S216" s="125"/>
      <c r="T216" s="125"/>
      <c r="U216" s="125"/>
      <c r="V216" s="125"/>
      <c r="W216" s="125"/>
      <c r="X216" s="125"/>
      <c r="Y216" s="125"/>
      <c r="Z216" s="125"/>
      <c r="AA216" s="125"/>
      <c r="AB216" s="125"/>
      <c r="AC216" s="125"/>
      <c r="AD216" s="1"/>
      <c r="AE216" s="125"/>
      <c r="AF216" s="125"/>
      <c r="AG216" s="125"/>
      <c r="AH216" s="125"/>
      <c r="AI216" s="125"/>
      <c r="AJ216" s="125"/>
      <c r="AK216" s="125"/>
      <c r="AL216" s="125"/>
      <c r="AM216" s="125"/>
      <c r="AN216" s="125"/>
      <c r="AO216" s="125"/>
      <c r="AP216" s="125"/>
      <c r="AQ216" s="125"/>
    </row>
    <row r="217" spans="1:43" ht="15.75" customHeight="1">
      <c r="A217" s="125"/>
      <c r="B217" s="125"/>
      <c r="C217" s="125"/>
      <c r="D217" s="125"/>
      <c r="E217" s="125"/>
      <c r="F217" s="125"/>
      <c r="G217" s="125"/>
      <c r="H217" s="125"/>
      <c r="I217" s="125"/>
      <c r="J217" s="125"/>
      <c r="K217" s="125"/>
      <c r="L217" s="125"/>
      <c r="M217" s="1"/>
      <c r="N217" s="125"/>
      <c r="O217" s="125"/>
      <c r="P217" s="125"/>
      <c r="Q217" s="125"/>
      <c r="R217" s="125"/>
      <c r="S217" s="125"/>
      <c r="T217" s="125"/>
      <c r="U217" s="125"/>
      <c r="V217" s="125"/>
      <c r="W217" s="125"/>
      <c r="X217" s="125"/>
      <c r="Y217" s="125"/>
      <c r="Z217" s="125"/>
      <c r="AA217" s="125"/>
      <c r="AB217" s="125"/>
      <c r="AC217" s="125"/>
      <c r="AD217" s="1"/>
      <c r="AE217" s="125"/>
      <c r="AF217" s="125"/>
      <c r="AG217" s="125"/>
      <c r="AH217" s="125"/>
      <c r="AI217" s="125"/>
      <c r="AJ217" s="125"/>
      <c r="AK217" s="125"/>
      <c r="AL217" s="125"/>
      <c r="AM217" s="125"/>
      <c r="AN217" s="125"/>
      <c r="AO217" s="125"/>
      <c r="AP217" s="125"/>
      <c r="AQ217" s="125"/>
    </row>
    <row r="218" spans="1:43" ht="15.75" customHeight="1">
      <c r="A218" s="125"/>
      <c r="B218" s="125"/>
      <c r="C218" s="125"/>
      <c r="D218" s="125"/>
      <c r="E218" s="125"/>
      <c r="F218" s="125"/>
      <c r="G218" s="125"/>
      <c r="H218" s="125"/>
      <c r="I218" s="125"/>
      <c r="J218" s="125"/>
      <c r="K218" s="125"/>
      <c r="L218" s="125"/>
      <c r="M218" s="1"/>
      <c r="N218" s="125"/>
      <c r="O218" s="125"/>
      <c r="P218" s="125"/>
      <c r="Q218" s="125"/>
      <c r="R218" s="125"/>
      <c r="S218" s="125"/>
      <c r="T218" s="125"/>
      <c r="U218" s="125"/>
      <c r="V218" s="125"/>
      <c r="W218" s="125"/>
      <c r="X218" s="125"/>
      <c r="Y218" s="125"/>
      <c r="Z218" s="125"/>
      <c r="AA218" s="125"/>
      <c r="AB218" s="125"/>
      <c r="AC218" s="125"/>
      <c r="AD218" s="1"/>
      <c r="AE218" s="125"/>
      <c r="AF218" s="125"/>
      <c r="AG218" s="125"/>
      <c r="AH218" s="125"/>
      <c r="AI218" s="125"/>
      <c r="AJ218" s="125"/>
      <c r="AK218" s="125"/>
      <c r="AL218" s="125"/>
      <c r="AM218" s="125"/>
      <c r="AN218" s="125"/>
      <c r="AO218" s="125"/>
      <c r="AP218" s="125"/>
      <c r="AQ218" s="125"/>
    </row>
    <row r="219" spans="1:43" ht="15.75" customHeight="1">
      <c r="A219" s="125"/>
      <c r="B219" s="125"/>
      <c r="C219" s="125"/>
      <c r="D219" s="125"/>
      <c r="E219" s="125"/>
      <c r="F219" s="125"/>
      <c r="G219" s="125"/>
      <c r="H219" s="125"/>
      <c r="I219" s="125"/>
      <c r="J219" s="125"/>
      <c r="K219" s="125"/>
      <c r="L219" s="125"/>
      <c r="M219" s="1"/>
      <c r="N219" s="125"/>
      <c r="O219" s="125"/>
      <c r="P219" s="125"/>
      <c r="Q219" s="125"/>
      <c r="R219" s="125"/>
      <c r="S219" s="125"/>
      <c r="T219" s="125"/>
      <c r="U219" s="125"/>
      <c r="V219" s="125"/>
      <c r="W219" s="125"/>
      <c r="X219" s="125"/>
      <c r="Y219" s="125"/>
      <c r="Z219" s="125"/>
      <c r="AA219" s="125"/>
      <c r="AB219" s="125"/>
      <c r="AC219" s="125"/>
      <c r="AD219" s="1"/>
      <c r="AE219" s="125"/>
      <c r="AF219" s="125"/>
      <c r="AG219" s="125"/>
      <c r="AH219" s="125"/>
      <c r="AI219" s="125"/>
      <c r="AJ219" s="125"/>
      <c r="AK219" s="125"/>
      <c r="AL219" s="125"/>
      <c r="AM219" s="125"/>
      <c r="AN219" s="125"/>
      <c r="AO219" s="125"/>
      <c r="AP219" s="125"/>
      <c r="AQ219" s="125"/>
    </row>
    <row r="220" spans="1:43" ht="15.75" customHeight="1">
      <c r="A220" s="125"/>
      <c r="B220" s="125"/>
      <c r="C220" s="125"/>
      <c r="D220" s="125"/>
      <c r="E220" s="125"/>
      <c r="F220" s="125"/>
      <c r="G220" s="125"/>
      <c r="H220" s="125"/>
      <c r="I220" s="125"/>
      <c r="J220" s="125"/>
      <c r="K220" s="125"/>
      <c r="L220" s="125"/>
      <c r="M220" s="1"/>
      <c r="N220" s="125"/>
      <c r="O220" s="125"/>
      <c r="P220" s="125"/>
      <c r="Q220" s="125"/>
      <c r="R220" s="125"/>
      <c r="S220" s="125"/>
      <c r="T220" s="125"/>
      <c r="U220" s="125"/>
      <c r="V220" s="125"/>
      <c r="W220" s="125"/>
      <c r="X220" s="125"/>
      <c r="Y220" s="125"/>
      <c r="Z220" s="125"/>
      <c r="AA220" s="125"/>
      <c r="AB220" s="125"/>
      <c r="AC220" s="125"/>
      <c r="AD220" s="1"/>
      <c r="AE220" s="125"/>
      <c r="AF220" s="125"/>
      <c r="AG220" s="125"/>
      <c r="AH220" s="125"/>
      <c r="AI220" s="125"/>
      <c r="AJ220" s="125"/>
      <c r="AK220" s="125"/>
      <c r="AL220" s="125"/>
      <c r="AM220" s="125"/>
      <c r="AN220" s="125"/>
      <c r="AO220" s="125"/>
      <c r="AP220" s="125"/>
      <c r="AQ220" s="125"/>
    </row>
    <row r="221" spans="1:43" ht="15.75" customHeight="1">
      <c r="A221" s="125"/>
      <c r="B221" s="125"/>
      <c r="C221" s="125"/>
      <c r="D221" s="125"/>
      <c r="E221" s="125"/>
      <c r="F221" s="125"/>
      <c r="G221" s="125"/>
      <c r="H221" s="125"/>
      <c r="I221" s="125"/>
      <c r="J221" s="125"/>
      <c r="K221" s="125"/>
      <c r="L221" s="125"/>
      <c r="M221" s="1"/>
      <c r="N221" s="125"/>
      <c r="O221" s="125"/>
      <c r="P221" s="125"/>
      <c r="Q221" s="125"/>
      <c r="R221" s="125"/>
      <c r="S221" s="125"/>
      <c r="T221" s="125"/>
      <c r="U221" s="125"/>
      <c r="V221" s="125"/>
      <c r="W221" s="125"/>
      <c r="X221" s="125"/>
      <c r="Y221" s="125"/>
      <c r="Z221" s="125"/>
      <c r="AA221" s="125"/>
      <c r="AB221" s="125"/>
      <c r="AC221" s="125"/>
      <c r="AD221" s="1"/>
      <c r="AE221" s="125"/>
      <c r="AF221" s="125"/>
      <c r="AG221" s="125"/>
      <c r="AH221" s="125"/>
      <c r="AI221" s="125"/>
      <c r="AJ221" s="125"/>
      <c r="AK221" s="125"/>
      <c r="AL221" s="125"/>
      <c r="AM221" s="125"/>
      <c r="AN221" s="125"/>
      <c r="AO221" s="125"/>
      <c r="AP221" s="125"/>
      <c r="AQ221" s="125"/>
    </row>
    <row r="222" spans="1:43" ht="15.75" customHeight="1">
      <c r="A222" s="125"/>
      <c r="B222" s="125"/>
      <c r="C222" s="125"/>
      <c r="D222" s="125"/>
      <c r="E222" s="125"/>
      <c r="F222" s="125"/>
      <c r="G222" s="125"/>
      <c r="H222" s="125"/>
      <c r="I222" s="125"/>
      <c r="J222" s="125"/>
      <c r="K222" s="125"/>
      <c r="L222" s="125"/>
      <c r="M222" s="1"/>
      <c r="N222" s="125"/>
      <c r="O222" s="125"/>
      <c r="P222" s="125"/>
      <c r="Q222" s="125"/>
      <c r="R222" s="125"/>
      <c r="S222" s="125"/>
      <c r="T222" s="125"/>
      <c r="U222" s="125"/>
      <c r="V222" s="125"/>
      <c r="W222" s="125"/>
      <c r="X222" s="125"/>
      <c r="Y222" s="125"/>
      <c r="Z222" s="125"/>
      <c r="AA222" s="125"/>
      <c r="AB222" s="125"/>
      <c r="AC222" s="125"/>
      <c r="AD222" s="1"/>
      <c r="AE222" s="125"/>
      <c r="AF222" s="125"/>
      <c r="AG222" s="125"/>
      <c r="AH222" s="125"/>
      <c r="AI222" s="125"/>
      <c r="AJ222" s="125"/>
      <c r="AK222" s="125"/>
      <c r="AL222" s="125"/>
      <c r="AM222" s="125"/>
      <c r="AN222" s="125"/>
      <c r="AO222" s="125"/>
      <c r="AP222" s="125"/>
      <c r="AQ222" s="125"/>
    </row>
    <row r="223" spans="1:43" ht="15.75" customHeight="1">
      <c r="A223" s="125"/>
      <c r="B223" s="125"/>
      <c r="C223" s="125"/>
      <c r="D223" s="125"/>
      <c r="E223" s="125"/>
      <c r="F223" s="125"/>
      <c r="G223" s="125"/>
      <c r="H223" s="125"/>
      <c r="I223" s="125"/>
      <c r="J223" s="125"/>
      <c r="K223" s="125"/>
      <c r="L223" s="125"/>
      <c r="M223" s="1"/>
      <c r="N223" s="125"/>
      <c r="O223" s="125"/>
      <c r="P223" s="125"/>
      <c r="Q223" s="125"/>
      <c r="R223" s="125"/>
      <c r="S223" s="125"/>
      <c r="T223" s="125"/>
      <c r="U223" s="125"/>
      <c r="V223" s="125"/>
      <c r="W223" s="125"/>
      <c r="X223" s="125"/>
      <c r="Y223" s="125"/>
      <c r="Z223" s="125"/>
      <c r="AA223" s="125"/>
      <c r="AB223" s="125"/>
      <c r="AC223" s="125"/>
      <c r="AD223" s="1"/>
      <c r="AE223" s="125"/>
      <c r="AF223" s="125"/>
      <c r="AG223" s="125"/>
      <c r="AH223" s="125"/>
      <c r="AI223" s="125"/>
      <c r="AJ223" s="125"/>
      <c r="AK223" s="125"/>
      <c r="AL223" s="125"/>
      <c r="AM223" s="125"/>
      <c r="AN223" s="125"/>
      <c r="AO223" s="125"/>
      <c r="AP223" s="125"/>
      <c r="AQ223" s="125"/>
    </row>
    <row r="224" spans="1:43" ht="15.75" customHeight="1">
      <c r="A224" s="125"/>
      <c r="B224" s="125"/>
      <c r="C224" s="125"/>
      <c r="D224" s="125"/>
      <c r="E224" s="125"/>
      <c r="F224" s="125"/>
      <c r="G224" s="125"/>
      <c r="H224" s="125"/>
      <c r="I224" s="125"/>
      <c r="J224" s="125"/>
      <c r="K224" s="125"/>
      <c r="L224" s="125"/>
      <c r="M224" s="1"/>
      <c r="N224" s="125"/>
      <c r="O224" s="125"/>
      <c r="P224" s="125"/>
      <c r="Q224" s="125"/>
      <c r="R224" s="125"/>
      <c r="S224" s="125"/>
      <c r="T224" s="125"/>
      <c r="U224" s="125"/>
      <c r="V224" s="125"/>
      <c r="W224" s="125"/>
      <c r="X224" s="125"/>
      <c r="Y224" s="125"/>
      <c r="Z224" s="125"/>
      <c r="AA224" s="125"/>
      <c r="AB224" s="125"/>
      <c r="AC224" s="125"/>
      <c r="AD224" s="1"/>
      <c r="AE224" s="125"/>
      <c r="AF224" s="125"/>
      <c r="AG224" s="125"/>
      <c r="AH224" s="125"/>
      <c r="AI224" s="125"/>
      <c r="AJ224" s="125"/>
      <c r="AK224" s="125"/>
      <c r="AL224" s="125"/>
      <c r="AM224" s="125"/>
      <c r="AN224" s="125"/>
      <c r="AO224" s="125"/>
      <c r="AP224" s="125"/>
      <c r="AQ224" s="125"/>
    </row>
    <row r="225" spans="1:43" ht="15.75" customHeight="1">
      <c r="A225" s="125"/>
      <c r="B225" s="125"/>
      <c r="C225" s="125"/>
      <c r="D225" s="125"/>
      <c r="E225" s="125"/>
      <c r="F225" s="125"/>
      <c r="G225" s="125"/>
      <c r="H225" s="125"/>
      <c r="I225" s="125"/>
      <c r="J225" s="125"/>
      <c r="K225" s="125"/>
      <c r="L225" s="125"/>
      <c r="M225" s="1"/>
      <c r="N225" s="125"/>
      <c r="O225" s="125"/>
      <c r="P225" s="125"/>
      <c r="Q225" s="125"/>
      <c r="R225" s="125"/>
      <c r="S225" s="125"/>
      <c r="T225" s="125"/>
      <c r="U225" s="125"/>
      <c r="V225" s="125"/>
      <c r="W225" s="125"/>
      <c r="X225" s="125"/>
      <c r="Y225" s="125"/>
      <c r="Z225" s="125"/>
      <c r="AA225" s="125"/>
      <c r="AB225" s="125"/>
      <c r="AC225" s="125"/>
      <c r="AD225" s="1"/>
      <c r="AE225" s="125"/>
      <c r="AF225" s="125"/>
      <c r="AG225" s="125"/>
      <c r="AH225" s="125"/>
      <c r="AI225" s="125"/>
      <c r="AJ225" s="125"/>
      <c r="AK225" s="125"/>
      <c r="AL225" s="125"/>
      <c r="AM225" s="125"/>
      <c r="AN225" s="125"/>
      <c r="AO225" s="125"/>
      <c r="AP225" s="125"/>
      <c r="AQ225" s="125"/>
    </row>
    <row r="226" spans="1:43" ht="15.75" customHeight="1">
      <c r="A226" s="125"/>
      <c r="B226" s="125"/>
      <c r="C226" s="125"/>
      <c r="D226" s="125"/>
      <c r="E226" s="125"/>
      <c r="F226" s="125"/>
      <c r="G226" s="125"/>
      <c r="H226" s="125"/>
      <c r="I226" s="125"/>
      <c r="J226" s="125"/>
      <c r="K226" s="125"/>
      <c r="L226" s="125"/>
      <c r="M226" s="1"/>
      <c r="N226" s="125"/>
      <c r="O226" s="125"/>
      <c r="P226" s="125"/>
      <c r="Q226" s="125"/>
      <c r="R226" s="125"/>
      <c r="S226" s="125"/>
      <c r="T226" s="125"/>
      <c r="U226" s="125"/>
      <c r="V226" s="125"/>
      <c r="W226" s="125"/>
      <c r="X226" s="125"/>
      <c r="Y226" s="125"/>
      <c r="Z226" s="125"/>
      <c r="AA226" s="125"/>
      <c r="AB226" s="125"/>
      <c r="AC226" s="125"/>
      <c r="AD226" s="1"/>
      <c r="AE226" s="125"/>
      <c r="AF226" s="125"/>
      <c r="AG226" s="125"/>
      <c r="AH226" s="125"/>
      <c r="AI226" s="125"/>
      <c r="AJ226" s="125"/>
      <c r="AK226" s="125"/>
      <c r="AL226" s="125"/>
      <c r="AM226" s="125"/>
      <c r="AN226" s="125"/>
      <c r="AO226" s="125"/>
      <c r="AP226" s="125"/>
      <c r="AQ226" s="125"/>
    </row>
    <row r="227" spans="1:43" ht="15.75" customHeight="1">
      <c r="A227" s="125"/>
      <c r="B227" s="125"/>
      <c r="C227" s="125"/>
      <c r="D227" s="125"/>
      <c r="E227" s="125"/>
      <c r="F227" s="125"/>
      <c r="G227" s="125"/>
      <c r="H227" s="125"/>
      <c r="I227" s="125"/>
      <c r="J227" s="125"/>
      <c r="K227" s="125"/>
      <c r="L227" s="125"/>
      <c r="M227" s="1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"/>
      <c r="AE227" s="12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/>
      <c r="AQ227" s="125"/>
    </row>
    <row r="228" spans="1:43" ht="15.75" customHeight="1">
      <c r="A228" s="125"/>
      <c r="B228" s="125"/>
      <c r="C228" s="125"/>
      <c r="D228" s="125"/>
      <c r="E228" s="125"/>
      <c r="F228" s="125"/>
      <c r="G228" s="125"/>
      <c r="H228" s="125"/>
      <c r="I228" s="125"/>
      <c r="J228" s="125"/>
      <c r="K228" s="125"/>
      <c r="L228" s="125"/>
      <c r="M228" s="1"/>
      <c r="N228" s="125"/>
      <c r="O228" s="125"/>
      <c r="P228" s="125"/>
      <c r="Q228" s="125"/>
      <c r="R228" s="125"/>
      <c r="S228" s="125"/>
      <c r="T228" s="125"/>
      <c r="U228" s="125"/>
      <c r="V228" s="125"/>
      <c r="W228" s="125"/>
      <c r="X228" s="125"/>
      <c r="Y228" s="125"/>
      <c r="Z228" s="125"/>
      <c r="AA228" s="125"/>
      <c r="AB228" s="125"/>
      <c r="AC228" s="125"/>
      <c r="AD228" s="1"/>
      <c r="AE228" s="125"/>
      <c r="AF228" s="125"/>
      <c r="AG228" s="125"/>
      <c r="AH228" s="125"/>
      <c r="AI228" s="125"/>
      <c r="AJ228" s="125"/>
      <c r="AK228" s="125"/>
      <c r="AL228" s="125"/>
      <c r="AM228" s="125"/>
      <c r="AN228" s="125"/>
      <c r="AO228" s="125"/>
      <c r="AP228" s="125"/>
      <c r="AQ228" s="125"/>
    </row>
    <row r="229" spans="1:43" ht="15.75" customHeight="1">
      <c r="A229" s="125"/>
      <c r="B229" s="125"/>
      <c r="C229" s="125"/>
      <c r="D229" s="125"/>
      <c r="E229" s="125"/>
      <c r="F229" s="125"/>
      <c r="G229" s="125"/>
      <c r="H229" s="125"/>
      <c r="I229" s="125"/>
      <c r="J229" s="125"/>
      <c r="K229" s="125"/>
      <c r="L229" s="125"/>
      <c r="M229" s="1"/>
      <c r="N229" s="125"/>
      <c r="O229" s="125"/>
      <c r="P229" s="125"/>
      <c r="Q229" s="125"/>
      <c r="R229" s="125"/>
      <c r="S229" s="125"/>
      <c r="T229" s="125"/>
      <c r="U229" s="125"/>
      <c r="V229" s="125"/>
      <c r="W229" s="125"/>
      <c r="X229" s="125"/>
      <c r="Y229" s="125"/>
      <c r="Z229" s="125"/>
      <c r="AA229" s="125"/>
      <c r="AB229" s="125"/>
      <c r="AC229" s="125"/>
      <c r="AD229" s="1"/>
      <c r="AE229" s="125"/>
      <c r="AF229" s="125"/>
      <c r="AG229" s="125"/>
      <c r="AH229" s="125"/>
      <c r="AI229" s="125"/>
      <c r="AJ229" s="125"/>
      <c r="AK229" s="125"/>
      <c r="AL229" s="125"/>
      <c r="AM229" s="125"/>
      <c r="AN229" s="125"/>
      <c r="AO229" s="125"/>
      <c r="AP229" s="125"/>
      <c r="AQ229" s="125"/>
    </row>
    <row r="230" spans="1:43" ht="15.75" customHeight="1">
      <c r="A230" s="125"/>
      <c r="B230" s="125"/>
      <c r="C230" s="125"/>
      <c r="D230" s="125"/>
      <c r="E230" s="125"/>
      <c r="F230" s="125"/>
      <c r="G230" s="125"/>
      <c r="H230" s="125"/>
      <c r="I230" s="125"/>
      <c r="J230" s="125"/>
      <c r="K230" s="125"/>
      <c r="L230" s="125"/>
      <c r="M230" s="1"/>
      <c r="N230" s="125"/>
      <c r="O230" s="125"/>
      <c r="P230" s="125"/>
      <c r="Q230" s="125"/>
      <c r="R230" s="125"/>
      <c r="S230" s="125"/>
      <c r="T230" s="125"/>
      <c r="U230" s="125"/>
      <c r="V230" s="125"/>
      <c r="W230" s="125"/>
      <c r="X230" s="125"/>
      <c r="Y230" s="125"/>
      <c r="Z230" s="125"/>
      <c r="AA230" s="125"/>
      <c r="AB230" s="125"/>
      <c r="AC230" s="125"/>
      <c r="AD230" s="1"/>
      <c r="AE230" s="125"/>
      <c r="AF230" s="125"/>
      <c r="AG230" s="125"/>
      <c r="AH230" s="125"/>
      <c r="AI230" s="125"/>
      <c r="AJ230" s="125"/>
      <c r="AK230" s="125"/>
      <c r="AL230" s="125"/>
      <c r="AM230" s="125"/>
      <c r="AN230" s="125"/>
      <c r="AO230" s="125"/>
      <c r="AP230" s="125"/>
      <c r="AQ230" s="125"/>
    </row>
    <row r="231" spans="1:43" ht="15.75" customHeight="1">
      <c r="A231" s="125"/>
      <c r="B231" s="125"/>
      <c r="C231" s="125"/>
      <c r="D231" s="125"/>
      <c r="E231" s="125"/>
      <c r="F231" s="125"/>
      <c r="G231" s="125"/>
      <c r="H231" s="125"/>
      <c r="I231" s="125"/>
      <c r="J231" s="125"/>
      <c r="K231" s="125"/>
      <c r="L231" s="125"/>
      <c r="M231" s="1"/>
      <c r="N231" s="125"/>
      <c r="O231" s="125"/>
      <c r="P231" s="125"/>
      <c r="Q231" s="125"/>
      <c r="R231" s="125"/>
      <c r="S231" s="125"/>
      <c r="T231" s="125"/>
      <c r="U231" s="125"/>
      <c r="V231" s="125"/>
      <c r="W231" s="125"/>
      <c r="X231" s="125"/>
      <c r="Y231" s="125"/>
      <c r="Z231" s="125"/>
      <c r="AA231" s="125"/>
      <c r="AB231" s="125"/>
      <c r="AC231" s="125"/>
      <c r="AD231" s="1"/>
      <c r="AE231" s="1"/>
    </row>
    <row r="232" spans="1:43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4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43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43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43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43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43" ht="20.25" customHeight="1" thickBot="1">
      <c r="A238" s="133" t="s">
        <v>12</v>
      </c>
      <c r="B238" s="133"/>
      <c r="C238" s="133"/>
      <c r="D238" s="133"/>
      <c r="E238" s="133"/>
      <c r="F238" s="4"/>
      <c r="G238" s="5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1"/>
      <c r="Z238" s="1"/>
      <c r="AA238" s="1"/>
      <c r="AB238" s="1"/>
      <c r="AC238" s="1"/>
      <c r="AD238" s="1"/>
      <c r="AE238" s="1"/>
    </row>
    <row r="239" spans="1:43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43" ht="15.75" customHeight="1">
      <c r="A240" s="140" t="s">
        <v>43</v>
      </c>
      <c r="B240" s="140"/>
      <c r="C240" s="140"/>
      <c r="D240" s="140"/>
      <c r="E240" s="140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16073" ht="15.75" customHeight="1">
      <c r="A241" s="137" t="s">
        <v>44</v>
      </c>
      <c r="B241" s="137"/>
      <c r="C241" s="137"/>
      <c r="D241" s="137"/>
      <c r="E241" s="137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16073" ht="15.75" customHeight="1">
      <c r="A242" s="22"/>
      <c r="B242" s="22"/>
      <c r="C242" s="22"/>
      <c r="D242" s="22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16073" ht="15.75" customHeight="1">
      <c r="A243" s="132" t="s">
        <v>69</v>
      </c>
      <c r="B243" s="132"/>
      <c r="C243" s="132"/>
      <c r="D243" s="28" t="s">
        <v>72</v>
      </c>
      <c r="E243" s="28" t="s">
        <v>73</v>
      </c>
      <c r="F243" s="28" t="s">
        <v>70</v>
      </c>
      <c r="G243" s="29" t="s">
        <v>74</v>
      </c>
      <c r="H243" s="28" t="s">
        <v>75</v>
      </c>
      <c r="I243" s="28" t="s">
        <v>76</v>
      </c>
      <c r="J243" s="28" t="s">
        <v>77</v>
      </c>
      <c r="K243" s="28" t="s">
        <v>84</v>
      </c>
      <c r="L243" s="28" t="s">
        <v>85</v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16073" ht="15.75" customHeight="1">
      <c r="A244" s="132" t="s">
        <v>78</v>
      </c>
      <c r="B244" s="132"/>
      <c r="C244" s="132"/>
      <c r="D244" s="37"/>
      <c r="E244" s="37"/>
      <c r="F244" s="37"/>
      <c r="G244" s="30">
        <f>E$8</f>
        <v>0</v>
      </c>
      <c r="H244" s="31">
        <f>E$7</f>
        <v>0</v>
      </c>
      <c r="I244" s="28">
        <f>F244-G244</f>
        <v>0</v>
      </c>
      <c r="J244" s="28">
        <f>H244-D244</f>
        <v>0</v>
      </c>
      <c r="K244" s="34" t="e">
        <f t="shared" ref="K244:L246" si="11">I244/DUT_VOUT*100</f>
        <v>#DIV/0!</v>
      </c>
      <c r="L244" s="34" t="e">
        <f t="shared" si="11"/>
        <v>#DIV/0!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16073" ht="15.75" customHeight="1">
      <c r="A245" s="132" t="s">
        <v>79</v>
      </c>
      <c r="B245" s="132"/>
      <c r="C245" s="132"/>
      <c r="D245" s="37"/>
      <c r="E245" s="37"/>
      <c r="F245" s="37"/>
      <c r="G245" s="30">
        <f t="shared" ref="G245:G246" si="12">E$8</f>
        <v>0</v>
      </c>
      <c r="H245" s="31">
        <f t="shared" ref="H245:H246" si="13">E$7</f>
        <v>0</v>
      </c>
      <c r="I245" s="28">
        <f t="shared" ref="I245:I246" si="14">F245-G245</f>
        <v>0</v>
      </c>
      <c r="J245" s="28">
        <f t="shared" ref="J245:J246" si="15">H245-D245</f>
        <v>0</v>
      </c>
      <c r="K245" s="34" t="e">
        <f t="shared" si="11"/>
        <v>#DIV/0!</v>
      </c>
      <c r="L245" s="34" t="e">
        <f t="shared" si="11"/>
        <v>#DIV/0!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16073" ht="15.75" customHeight="1">
      <c r="A246" s="132" t="s">
        <v>80</v>
      </c>
      <c r="B246" s="132"/>
      <c r="C246" s="132"/>
      <c r="D246" s="37"/>
      <c r="E246" s="37"/>
      <c r="F246" s="37"/>
      <c r="G246" s="30">
        <f t="shared" si="12"/>
        <v>0</v>
      </c>
      <c r="H246" s="31">
        <f t="shared" si="13"/>
        <v>0</v>
      </c>
      <c r="I246" s="28">
        <f t="shared" si="14"/>
        <v>0</v>
      </c>
      <c r="J246" s="28">
        <f t="shared" si="15"/>
        <v>0</v>
      </c>
      <c r="K246" s="34" t="e">
        <f t="shared" si="11"/>
        <v>#DIV/0!</v>
      </c>
      <c r="L246" s="34" t="e">
        <f t="shared" si="11"/>
        <v>#DIV/0!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16073" ht="15.75" customHeight="1">
      <c r="A247" s="32"/>
      <c r="B247" s="32"/>
      <c r="C247" s="32"/>
      <c r="D247" s="32"/>
      <c r="E247" s="33"/>
      <c r="F247" s="33"/>
      <c r="G247" s="33"/>
      <c r="H247" s="33"/>
      <c r="I247" s="33"/>
      <c r="J247" s="33"/>
      <c r="K247" s="34"/>
      <c r="L247" s="34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16073" ht="15.75" customHeight="1">
      <c r="A248" s="132" t="s">
        <v>81</v>
      </c>
      <c r="B248" s="132"/>
      <c r="C248" s="132"/>
      <c r="D248" s="37"/>
      <c r="E248" s="37"/>
      <c r="F248" s="37"/>
      <c r="G248" s="30">
        <f>E$8</f>
        <v>0</v>
      </c>
      <c r="H248" s="31">
        <f>E$7</f>
        <v>0</v>
      </c>
      <c r="I248" s="28">
        <f>F248-G248</f>
        <v>0</v>
      </c>
      <c r="J248" s="28">
        <f>H248-D248</f>
        <v>0</v>
      </c>
      <c r="K248" s="34" t="e">
        <f t="shared" ref="K248:L250" si="16">I248/DUT_VOUT*100</f>
        <v>#DIV/0!</v>
      </c>
      <c r="L248" s="34" t="e">
        <f t="shared" si="16"/>
        <v>#DIV/0!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16073" ht="15.75" customHeight="1">
      <c r="A249" s="132" t="s">
        <v>82</v>
      </c>
      <c r="B249" s="132"/>
      <c r="C249" s="132"/>
      <c r="D249" s="37"/>
      <c r="E249" s="37"/>
      <c r="F249" s="37"/>
      <c r="G249" s="30">
        <f t="shared" ref="G249:G250" si="17">E$8</f>
        <v>0</v>
      </c>
      <c r="H249" s="31">
        <f t="shared" ref="H249:H250" si="18">E$7</f>
        <v>0</v>
      </c>
      <c r="I249" s="28">
        <f t="shared" ref="I249:I250" si="19">F249-G249</f>
        <v>0</v>
      </c>
      <c r="J249" s="28">
        <f t="shared" ref="J249:J250" si="20">H249-D249</f>
        <v>0</v>
      </c>
      <c r="K249" s="34" t="e">
        <f t="shared" si="16"/>
        <v>#DIV/0!</v>
      </c>
      <c r="L249" s="34" t="e">
        <f t="shared" si="16"/>
        <v>#DIV/0!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16073" ht="15.75" customHeight="1">
      <c r="A250" s="132" t="s">
        <v>83</v>
      </c>
      <c r="B250" s="132"/>
      <c r="C250" s="132"/>
      <c r="D250" s="37"/>
      <c r="E250" s="37"/>
      <c r="F250" s="37"/>
      <c r="G250" s="30">
        <f t="shared" si="17"/>
        <v>0</v>
      </c>
      <c r="H250" s="31">
        <f t="shared" si="18"/>
        <v>0</v>
      </c>
      <c r="I250" s="28">
        <f t="shared" si="19"/>
        <v>0</v>
      </c>
      <c r="J250" s="28">
        <f t="shared" si="20"/>
        <v>0</v>
      </c>
      <c r="K250" s="34" t="e">
        <f t="shared" si="16"/>
        <v>#DIV/0!</v>
      </c>
      <c r="L250" s="34" t="e">
        <f t="shared" si="16"/>
        <v>#DIV/0!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16073" ht="15.75" customHeight="1">
      <c r="A251" s="22"/>
      <c r="B251" s="22"/>
      <c r="C251" s="22"/>
      <c r="D251" s="22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16073" ht="15.75" customHeight="1">
      <c r="A252" s="22"/>
      <c r="B252" s="22"/>
      <c r="C252" s="22"/>
      <c r="D252" s="22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1607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  <c r="VA253" s="1"/>
      <c r="VB253" s="1"/>
      <c r="VC253" s="1"/>
      <c r="VD253" s="1"/>
      <c r="VE253" s="1"/>
      <c r="VF253" s="1"/>
      <c r="VG253" s="1"/>
      <c r="VH253" s="1"/>
      <c r="VI253" s="1"/>
      <c r="VJ253" s="1"/>
      <c r="VK253" s="1"/>
      <c r="VL253" s="1"/>
      <c r="VM253" s="1"/>
      <c r="VN253" s="1"/>
      <c r="VO253" s="1"/>
      <c r="VP253" s="1"/>
      <c r="VQ253" s="1"/>
      <c r="VR253" s="1"/>
      <c r="VS253" s="1"/>
      <c r="VT253" s="1"/>
      <c r="VU253" s="1"/>
      <c r="VV253" s="1"/>
      <c r="VW253" s="1"/>
      <c r="VX253" s="1"/>
      <c r="VY253" s="1"/>
      <c r="VZ253" s="1"/>
      <c r="WA253" s="1"/>
      <c r="WB253" s="1"/>
      <c r="WC253" s="1"/>
      <c r="WD253" s="1"/>
      <c r="WE253" s="1"/>
      <c r="WF253" s="1"/>
      <c r="WG253" s="1"/>
      <c r="WH253" s="1"/>
      <c r="WI253" s="1"/>
      <c r="WJ253" s="1"/>
      <c r="WK253" s="1"/>
      <c r="WL253" s="1"/>
      <c r="WM253" s="1"/>
      <c r="WN253" s="1"/>
      <c r="WO253" s="1"/>
      <c r="WP253" s="1"/>
      <c r="WQ253" s="1"/>
      <c r="WR253" s="1"/>
      <c r="WS253" s="1"/>
      <c r="WT253" s="1"/>
      <c r="WU253" s="1"/>
      <c r="WV253" s="1"/>
      <c r="WW253" s="1"/>
      <c r="WX253" s="1"/>
      <c r="WY253" s="1"/>
      <c r="WZ253" s="1"/>
      <c r="XA253" s="1"/>
      <c r="XB253" s="1"/>
      <c r="XC253" s="1"/>
      <c r="XD253" s="1"/>
      <c r="XE253" s="1"/>
      <c r="XF253" s="1"/>
      <c r="XG253" s="1"/>
      <c r="XH253" s="1"/>
      <c r="XI253" s="1"/>
      <c r="XJ253" s="1"/>
      <c r="XK253" s="1"/>
      <c r="XL253" s="1"/>
      <c r="XM253" s="1"/>
      <c r="XN253" s="1"/>
      <c r="XO253" s="1"/>
      <c r="XP253" s="1"/>
      <c r="XQ253" s="1"/>
      <c r="XR253" s="1"/>
      <c r="XS253" s="1"/>
      <c r="XT253" s="1"/>
      <c r="XU253" s="1"/>
      <c r="XV253" s="1"/>
      <c r="XW253" s="1"/>
      <c r="XX253" s="1"/>
      <c r="XY253" s="1"/>
      <c r="XZ253" s="1"/>
      <c r="YA253" s="1"/>
      <c r="YB253" s="1"/>
      <c r="YC253" s="1"/>
      <c r="YD253" s="1"/>
      <c r="YE253" s="1"/>
      <c r="YF253" s="1"/>
      <c r="YG253" s="1"/>
      <c r="YH253" s="1"/>
      <c r="YI253" s="1"/>
      <c r="YJ253" s="1"/>
      <c r="YK253" s="1"/>
      <c r="YL253" s="1"/>
      <c r="YM253" s="1"/>
      <c r="YN253" s="1"/>
      <c r="YO253" s="1"/>
      <c r="YP253" s="1"/>
      <c r="YQ253" s="1"/>
      <c r="YR253" s="1"/>
      <c r="YS253" s="1"/>
      <c r="YT253" s="1"/>
      <c r="YU253" s="1"/>
      <c r="YV253" s="1"/>
      <c r="YW253" s="1"/>
      <c r="YX253" s="1"/>
      <c r="YY253" s="1"/>
      <c r="YZ253" s="1"/>
      <c r="ZA253" s="1"/>
      <c r="ZB253" s="1"/>
      <c r="ZC253" s="1"/>
      <c r="ZD253" s="1"/>
      <c r="ZE253" s="1"/>
      <c r="ZF253" s="1"/>
      <c r="ZG253" s="1"/>
      <c r="ZH253" s="1"/>
      <c r="ZI253" s="1"/>
      <c r="ZJ253" s="1"/>
      <c r="ZK253" s="1"/>
      <c r="ZL253" s="1"/>
      <c r="ZM253" s="1"/>
      <c r="ZN253" s="1"/>
      <c r="ZO253" s="1"/>
      <c r="ZP253" s="1"/>
      <c r="ZQ253" s="1"/>
      <c r="ZR253" s="1"/>
      <c r="ZS253" s="1"/>
      <c r="ZT253" s="1"/>
      <c r="ZU253" s="1"/>
      <c r="ZV253" s="1"/>
      <c r="ZW253" s="1"/>
      <c r="ZX253" s="1"/>
      <c r="ZY253" s="1"/>
      <c r="ZZ253" s="1"/>
      <c r="AAA253" s="1"/>
      <c r="AAB253" s="1"/>
      <c r="AAC253" s="1"/>
      <c r="AAD253" s="1"/>
      <c r="AAE253" s="1"/>
      <c r="AAF253" s="1"/>
      <c r="AAG253" s="1"/>
      <c r="AAH253" s="1"/>
      <c r="AAI253" s="1"/>
      <c r="AAJ253" s="1"/>
      <c r="AAK253" s="1"/>
      <c r="AAL253" s="1"/>
      <c r="AAM253" s="1"/>
      <c r="AAN253" s="1"/>
      <c r="AAO253" s="1"/>
      <c r="AAP253" s="1"/>
      <c r="AAQ253" s="1"/>
      <c r="AAR253" s="1"/>
      <c r="AAS253" s="1"/>
      <c r="AAT253" s="1"/>
      <c r="AAU253" s="1"/>
      <c r="AAV253" s="1"/>
      <c r="AAW253" s="1"/>
      <c r="AAX253" s="1"/>
      <c r="AAY253" s="1"/>
      <c r="AAZ253" s="1"/>
      <c r="ABA253" s="1"/>
      <c r="ABB253" s="1"/>
      <c r="ABC253" s="1"/>
      <c r="ABD253" s="1"/>
      <c r="ABE253" s="1"/>
      <c r="ABF253" s="1"/>
      <c r="ABG253" s="1"/>
      <c r="ABH253" s="1"/>
      <c r="ABI253" s="1"/>
      <c r="ABJ253" s="1"/>
      <c r="ABK253" s="1"/>
      <c r="ABL253" s="1"/>
      <c r="ABM253" s="1"/>
      <c r="ABN253" s="1"/>
      <c r="ABO253" s="1"/>
      <c r="ABP253" s="1"/>
      <c r="ABQ253" s="1"/>
      <c r="ABR253" s="1"/>
      <c r="ABS253" s="1"/>
      <c r="ABT253" s="1"/>
      <c r="ABU253" s="1"/>
      <c r="ABV253" s="1"/>
      <c r="ABW253" s="1"/>
      <c r="ABX253" s="1"/>
      <c r="ABY253" s="1"/>
      <c r="ABZ253" s="1"/>
      <c r="ACA253" s="1"/>
      <c r="ACB253" s="1"/>
      <c r="ACC253" s="1"/>
      <c r="ACD253" s="1"/>
      <c r="ACE253" s="1"/>
      <c r="ACF253" s="1"/>
      <c r="ACG253" s="1"/>
      <c r="ACH253" s="1"/>
      <c r="ACI253" s="1"/>
      <c r="ACJ253" s="1"/>
      <c r="ACK253" s="1"/>
      <c r="ACL253" s="1"/>
      <c r="ACM253" s="1"/>
      <c r="ACN253" s="1"/>
      <c r="ACO253" s="1"/>
      <c r="ACP253" s="1"/>
      <c r="ACQ253" s="1"/>
      <c r="ACR253" s="1"/>
      <c r="ACS253" s="1"/>
      <c r="ACT253" s="1"/>
      <c r="ACU253" s="1"/>
      <c r="ACV253" s="1"/>
      <c r="ACW253" s="1"/>
      <c r="ACX253" s="1"/>
      <c r="ACY253" s="1"/>
      <c r="ACZ253" s="1"/>
      <c r="ADA253" s="1"/>
      <c r="ADB253" s="1"/>
      <c r="ADC253" s="1"/>
      <c r="ADD253" s="1"/>
      <c r="ADE253" s="1"/>
      <c r="ADF253" s="1"/>
      <c r="ADG253" s="1"/>
      <c r="ADH253" s="1"/>
      <c r="ADI253" s="1"/>
      <c r="ADJ253" s="1"/>
      <c r="ADK253" s="1"/>
      <c r="ADL253" s="1"/>
      <c r="ADM253" s="1"/>
      <c r="ADN253" s="1"/>
      <c r="ADO253" s="1"/>
      <c r="ADP253" s="1"/>
      <c r="ADQ253" s="1"/>
      <c r="ADR253" s="1"/>
      <c r="ADS253" s="1"/>
      <c r="ADT253" s="1"/>
      <c r="ADU253" s="1"/>
      <c r="ADV253" s="1"/>
      <c r="ADW253" s="1"/>
      <c r="ADX253" s="1"/>
      <c r="ADY253" s="1"/>
      <c r="ADZ253" s="1"/>
      <c r="AEA253" s="1"/>
      <c r="AEB253" s="1"/>
      <c r="AEC253" s="1"/>
      <c r="AED253" s="1"/>
      <c r="AEE253" s="1"/>
      <c r="AEF253" s="1"/>
      <c r="AEG253" s="1"/>
      <c r="AEH253" s="1"/>
      <c r="AEI253" s="1"/>
      <c r="AEJ253" s="1"/>
      <c r="AEK253" s="1"/>
      <c r="AEL253" s="1"/>
      <c r="AEM253" s="1"/>
      <c r="AEN253" s="1"/>
      <c r="AEO253" s="1"/>
      <c r="AEP253" s="1"/>
      <c r="AEQ253" s="1"/>
      <c r="AER253" s="1"/>
      <c r="AES253" s="1"/>
      <c r="AET253" s="1"/>
      <c r="AEU253" s="1"/>
      <c r="AEV253" s="1"/>
      <c r="AEW253" s="1"/>
      <c r="AEX253" s="1"/>
      <c r="AEY253" s="1"/>
      <c r="AEZ253" s="1"/>
      <c r="AFA253" s="1"/>
      <c r="AFB253" s="1"/>
      <c r="AFC253" s="1"/>
      <c r="AFD253" s="1"/>
      <c r="AFE253" s="1"/>
      <c r="AFF253" s="1"/>
      <c r="AFG253" s="1"/>
      <c r="AFH253" s="1"/>
      <c r="AFI253" s="1"/>
      <c r="AFJ253" s="1"/>
      <c r="AFK253" s="1"/>
      <c r="AFL253" s="1"/>
      <c r="AFM253" s="1"/>
      <c r="AFN253" s="1"/>
      <c r="AFO253" s="1"/>
      <c r="AFP253" s="1"/>
      <c r="AFQ253" s="1"/>
      <c r="AFR253" s="1"/>
      <c r="AFS253" s="1"/>
      <c r="AFT253" s="1"/>
      <c r="AFU253" s="1"/>
      <c r="AFV253" s="1"/>
      <c r="AFW253" s="1"/>
      <c r="AFX253" s="1"/>
      <c r="AFY253" s="1"/>
      <c r="AFZ253" s="1"/>
      <c r="AGA253" s="1"/>
      <c r="AGB253" s="1"/>
      <c r="AGC253" s="1"/>
      <c r="AGD253" s="1"/>
      <c r="AGE253" s="1"/>
      <c r="AGF253" s="1"/>
      <c r="AGG253" s="1"/>
      <c r="AGH253" s="1"/>
      <c r="AGI253" s="1"/>
      <c r="AGJ253" s="1"/>
      <c r="AGK253" s="1"/>
      <c r="AGL253" s="1"/>
      <c r="AGM253" s="1"/>
      <c r="AGN253" s="1"/>
      <c r="AGO253" s="1"/>
      <c r="AGP253" s="1"/>
      <c r="AGQ253" s="1"/>
      <c r="AGR253" s="1"/>
      <c r="AGS253" s="1"/>
      <c r="AGT253" s="1"/>
      <c r="AGU253" s="1"/>
      <c r="AGV253" s="1"/>
      <c r="AGW253" s="1"/>
      <c r="AGX253" s="1"/>
      <c r="AGY253" s="1"/>
      <c r="AGZ253" s="1"/>
      <c r="AHA253" s="1"/>
      <c r="AHB253" s="1"/>
      <c r="AHC253" s="1"/>
      <c r="AHD253" s="1"/>
      <c r="AHE253" s="1"/>
      <c r="AHF253" s="1"/>
      <c r="AHG253" s="1"/>
      <c r="AHH253" s="1"/>
      <c r="AHI253" s="1"/>
      <c r="AHJ253" s="1"/>
      <c r="AHK253" s="1"/>
      <c r="AHL253" s="1"/>
      <c r="AHM253" s="1"/>
      <c r="AHN253" s="1"/>
      <c r="AHO253" s="1"/>
      <c r="AHP253" s="1"/>
      <c r="AHQ253" s="1"/>
      <c r="AHR253" s="1"/>
      <c r="AHS253" s="1"/>
      <c r="AHT253" s="1"/>
      <c r="AHU253" s="1"/>
      <c r="AHV253" s="1"/>
      <c r="AHW253" s="1"/>
      <c r="AHX253" s="1"/>
      <c r="AHY253" s="1"/>
      <c r="AHZ253" s="1"/>
      <c r="AIA253" s="1"/>
      <c r="AIB253" s="1"/>
      <c r="AIC253" s="1"/>
      <c r="AID253" s="1"/>
      <c r="AIE253" s="1"/>
      <c r="AIF253" s="1"/>
      <c r="AIG253" s="1"/>
      <c r="AIH253" s="1"/>
      <c r="AII253" s="1"/>
      <c r="AIJ253" s="1"/>
      <c r="AIK253" s="1"/>
      <c r="AIL253" s="1"/>
      <c r="AIM253" s="1"/>
      <c r="AIN253" s="1"/>
      <c r="AIO253" s="1"/>
      <c r="AIP253" s="1"/>
      <c r="AIQ253" s="1"/>
      <c r="AIR253" s="1"/>
      <c r="AIS253" s="1"/>
      <c r="AIT253" s="1"/>
      <c r="AIU253" s="1"/>
      <c r="AIV253" s="1"/>
      <c r="AIW253" s="1"/>
      <c r="AIX253" s="1"/>
      <c r="AIY253" s="1"/>
      <c r="AIZ253" s="1"/>
      <c r="AJA253" s="1"/>
      <c r="AJB253" s="1"/>
      <c r="AJC253" s="1"/>
      <c r="AJD253" s="1"/>
      <c r="AJE253" s="1"/>
      <c r="AJF253" s="1"/>
      <c r="AJG253" s="1"/>
      <c r="AJH253" s="1"/>
      <c r="AJI253" s="1"/>
      <c r="AJJ253" s="1"/>
      <c r="AJK253" s="1"/>
      <c r="AJL253" s="1"/>
      <c r="AJM253" s="1"/>
      <c r="AJN253" s="1"/>
      <c r="AJO253" s="1"/>
      <c r="AJP253" s="1"/>
      <c r="AJQ253" s="1"/>
      <c r="AJR253" s="1"/>
      <c r="AJS253" s="1"/>
      <c r="AJT253" s="1"/>
      <c r="AJU253" s="1"/>
      <c r="AJV253" s="1"/>
      <c r="AJW253" s="1"/>
      <c r="AJX253" s="1"/>
      <c r="AJY253" s="1"/>
      <c r="AJZ253" s="1"/>
      <c r="AKA253" s="1"/>
      <c r="AKB253" s="1"/>
      <c r="AKC253" s="1"/>
      <c r="AKD253" s="1"/>
      <c r="AKE253" s="1"/>
      <c r="AKF253" s="1"/>
      <c r="AKG253" s="1"/>
      <c r="AKH253" s="1"/>
      <c r="AKI253" s="1"/>
      <c r="AKJ253" s="1"/>
      <c r="AKK253" s="1"/>
      <c r="AKL253" s="1"/>
      <c r="AKM253" s="1"/>
      <c r="AKN253" s="1"/>
      <c r="AKO253" s="1"/>
      <c r="AKP253" s="1"/>
      <c r="AKQ253" s="1"/>
      <c r="AKR253" s="1"/>
      <c r="AKS253" s="1"/>
      <c r="AKT253" s="1"/>
      <c r="AKU253" s="1"/>
      <c r="AKV253" s="1"/>
      <c r="AKW253" s="1"/>
      <c r="AKX253" s="1"/>
      <c r="AKY253" s="1"/>
      <c r="AKZ253" s="1"/>
      <c r="ALA253" s="1"/>
      <c r="ALB253" s="1"/>
      <c r="ALC253" s="1"/>
      <c r="ALD253" s="1"/>
      <c r="ALE253" s="1"/>
      <c r="ALF253" s="1"/>
      <c r="ALG253" s="1"/>
      <c r="ALH253" s="1"/>
      <c r="ALI253" s="1"/>
      <c r="ALJ253" s="1"/>
      <c r="ALK253" s="1"/>
      <c r="ALL253" s="1"/>
      <c r="ALM253" s="1"/>
      <c r="ALN253" s="1"/>
      <c r="ALO253" s="1"/>
      <c r="ALP253" s="1"/>
      <c r="ALQ253" s="1"/>
      <c r="ALR253" s="1"/>
      <c r="ALS253" s="1"/>
      <c r="ALT253" s="1"/>
      <c r="ALU253" s="1"/>
      <c r="ALV253" s="1"/>
      <c r="ALW253" s="1"/>
      <c r="ALX253" s="1"/>
      <c r="ALY253" s="1"/>
      <c r="ALZ253" s="1"/>
      <c r="AMA253" s="1"/>
      <c r="AMB253" s="1"/>
      <c r="AMC253" s="1"/>
      <c r="AMD253" s="1"/>
      <c r="AME253" s="1"/>
      <c r="AMF253" s="1"/>
      <c r="AMG253" s="1"/>
      <c r="AMH253" s="1"/>
      <c r="AMI253" s="1"/>
      <c r="AMJ253" s="1"/>
      <c r="AMK253" s="1"/>
      <c r="AML253" s="1"/>
      <c r="AMM253" s="1"/>
      <c r="AMN253" s="1"/>
      <c r="AMO253" s="1"/>
      <c r="AMP253" s="1"/>
      <c r="AMQ253" s="1"/>
      <c r="AMR253" s="1"/>
      <c r="AMS253" s="1"/>
      <c r="AMT253" s="1"/>
      <c r="AMU253" s="1"/>
      <c r="AMV253" s="1"/>
      <c r="AMW253" s="1"/>
      <c r="AMX253" s="1"/>
      <c r="AMY253" s="1"/>
      <c r="AMZ253" s="1"/>
      <c r="ANA253" s="1"/>
      <c r="ANB253" s="1"/>
      <c r="ANC253" s="1"/>
      <c r="AND253" s="1"/>
      <c r="ANE253" s="1"/>
      <c r="ANF253" s="1"/>
      <c r="ANG253" s="1"/>
      <c r="ANH253" s="1"/>
      <c r="ANI253" s="1"/>
      <c r="ANJ253" s="1"/>
      <c r="ANK253" s="1"/>
      <c r="ANL253" s="1"/>
      <c r="ANM253" s="1"/>
      <c r="ANN253" s="1"/>
      <c r="ANO253" s="1"/>
      <c r="ANP253" s="1"/>
      <c r="ANQ253" s="1"/>
      <c r="ANR253" s="1"/>
      <c r="ANS253" s="1"/>
      <c r="ANT253" s="1"/>
      <c r="ANU253" s="1"/>
      <c r="ANV253" s="1"/>
      <c r="ANW253" s="1"/>
      <c r="ANX253" s="1"/>
      <c r="ANY253" s="1"/>
      <c r="ANZ253" s="1"/>
      <c r="AOA253" s="1"/>
      <c r="AOB253" s="1"/>
      <c r="AOC253" s="1"/>
      <c r="AOD253" s="1"/>
      <c r="AOE253" s="1"/>
      <c r="AOF253" s="1"/>
      <c r="AOG253" s="1"/>
      <c r="AOH253" s="1"/>
      <c r="AOI253" s="1"/>
      <c r="AOJ253" s="1"/>
      <c r="AOK253" s="1"/>
      <c r="AOL253" s="1"/>
      <c r="AOM253" s="1"/>
      <c r="AON253" s="1"/>
      <c r="AOO253" s="1"/>
      <c r="AOP253" s="1"/>
      <c r="AOQ253" s="1"/>
      <c r="AOR253" s="1"/>
      <c r="AOS253" s="1"/>
      <c r="AOT253" s="1"/>
      <c r="AOU253" s="1"/>
      <c r="AOV253" s="1"/>
      <c r="AOW253" s="1"/>
      <c r="AOX253" s="1"/>
      <c r="AOY253" s="1"/>
      <c r="AOZ253" s="1"/>
      <c r="APA253" s="1"/>
      <c r="APB253" s="1"/>
      <c r="APC253" s="1"/>
      <c r="APD253" s="1"/>
      <c r="APE253" s="1"/>
      <c r="APF253" s="1"/>
      <c r="APG253" s="1"/>
      <c r="APH253" s="1"/>
      <c r="API253" s="1"/>
      <c r="APJ253" s="1"/>
      <c r="APK253" s="1"/>
      <c r="APL253" s="1"/>
      <c r="APM253" s="1"/>
      <c r="APN253" s="1"/>
      <c r="APO253" s="1"/>
      <c r="APP253" s="1"/>
      <c r="APQ253" s="1"/>
      <c r="APR253" s="1"/>
      <c r="APS253" s="1"/>
      <c r="APT253" s="1"/>
      <c r="APU253" s="1"/>
      <c r="APV253" s="1"/>
      <c r="APW253" s="1"/>
      <c r="APX253" s="1"/>
      <c r="APY253" s="1"/>
      <c r="APZ253" s="1"/>
      <c r="AQA253" s="1"/>
      <c r="AQB253" s="1"/>
      <c r="AQC253" s="1"/>
      <c r="AQD253" s="1"/>
      <c r="AQE253" s="1"/>
      <c r="AQF253" s="1"/>
      <c r="AQG253" s="1"/>
      <c r="AQH253" s="1"/>
      <c r="AQI253" s="1"/>
      <c r="AQJ253" s="1"/>
      <c r="AQK253" s="1"/>
      <c r="AQL253" s="1"/>
      <c r="AQM253" s="1"/>
      <c r="AQN253" s="1"/>
      <c r="AQO253" s="1"/>
      <c r="AQP253" s="1"/>
      <c r="AQQ253" s="1"/>
      <c r="AQR253" s="1"/>
      <c r="AQS253" s="1"/>
      <c r="AQT253" s="1"/>
      <c r="AQU253" s="1"/>
      <c r="AQV253" s="1"/>
      <c r="AQW253" s="1"/>
      <c r="AQX253" s="1"/>
      <c r="AQY253" s="1"/>
      <c r="AQZ253" s="1"/>
      <c r="ARA253" s="1"/>
      <c r="ARB253" s="1"/>
      <c r="ARC253" s="1"/>
      <c r="ARD253" s="1"/>
      <c r="ARE253" s="1"/>
      <c r="ARF253" s="1"/>
      <c r="ARG253" s="1"/>
      <c r="ARH253" s="1"/>
      <c r="ARI253" s="1"/>
      <c r="ARJ253" s="1"/>
      <c r="ARK253" s="1"/>
      <c r="ARL253" s="1"/>
      <c r="ARM253" s="1"/>
      <c r="ARN253" s="1"/>
      <c r="ARO253" s="1"/>
      <c r="ARP253" s="1"/>
      <c r="ARQ253" s="1"/>
      <c r="ARR253" s="1"/>
      <c r="ARS253" s="1"/>
      <c r="ART253" s="1"/>
      <c r="ARU253" s="1"/>
      <c r="ARV253" s="1"/>
      <c r="ARW253" s="1"/>
      <c r="ARX253" s="1"/>
      <c r="ARY253" s="1"/>
      <c r="ARZ253" s="1"/>
      <c r="ASA253" s="1"/>
      <c r="ASB253" s="1"/>
      <c r="ASC253" s="1"/>
      <c r="ASD253" s="1"/>
      <c r="ASE253" s="1"/>
      <c r="ASF253" s="1"/>
      <c r="ASG253" s="1"/>
      <c r="ASH253" s="1"/>
      <c r="ASI253" s="1"/>
      <c r="ASJ253" s="1"/>
      <c r="ASK253" s="1"/>
      <c r="ASL253" s="1"/>
      <c r="ASM253" s="1"/>
      <c r="ASN253" s="1"/>
      <c r="ASO253" s="1"/>
      <c r="ASP253" s="1"/>
      <c r="ASQ253" s="1"/>
      <c r="ASR253" s="1"/>
      <c r="ASS253" s="1"/>
      <c r="AST253" s="1"/>
      <c r="ASU253" s="1"/>
      <c r="ASV253" s="1"/>
      <c r="ASW253" s="1"/>
      <c r="ASX253" s="1"/>
      <c r="ASY253" s="1"/>
      <c r="ASZ253" s="1"/>
      <c r="ATA253" s="1"/>
      <c r="ATB253" s="1"/>
      <c r="ATC253" s="1"/>
      <c r="ATD253" s="1"/>
      <c r="ATE253" s="1"/>
      <c r="ATF253" s="1"/>
      <c r="ATG253" s="1"/>
      <c r="ATH253" s="1"/>
      <c r="ATI253" s="1"/>
      <c r="ATJ253" s="1"/>
      <c r="ATK253" s="1"/>
      <c r="ATL253" s="1"/>
      <c r="ATM253" s="1"/>
      <c r="ATN253" s="1"/>
      <c r="ATO253" s="1"/>
      <c r="ATP253" s="1"/>
      <c r="ATQ253" s="1"/>
      <c r="ATR253" s="1"/>
      <c r="ATS253" s="1"/>
      <c r="ATT253" s="1"/>
      <c r="ATU253" s="1"/>
      <c r="ATV253" s="1"/>
      <c r="ATW253" s="1"/>
      <c r="ATX253" s="1"/>
      <c r="ATY253" s="1"/>
      <c r="ATZ253" s="1"/>
      <c r="AUA253" s="1"/>
      <c r="AUB253" s="1"/>
      <c r="AUC253" s="1"/>
      <c r="AUD253" s="1"/>
      <c r="AUE253" s="1"/>
      <c r="AUF253" s="1"/>
      <c r="AUG253" s="1"/>
      <c r="AUH253" s="1"/>
      <c r="AUI253" s="1"/>
      <c r="AUJ253" s="1"/>
      <c r="AUK253" s="1"/>
      <c r="AUL253" s="1"/>
      <c r="AUM253" s="1"/>
      <c r="AUN253" s="1"/>
      <c r="AUO253" s="1"/>
      <c r="AUP253" s="1"/>
      <c r="AUQ253" s="1"/>
      <c r="AUR253" s="1"/>
      <c r="AUS253" s="1"/>
      <c r="AUT253" s="1"/>
      <c r="AUU253" s="1"/>
      <c r="AUV253" s="1"/>
      <c r="AUW253" s="1"/>
      <c r="AUX253" s="1"/>
      <c r="AUY253" s="1"/>
      <c r="AUZ253" s="1"/>
      <c r="AVA253" s="1"/>
      <c r="AVB253" s="1"/>
      <c r="AVC253" s="1"/>
      <c r="AVD253" s="1"/>
      <c r="AVE253" s="1"/>
      <c r="AVF253" s="1"/>
      <c r="AVG253" s="1"/>
      <c r="AVH253" s="1"/>
      <c r="AVI253" s="1"/>
      <c r="AVJ253" s="1"/>
      <c r="AVK253" s="1"/>
      <c r="AVL253" s="1"/>
      <c r="AVM253" s="1"/>
      <c r="AVN253" s="1"/>
      <c r="AVO253" s="1"/>
      <c r="AVP253" s="1"/>
      <c r="AVQ253" s="1"/>
      <c r="AVR253" s="1"/>
      <c r="AVS253" s="1"/>
      <c r="AVT253" s="1"/>
      <c r="AVU253" s="1"/>
      <c r="AVV253" s="1"/>
      <c r="AVW253" s="1"/>
      <c r="AVX253" s="1"/>
      <c r="AVY253" s="1"/>
      <c r="AVZ253" s="1"/>
      <c r="AWA253" s="1"/>
      <c r="AWB253" s="1"/>
      <c r="AWC253" s="1"/>
      <c r="AWD253" s="1"/>
      <c r="AWE253" s="1"/>
      <c r="AWF253" s="1"/>
      <c r="AWG253" s="1"/>
      <c r="AWH253" s="1"/>
      <c r="AWI253" s="1"/>
      <c r="AWJ253" s="1"/>
      <c r="AWK253" s="1"/>
      <c r="AWL253" s="1"/>
      <c r="AWM253" s="1"/>
      <c r="AWN253" s="1"/>
      <c r="AWO253" s="1"/>
      <c r="AWP253" s="1"/>
      <c r="AWQ253" s="1"/>
      <c r="AWR253" s="1"/>
      <c r="AWS253" s="1"/>
      <c r="AWT253" s="1"/>
      <c r="AWU253" s="1"/>
      <c r="AWV253" s="1"/>
      <c r="AWW253" s="1"/>
      <c r="AWX253" s="1"/>
      <c r="AWY253" s="1"/>
      <c r="AWZ253" s="1"/>
      <c r="AXA253" s="1"/>
      <c r="AXB253" s="1"/>
      <c r="AXC253" s="1"/>
      <c r="AXD253" s="1"/>
      <c r="AXE253" s="1"/>
      <c r="AXF253" s="1"/>
      <c r="AXG253" s="1"/>
      <c r="AXH253" s="1"/>
      <c r="AXI253" s="1"/>
      <c r="AXJ253" s="1"/>
      <c r="AXK253" s="1"/>
      <c r="AXL253" s="1"/>
      <c r="AXM253" s="1"/>
      <c r="AXN253" s="1"/>
      <c r="AXO253" s="1"/>
      <c r="AXP253" s="1"/>
      <c r="AXQ253" s="1"/>
      <c r="AXR253" s="1"/>
      <c r="AXS253" s="1"/>
      <c r="AXT253" s="1"/>
      <c r="AXU253" s="1"/>
      <c r="AXV253" s="1"/>
      <c r="AXW253" s="1"/>
      <c r="AXX253" s="1"/>
      <c r="AXY253" s="1"/>
      <c r="AXZ253" s="1"/>
      <c r="AYA253" s="1"/>
      <c r="AYB253" s="1"/>
      <c r="AYC253" s="1"/>
      <c r="AYD253" s="1"/>
      <c r="AYE253" s="1"/>
      <c r="AYF253" s="1"/>
      <c r="AYG253" s="1"/>
      <c r="AYH253" s="1"/>
      <c r="AYI253" s="1"/>
      <c r="AYJ253" s="1"/>
      <c r="AYK253" s="1"/>
      <c r="AYL253" s="1"/>
      <c r="AYM253" s="1"/>
      <c r="AYN253" s="1"/>
      <c r="AYO253" s="1"/>
      <c r="AYP253" s="1"/>
      <c r="AYQ253" s="1"/>
      <c r="AYR253" s="1"/>
      <c r="AYS253" s="1"/>
      <c r="AYT253" s="1"/>
      <c r="AYU253" s="1"/>
      <c r="AYV253" s="1"/>
      <c r="AYW253" s="1"/>
      <c r="AYX253" s="1"/>
      <c r="AYY253" s="1"/>
      <c r="AYZ253" s="1"/>
      <c r="AZA253" s="1"/>
      <c r="AZB253" s="1"/>
      <c r="AZC253" s="1"/>
      <c r="AZD253" s="1"/>
      <c r="AZE253" s="1"/>
      <c r="AZF253" s="1"/>
      <c r="AZG253" s="1"/>
      <c r="AZH253" s="1"/>
      <c r="AZI253" s="1"/>
      <c r="AZJ253" s="1"/>
      <c r="AZK253" s="1"/>
      <c r="AZL253" s="1"/>
      <c r="AZM253" s="1"/>
      <c r="AZN253" s="1"/>
      <c r="AZO253" s="1"/>
      <c r="AZP253" s="1"/>
      <c r="AZQ253" s="1"/>
      <c r="AZR253" s="1"/>
      <c r="AZS253" s="1"/>
      <c r="AZT253" s="1"/>
      <c r="AZU253" s="1"/>
      <c r="AZV253" s="1"/>
      <c r="AZW253" s="1"/>
      <c r="AZX253" s="1"/>
      <c r="AZY253" s="1"/>
      <c r="AZZ253" s="1"/>
      <c r="BAA253" s="1"/>
      <c r="BAB253" s="1"/>
      <c r="BAC253" s="1"/>
      <c r="BAD253" s="1"/>
      <c r="BAE253" s="1"/>
      <c r="BAF253" s="1"/>
      <c r="BAG253" s="1"/>
      <c r="BAH253" s="1"/>
      <c r="BAI253" s="1"/>
      <c r="BAJ253" s="1"/>
      <c r="BAK253" s="1"/>
      <c r="BAL253" s="1"/>
      <c r="BAM253" s="1"/>
      <c r="BAN253" s="1"/>
      <c r="BAO253" s="1"/>
      <c r="BAP253" s="1"/>
      <c r="BAQ253" s="1"/>
      <c r="BAR253" s="1"/>
      <c r="BAS253" s="1"/>
      <c r="BAT253" s="1"/>
      <c r="BAU253" s="1"/>
      <c r="BAV253" s="1"/>
      <c r="BAW253" s="1"/>
      <c r="BAX253" s="1"/>
      <c r="BAY253" s="1"/>
      <c r="BAZ253" s="1"/>
      <c r="BBA253" s="1"/>
      <c r="BBB253" s="1"/>
      <c r="BBC253" s="1"/>
      <c r="BBD253" s="1"/>
      <c r="BBE253" s="1"/>
      <c r="BBF253" s="1"/>
      <c r="BBG253" s="1"/>
      <c r="BBH253" s="1"/>
      <c r="BBI253" s="1"/>
      <c r="BBJ253" s="1"/>
      <c r="BBK253" s="1"/>
      <c r="BBL253" s="1"/>
      <c r="BBM253" s="1"/>
      <c r="BBN253" s="1"/>
      <c r="BBO253" s="1"/>
      <c r="BBP253" s="1"/>
      <c r="BBQ253" s="1"/>
      <c r="BBR253" s="1"/>
      <c r="BBS253" s="1"/>
      <c r="BBT253" s="1"/>
      <c r="BBU253" s="1"/>
      <c r="BBV253" s="1"/>
      <c r="BBW253" s="1"/>
      <c r="BBX253" s="1"/>
      <c r="BBY253" s="1"/>
      <c r="BBZ253" s="1"/>
      <c r="BCA253" s="1"/>
      <c r="BCB253" s="1"/>
      <c r="BCC253" s="1"/>
      <c r="BCD253" s="1"/>
      <c r="BCE253" s="1"/>
      <c r="BCF253" s="1"/>
      <c r="BCG253" s="1"/>
      <c r="BCH253" s="1"/>
      <c r="BCI253" s="1"/>
      <c r="BCJ253" s="1"/>
      <c r="BCK253" s="1"/>
      <c r="BCL253" s="1"/>
      <c r="BCM253" s="1"/>
      <c r="BCN253" s="1"/>
      <c r="BCO253" s="1"/>
      <c r="BCP253" s="1"/>
      <c r="BCQ253" s="1"/>
      <c r="BCR253" s="1"/>
      <c r="BCS253" s="1"/>
      <c r="BCT253" s="1"/>
      <c r="BCU253" s="1"/>
      <c r="BCV253" s="1"/>
      <c r="BCW253" s="1"/>
      <c r="BCX253" s="1"/>
      <c r="BCY253" s="1"/>
      <c r="BCZ253" s="1"/>
      <c r="BDA253" s="1"/>
      <c r="BDB253" s="1"/>
      <c r="BDC253" s="1"/>
      <c r="BDD253" s="1"/>
      <c r="BDE253" s="1"/>
      <c r="BDF253" s="1"/>
      <c r="BDG253" s="1"/>
      <c r="BDH253" s="1"/>
      <c r="BDI253" s="1"/>
      <c r="BDJ253" s="1"/>
      <c r="BDK253" s="1"/>
      <c r="BDL253" s="1"/>
      <c r="BDM253" s="1"/>
      <c r="BDN253" s="1"/>
      <c r="BDO253" s="1"/>
      <c r="BDP253" s="1"/>
      <c r="BDQ253" s="1"/>
      <c r="BDR253" s="1"/>
      <c r="BDS253" s="1"/>
      <c r="BDT253" s="1"/>
      <c r="BDU253" s="1"/>
      <c r="BDV253" s="1"/>
      <c r="BDW253" s="1"/>
      <c r="BDX253" s="1"/>
      <c r="BDY253" s="1"/>
      <c r="BDZ253" s="1"/>
      <c r="BEA253" s="1"/>
      <c r="BEB253" s="1"/>
      <c r="BEC253" s="1"/>
      <c r="BED253" s="1"/>
      <c r="BEE253" s="1"/>
      <c r="BEF253" s="1"/>
      <c r="BEG253" s="1"/>
      <c r="BEH253" s="1"/>
      <c r="BEI253" s="1"/>
      <c r="BEJ253" s="1"/>
      <c r="BEK253" s="1"/>
      <c r="BEL253" s="1"/>
      <c r="BEM253" s="1"/>
      <c r="BEN253" s="1"/>
      <c r="BEO253" s="1"/>
      <c r="BEP253" s="1"/>
      <c r="BEQ253" s="1"/>
      <c r="BER253" s="1"/>
      <c r="BES253" s="1"/>
      <c r="BET253" s="1"/>
      <c r="BEU253" s="1"/>
      <c r="BEV253" s="1"/>
      <c r="BEW253" s="1"/>
      <c r="BEX253" s="1"/>
      <c r="BEY253" s="1"/>
      <c r="BEZ253" s="1"/>
      <c r="BFA253" s="1"/>
      <c r="BFB253" s="1"/>
      <c r="BFC253" s="1"/>
      <c r="BFD253" s="1"/>
      <c r="BFE253" s="1"/>
      <c r="BFF253" s="1"/>
      <c r="BFG253" s="1"/>
      <c r="BFH253" s="1"/>
      <c r="BFI253" s="1"/>
      <c r="BFJ253" s="1"/>
      <c r="BFK253" s="1"/>
      <c r="BFL253" s="1"/>
      <c r="BFM253" s="1"/>
      <c r="BFN253" s="1"/>
      <c r="BFO253" s="1"/>
      <c r="BFP253" s="1"/>
      <c r="BFQ253" s="1"/>
      <c r="BFR253" s="1"/>
      <c r="BFS253" s="1"/>
      <c r="BFT253" s="1"/>
      <c r="BFU253" s="1"/>
      <c r="BFV253" s="1"/>
      <c r="BFW253" s="1"/>
      <c r="BFX253" s="1"/>
      <c r="BFY253" s="1"/>
      <c r="BFZ253" s="1"/>
      <c r="BGA253" s="1"/>
      <c r="BGB253" s="1"/>
      <c r="BGC253" s="1"/>
      <c r="BGD253" s="1"/>
      <c r="BGE253" s="1"/>
      <c r="BGF253" s="1"/>
      <c r="BGG253" s="1"/>
      <c r="BGH253" s="1"/>
      <c r="BGI253" s="1"/>
      <c r="BGJ253" s="1"/>
      <c r="BGK253" s="1"/>
      <c r="BGL253" s="1"/>
      <c r="BGM253" s="1"/>
      <c r="BGN253" s="1"/>
      <c r="BGO253" s="1"/>
      <c r="BGP253" s="1"/>
      <c r="BGQ253" s="1"/>
      <c r="BGR253" s="1"/>
      <c r="BGS253" s="1"/>
      <c r="BGT253" s="1"/>
      <c r="BGU253" s="1"/>
      <c r="BGV253" s="1"/>
      <c r="BGW253" s="1"/>
      <c r="BGX253" s="1"/>
      <c r="BGY253" s="1"/>
      <c r="BGZ253" s="1"/>
      <c r="BHA253" s="1"/>
      <c r="BHB253" s="1"/>
      <c r="BHC253" s="1"/>
      <c r="BHD253" s="1"/>
      <c r="BHE253" s="1"/>
      <c r="BHF253" s="1"/>
      <c r="BHG253" s="1"/>
      <c r="BHH253" s="1"/>
      <c r="BHI253" s="1"/>
      <c r="BHJ253" s="1"/>
      <c r="BHK253" s="1"/>
      <c r="BHL253" s="1"/>
      <c r="BHM253" s="1"/>
      <c r="BHN253" s="1"/>
      <c r="BHO253" s="1"/>
      <c r="BHP253" s="1"/>
      <c r="BHQ253" s="1"/>
      <c r="BHR253" s="1"/>
      <c r="BHS253" s="1"/>
      <c r="BHT253" s="1"/>
      <c r="BHU253" s="1"/>
      <c r="BHV253" s="1"/>
      <c r="BHW253" s="1"/>
      <c r="BHX253" s="1"/>
      <c r="BHY253" s="1"/>
      <c r="BHZ253" s="1"/>
      <c r="BIA253" s="1"/>
      <c r="BIB253" s="1"/>
      <c r="BIC253" s="1"/>
      <c r="BID253" s="1"/>
      <c r="BIE253" s="1"/>
      <c r="BIF253" s="1"/>
      <c r="BIG253" s="1"/>
      <c r="BIH253" s="1"/>
      <c r="BII253" s="1"/>
      <c r="BIJ253" s="1"/>
      <c r="BIK253" s="1"/>
      <c r="BIL253" s="1"/>
      <c r="BIM253" s="1"/>
      <c r="BIN253" s="1"/>
      <c r="BIO253" s="1"/>
      <c r="BIP253" s="1"/>
      <c r="BIQ253" s="1"/>
      <c r="BIR253" s="1"/>
      <c r="BIS253" s="1"/>
      <c r="BIT253" s="1"/>
      <c r="BIU253" s="1"/>
      <c r="BIV253" s="1"/>
      <c r="BIW253" s="1"/>
      <c r="BIX253" s="1"/>
      <c r="BIY253" s="1"/>
      <c r="BIZ253" s="1"/>
      <c r="BJA253" s="1"/>
      <c r="BJB253" s="1"/>
      <c r="BJC253" s="1"/>
      <c r="BJD253" s="1"/>
      <c r="BJE253" s="1"/>
      <c r="BJF253" s="1"/>
      <c r="BJG253" s="1"/>
      <c r="BJH253" s="1"/>
      <c r="BJI253" s="1"/>
      <c r="BJJ253" s="1"/>
      <c r="BJK253" s="1"/>
      <c r="BJL253" s="1"/>
      <c r="BJM253" s="1"/>
      <c r="BJN253" s="1"/>
      <c r="BJO253" s="1"/>
      <c r="BJP253" s="1"/>
      <c r="BJQ253" s="1"/>
      <c r="BJR253" s="1"/>
      <c r="BJS253" s="1"/>
      <c r="BJT253" s="1"/>
      <c r="BJU253" s="1"/>
      <c r="BJV253" s="1"/>
      <c r="BJW253" s="1"/>
      <c r="BJX253" s="1"/>
      <c r="BJY253" s="1"/>
      <c r="BJZ253" s="1"/>
      <c r="BKA253" s="1"/>
      <c r="BKB253" s="1"/>
      <c r="BKC253" s="1"/>
      <c r="BKD253" s="1"/>
      <c r="BKE253" s="1"/>
      <c r="BKF253" s="1"/>
      <c r="BKG253" s="1"/>
      <c r="BKH253" s="1"/>
      <c r="BKI253" s="1"/>
      <c r="BKJ253" s="1"/>
      <c r="BKK253" s="1"/>
      <c r="BKL253" s="1"/>
      <c r="BKM253" s="1"/>
      <c r="BKN253" s="1"/>
      <c r="BKO253" s="1"/>
      <c r="BKP253" s="1"/>
      <c r="BKQ253" s="1"/>
      <c r="BKR253" s="1"/>
      <c r="BKS253" s="1"/>
      <c r="BKT253" s="1"/>
      <c r="BKU253" s="1"/>
      <c r="BKV253" s="1"/>
      <c r="BKW253" s="1"/>
      <c r="BKX253" s="1"/>
      <c r="BKY253" s="1"/>
      <c r="BKZ253" s="1"/>
      <c r="BLA253" s="1"/>
      <c r="BLB253" s="1"/>
      <c r="BLC253" s="1"/>
      <c r="BLD253" s="1"/>
      <c r="BLE253" s="1"/>
      <c r="BLF253" s="1"/>
      <c r="BLG253" s="1"/>
      <c r="BLH253" s="1"/>
      <c r="BLI253" s="1"/>
      <c r="BLJ253" s="1"/>
      <c r="BLK253" s="1"/>
      <c r="BLL253" s="1"/>
      <c r="BLM253" s="1"/>
      <c r="BLN253" s="1"/>
      <c r="BLO253" s="1"/>
      <c r="BLP253" s="1"/>
      <c r="BLQ253" s="1"/>
      <c r="BLR253" s="1"/>
      <c r="BLS253" s="1"/>
      <c r="BLT253" s="1"/>
      <c r="BLU253" s="1"/>
      <c r="BLV253" s="1"/>
      <c r="BLW253" s="1"/>
      <c r="BLX253" s="1"/>
      <c r="BLY253" s="1"/>
      <c r="BLZ253" s="1"/>
      <c r="BMA253" s="1"/>
      <c r="BMB253" s="1"/>
      <c r="BMC253" s="1"/>
      <c r="BMD253" s="1"/>
      <c r="BME253" s="1"/>
      <c r="BMF253" s="1"/>
      <c r="BMG253" s="1"/>
      <c r="BMH253" s="1"/>
      <c r="BMI253" s="1"/>
      <c r="BMJ253" s="1"/>
      <c r="BMK253" s="1"/>
      <c r="BML253" s="1"/>
      <c r="BMM253" s="1"/>
      <c r="BMN253" s="1"/>
      <c r="BMO253" s="1"/>
      <c r="BMP253" s="1"/>
      <c r="BMQ253" s="1"/>
      <c r="BMR253" s="1"/>
      <c r="BMS253" s="1"/>
      <c r="BMT253" s="1"/>
      <c r="BMU253" s="1"/>
      <c r="BMV253" s="1"/>
      <c r="BMW253" s="1"/>
      <c r="BMX253" s="1"/>
      <c r="BMY253" s="1"/>
      <c r="BMZ253" s="1"/>
      <c r="BNA253" s="1"/>
      <c r="BNB253" s="1"/>
      <c r="BNC253" s="1"/>
      <c r="BND253" s="1"/>
      <c r="BNE253" s="1"/>
      <c r="BNF253" s="1"/>
      <c r="BNG253" s="1"/>
      <c r="BNH253" s="1"/>
      <c r="BNI253" s="1"/>
      <c r="BNJ253" s="1"/>
      <c r="BNK253" s="1"/>
      <c r="BNL253" s="1"/>
      <c r="BNM253" s="1"/>
      <c r="BNN253" s="1"/>
      <c r="BNO253" s="1"/>
      <c r="BNP253" s="1"/>
      <c r="BNQ253" s="1"/>
      <c r="BNR253" s="1"/>
      <c r="BNS253" s="1"/>
      <c r="BNT253" s="1"/>
      <c r="BNU253" s="1"/>
      <c r="BNV253" s="1"/>
      <c r="BNW253" s="1"/>
      <c r="BNX253" s="1"/>
      <c r="BNY253" s="1"/>
      <c r="BNZ253" s="1"/>
      <c r="BOA253" s="1"/>
      <c r="BOB253" s="1"/>
      <c r="BOC253" s="1"/>
      <c r="BOD253" s="1"/>
      <c r="BOE253" s="1"/>
      <c r="BOF253" s="1"/>
      <c r="BOG253" s="1"/>
      <c r="BOH253" s="1"/>
      <c r="BOI253" s="1"/>
      <c r="BOJ253" s="1"/>
      <c r="BOK253" s="1"/>
      <c r="BOL253" s="1"/>
      <c r="BOM253" s="1"/>
      <c r="BON253" s="1"/>
      <c r="BOO253" s="1"/>
      <c r="BOP253" s="1"/>
      <c r="BOQ253" s="1"/>
      <c r="BOR253" s="1"/>
      <c r="BOS253" s="1"/>
      <c r="BOT253" s="1"/>
      <c r="BOU253" s="1"/>
      <c r="BOV253" s="1"/>
      <c r="BOW253" s="1"/>
      <c r="BOX253" s="1"/>
      <c r="BOY253" s="1"/>
      <c r="BOZ253" s="1"/>
      <c r="BPA253" s="1"/>
      <c r="BPB253" s="1"/>
      <c r="BPC253" s="1"/>
      <c r="BPD253" s="1"/>
      <c r="BPE253" s="1"/>
      <c r="BPF253" s="1"/>
      <c r="BPG253" s="1"/>
      <c r="BPH253" s="1"/>
      <c r="BPI253" s="1"/>
      <c r="BPJ253" s="1"/>
      <c r="BPK253" s="1"/>
      <c r="BPL253" s="1"/>
      <c r="BPM253" s="1"/>
      <c r="BPN253" s="1"/>
      <c r="BPO253" s="1"/>
      <c r="BPP253" s="1"/>
      <c r="BPQ253" s="1"/>
      <c r="BPR253" s="1"/>
      <c r="BPS253" s="1"/>
      <c r="BPT253" s="1"/>
      <c r="BPU253" s="1"/>
      <c r="BPV253" s="1"/>
      <c r="BPW253" s="1"/>
      <c r="BPX253" s="1"/>
      <c r="BPY253" s="1"/>
      <c r="BPZ253" s="1"/>
      <c r="BQA253" s="1"/>
      <c r="BQB253" s="1"/>
      <c r="BQC253" s="1"/>
      <c r="BQD253" s="1"/>
      <c r="BQE253" s="1"/>
      <c r="BQF253" s="1"/>
      <c r="BQG253" s="1"/>
      <c r="BQH253" s="1"/>
      <c r="BQI253" s="1"/>
      <c r="BQJ253" s="1"/>
      <c r="BQK253" s="1"/>
      <c r="BQL253" s="1"/>
      <c r="BQM253" s="1"/>
      <c r="BQN253" s="1"/>
      <c r="BQO253" s="1"/>
      <c r="BQP253" s="1"/>
      <c r="BQQ253" s="1"/>
      <c r="BQR253" s="1"/>
      <c r="BQS253" s="1"/>
      <c r="BQT253" s="1"/>
      <c r="BQU253" s="1"/>
      <c r="BQV253" s="1"/>
      <c r="BQW253" s="1"/>
      <c r="BQX253" s="1"/>
      <c r="BQY253" s="1"/>
      <c r="BQZ253" s="1"/>
      <c r="BRA253" s="1"/>
      <c r="BRB253" s="1"/>
      <c r="BRC253" s="1"/>
      <c r="BRD253" s="1"/>
      <c r="BRE253" s="1"/>
      <c r="BRF253" s="1"/>
      <c r="BRG253" s="1"/>
      <c r="BRH253" s="1"/>
      <c r="BRI253" s="1"/>
      <c r="BRJ253" s="1"/>
      <c r="BRK253" s="1"/>
      <c r="BRL253" s="1"/>
      <c r="BRM253" s="1"/>
      <c r="BRN253" s="1"/>
      <c r="BRO253" s="1"/>
      <c r="BRP253" s="1"/>
      <c r="BRQ253" s="1"/>
      <c r="BRR253" s="1"/>
      <c r="BRS253" s="1"/>
      <c r="BRT253" s="1"/>
      <c r="BRU253" s="1"/>
      <c r="BRV253" s="1"/>
      <c r="BRW253" s="1"/>
      <c r="BRX253" s="1"/>
      <c r="BRY253" s="1"/>
      <c r="BRZ253" s="1"/>
      <c r="BSA253" s="1"/>
      <c r="BSB253" s="1"/>
      <c r="BSC253" s="1"/>
      <c r="BSD253" s="1"/>
      <c r="BSE253" s="1"/>
      <c r="BSF253" s="1"/>
      <c r="BSG253" s="1"/>
      <c r="BSH253" s="1"/>
      <c r="BSI253" s="1"/>
      <c r="BSJ253" s="1"/>
      <c r="BSK253" s="1"/>
      <c r="BSL253" s="1"/>
      <c r="BSM253" s="1"/>
      <c r="BSN253" s="1"/>
      <c r="BSO253" s="1"/>
      <c r="BSP253" s="1"/>
      <c r="BSQ253" s="1"/>
      <c r="BSR253" s="1"/>
      <c r="BSS253" s="1"/>
      <c r="BST253" s="1"/>
      <c r="BSU253" s="1"/>
      <c r="BSV253" s="1"/>
      <c r="BSW253" s="1"/>
      <c r="BSX253" s="1"/>
      <c r="BSY253" s="1"/>
      <c r="BSZ253" s="1"/>
      <c r="BTA253" s="1"/>
      <c r="BTB253" s="1"/>
      <c r="BTC253" s="1"/>
      <c r="BTD253" s="1"/>
      <c r="BTE253" s="1"/>
      <c r="BTF253" s="1"/>
      <c r="BTG253" s="1"/>
      <c r="BTH253" s="1"/>
      <c r="BTI253" s="1"/>
      <c r="BTJ253" s="1"/>
      <c r="BTK253" s="1"/>
      <c r="BTL253" s="1"/>
      <c r="BTM253" s="1"/>
      <c r="BTN253" s="1"/>
      <c r="BTO253" s="1"/>
      <c r="BTP253" s="1"/>
      <c r="BTQ253" s="1"/>
      <c r="BTR253" s="1"/>
      <c r="BTS253" s="1"/>
      <c r="BTT253" s="1"/>
      <c r="BTU253" s="1"/>
      <c r="BTV253" s="1"/>
      <c r="BTW253" s="1"/>
      <c r="BTX253" s="1"/>
      <c r="BTY253" s="1"/>
      <c r="BTZ253" s="1"/>
      <c r="BUA253" s="1"/>
      <c r="BUB253" s="1"/>
      <c r="BUC253" s="1"/>
      <c r="BUD253" s="1"/>
      <c r="BUE253" s="1"/>
      <c r="BUF253" s="1"/>
      <c r="BUG253" s="1"/>
      <c r="BUH253" s="1"/>
      <c r="BUI253" s="1"/>
      <c r="BUJ253" s="1"/>
      <c r="BUK253" s="1"/>
      <c r="BUL253" s="1"/>
      <c r="BUM253" s="1"/>
      <c r="BUN253" s="1"/>
      <c r="BUO253" s="1"/>
      <c r="BUP253" s="1"/>
      <c r="BUQ253" s="1"/>
      <c r="BUR253" s="1"/>
      <c r="BUS253" s="1"/>
      <c r="BUT253" s="1"/>
      <c r="BUU253" s="1"/>
      <c r="BUV253" s="1"/>
      <c r="BUW253" s="1"/>
      <c r="BUX253" s="1"/>
      <c r="BUY253" s="1"/>
      <c r="BUZ253" s="1"/>
      <c r="BVA253" s="1"/>
      <c r="BVB253" s="1"/>
      <c r="BVC253" s="1"/>
      <c r="BVD253" s="1"/>
      <c r="BVE253" s="1"/>
      <c r="BVF253" s="1"/>
      <c r="BVG253" s="1"/>
      <c r="BVH253" s="1"/>
      <c r="BVI253" s="1"/>
      <c r="BVJ253" s="1"/>
      <c r="BVK253" s="1"/>
      <c r="BVL253" s="1"/>
      <c r="BVM253" s="1"/>
      <c r="BVN253" s="1"/>
      <c r="BVO253" s="1"/>
      <c r="BVP253" s="1"/>
      <c r="BVQ253" s="1"/>
      <c r="BVR253" s="1"/>
      <c r="BVS253" s="1"/>
      <c r="BVT253" s="1"/>
      <c r="BVU253" s="1"/>
      <c r="BVV253" s="1"/>
      <c r="BVW253" s="1"/>
      <c r="BVX253" s="1"/>
      <c r="BVY253" s="1"/>
      <c r="BVZ253" s="1"/>
      <c r="BWA253" s="1"/>
      <c r="BWB253" s="1"/>
      <c r="BWC253" s="1"/>
      <c r="BWD253" s="1"/>
      <c r="BWE253" s="1"/>
      <c r="BWF253" s="1"/>
      <c r="BWG253" s="1"/>
      <c r="BWH253" s="1"/>
      <c r="BWI253" s="1"/>
      <c r="BWJ253" s="1"/>
      <c r="BWK253" s="1"/>
      <c r="BWL253" s="1"/>
      <c r="BWM253" s="1"/>
      <c r="BWN253" s="1"/>
      <c r="BWO253" s="1"/>
      <c r="BWP253" s="1"/>
      <c r="BWQ253" s="1"/>
      <c r="BWR253" s="1"/>
      <c r="BWS253" s="1"/>
      <c r="BWT253" s="1"/>
      <c r="BWU253" s="1"/>
      <c r="BWV253" s="1"/>
      <c r="BWW253" s="1"/>
      <c r="BWX253" s="1"/>
      <c r="BWY253" s="1"/>
      <c r="BWZ253" s="1"/>
      <c r="BXA253" s="1"/>
      <c r="BXB253" s="1"/>
      <c r="BXC253" s="1"/>
      <c r="BXD253" s="1"/>
      <c r="BXE253" s="1"/>
      <c r="BXF253" s="1"/>
      <c r="BXG253" s="1"/>
      <c r="BXH253" s="1"/>
      <c r="BXI253" s="1"/>
      <c r="BXJ253" s="1"/>
      <c r="BXK253" s="1"/>
      <c r="BXL253" s="1"/>
      <c r="BXM253" s="1"/>
      <c r="BXN253" s="1"/>
      <c r="BXO253" s="1"/>
      <c r="BXP253" s="1"/>
      <c r="BXQ253" s="1"/>
      <c r="BXR253" s="1"/>
      <c r="BXS253" s="1"/>
      <c r="BXT253" s="1"/>
      <c r="BXU253" s="1"/>
      <c r="BXV253" s="1"/>
      <c r="BXW253" s="1"/>
      <c r="BXX253" s="1"/>
      <c r="BXY253" s="1"/>
      <c r="BXZ253" s="1"/>
      <c r="BYA253" s="1"/>
      <c r="BYB253" s="1"/>
      <c r="BYC253" s="1"/>
      <c r="BYD253" s="1"/>
      <c r="BYE253" s="1"/>
      <c r="BYF253" s="1"/>
      <c r="BYG253" s="1"/>
      <c r="BYH253" s="1"/>
      <c r="BYI253" s="1"/>
      <c r="BYJ253" s="1"/>
      <c r="BYK253" s="1"/>
      <c r="BYL253" s="1"/>
      <c r="BYM253" s="1"/>
      <c r="BYN253" s="1"/>
      <c r="BYO253" s="1"/>
      <c r="BYP253" s="1"/>
      <c r="BYQ253" s="1"/>
      <c r="BYR253" s="1"/>
      <c r="BYS253" s="1"/>
      <c r="BYT253" s="1"/>
      <c r="BYU253" s="1"/>
      <c r="BYV253" s="1"/>
      <c r="BYW253" s="1"/>
      <c r="BYX253" s="1"/>
      <c r="BYY253" s="1"/>
      <c r="BYZ253" s="1"/>
      <c r="BZA253" s="1"/>
      <c r="BZB253" s="1"/>
      <c r="BZC253" s="1"/>
      <c r="BZD253" s="1"/>
      <c r="BZE253" s="1"/>
      <c r="BZF253" s="1"/>
      <c r="BZG253" s="1"/>
      <c r="BZH253" s="1"/>
      <c r="BZI253" s="1"/>
      <c r="BZJ253" s="1"/>
      <c r="BZK253" s="1"/>
      <c r="BZL253" s="1"/>
      <c r="BZM253" s="1"/>
      <c r="BZN253" s="1"/>
      <c r="BZO253" s="1"/>
      <c r="BZP253" s="1"/>
      <c r="BZQ253" s="1"/>
      <c r="BZR253" s="1"/>
      <c r="BZS253" s="1"/>
      <c r="BZT253" s="1"/>
      <c r="BZU253" s="1"/>
      <c r="BZV253" s="1"/>
      <c r="BZW253" s="1"/>
      <c r="BZX253" s="1"/>
      <c r="BZY253" s="1"/>
      <c r="BZZ253" s="1"/>
      <c r="CAA253" s="1"/>
      <c r="CAB253" s="1"/>
      <c r="CAC253" s="1"/>
      <c r="CAD253" s="1"/>
      <c r="CAE253" s="1"/>
      <c r="CAF253" s="1"/>
      <c r="CAG253" s="1"/>
      <c r="CAH253" s="1"/>
      <c r="CAI253" s="1"/>
      <c r="CAJ253" s="1"/>
      <c r="CAK253" s="1"/>
      <c r="CAL253" s="1"/>
      <c r="CAM253" s="1"/>
      <c r="CAN253" s="1"/>
      <c r="CAO253" s="1"/>
      <c r="CAP253" s="1"/>
      <c r="CAQ253" s="1"/>
      <c r="CAR253" s="1"/>
      <c r="CAS253" s="1"/>
      <c r="CAT253" s="1"/>
      <c r="CAU253" s="1"/>
      <c r="CAV253" s="1"/>
      <c r="CAW253" s="1"/>
      <c r="CAX253" s="1"/>
      <c r="CAY253" s="1"/>
      <c r="CAZ253" s="1"/>
      <c r="CBA253" s="1"/>
      <c r="CBB253" s="1"/>
      <c r="CBC253" s="1"/>
      <c r="CBD253" s="1"/>
      <c r="CBE253" s="1"/>
      <c r="CBF253" s="1"/>
      <c r="CBG253" s="1"/>
      <c r="CBH253" s="1"/>
      <c r="CBI253" s="1"/>
      <c r="CBJ253" s="1"/>
      <c r="CBK253" s="1"/>
      <c r="CBL253" s="1"/>
      <c r="CBM253" s="1"/>
      <c r="CBN253" s="1"/>
      <c r="CBO253" s="1"/>
      <c r="CBP253" s="1"/>
      <c r="CBQ253" s="1"/>
      <c r="CBR253" s="1"/>
      <c r="CBS253" s="1"/>
      <c r="CBT253" s="1"/>
      <c r="CBU253" s="1"/>
      <c r="CBV253" s="1"/>
      <c r="CBW253" s="1"/>
      <c r="CBX253" s="1"/>
      <c r="CBY253" s="1"/>
      <c r="CBZ253" s="1"/>
      <c r="CCA253" s="1"/>
      <c r="CCB253" s="1"/>
      <c r="CCC253" s="1"/>
      <c r="CCD253" s="1"/>
      <c r="CCE253" s="1"/>
      <c r="CCF253" s="1"/>
      <c r="CCG253" s="1"/>
      <c r="CCH253" s="1"/>
      <c r="CCI253" s="1"/>
      <c r="CCJ253" s="1"/>
      <c r="CCK253" s="1"/>
      <c r="CCL253" s="1"/>
      <c r="CCM253" s="1"/>
      <c r="CCN253" s="1"/>
      <c r="CCO253" s="1"/>
      <c r="CCP253" s="1"/>
      <c r="CCQ253" s="1"/>
      <c r="CCR253" s="1"/>
      <c r="CCS253" s="1"/>
      <c r="CCT253" s="1"/>
      <c r="CCU253" s="1"/>
      <c r="CCV253" s="1"/>
      <c r="CCW253" s="1"/>
      <c r="CCX253" s="1"/>
      <c r="CCY253" s="1"/>
      <c r="CCZ253" s="1"/>
      <c r="CDA253" s="1"/>
      <c r="CDB253" s="1"/>
      <c r="CDC253" s="1"/>
      <c r="CDD253" s="1"/>
      <c r="CDE253" s="1"/>
      <c r="CDF253" s="1"/>
      <c r="CDG253" s="1"/>
      <c r="CDH253" s="1"/>
      <c r="CDI253" s="1"/>
      <c r="CDJ253" s="1"/>
      <c r="CDK253" s="1"/>
      <c r="CDL253" s="1"/>
      <c r="CDM253" s="1"/>
      <c r="CDN253" s="1"/>
      <c r="CDO253" s="1"/>
      <c r="CDP253" s="1"/>
      <c r="CDQ253" s="1"/>
      <c r="CDR253" s="1"/>
      <c r="CDS253" s="1"/>
      <c r="CDT253" s="1"/>
      <c r="CDU253" s="1"/>
      <c r="CDV253" s="1"/>
      <c r="CDW253" s="1"/>
      <c r="CDX253" s="1"/>
      <c r="CDY253" s="1"/>
      <c r="CDZ253" s="1"/>
      <c r="CEA253" s="1"/>
      <c r="CEB253" s="1"/>
      <c r="CEC253" s="1"/>
      <c r="CED253" s="1"/>
      <c r="CEE253" s="1"/>
      <c r="CEF253" s="1"/>
      <c r="CEG253" s="1"/>
      <c r="CEH253" s="1"/>
      <c r="CEI253" s="1"/>
      <c r="CEJ253" s="1"/>
      <c r="CEK253" s="1"/>
      <c r="CEL253" s="1"/>
      <c r="CEM253" s="1"/>
      <c r="CEN253" s="1"/>
      <c r="CEO253" s="1"/>
      <c r="CEP253" s="1"/>
      <c r="CEQ253" s="1"/>
      <c r="CER253" s="1"/>
      <c r="CES253" s="1"/>
      <c r="CET253" s="1"/>
      <c r="CEU253" s="1"/>
      <c r="CEV253" s="1"/>
      <c r="CEW253" s="1"/>
      <c r="CEX253" s="1"/>
      <c r="CEY253" s="1"/>
      <c r="CEZ253" s="1"/>
      <c r="CFA253" s="1"/>
      <c r="CFB253" s="1"/>
      <c r="CFC253" s="1"/>
      <c r="CFD253" s="1"/>
      <c r="CFE253" s="1"/>
      <c r="CFF253" s="1"/>
      <c r="CFG253" s="1"/>
      <c r="CFH253" s="1"/>
      <c r="CFI253" s="1"/>
      <c r="CFJ253" s="1"/>
      <c r="CFK253" s="1"/>
      <c r="CFL253" s="1"/>
      <c r="CFM253" s="1"/>
      <c r="CFN253" s="1"/>
      <c r="CFO253" s="1"/>
      <c r="CFP253" s="1"/>
      <c r="CFQ253" s="1"/>
      <c r="CFR253" s="1"/>
      <c r="CFS253" s="1"/>
      <c r="CFT253" s="1"/>
      <c r="CFU253" s="1"/>
      <c r="CFV253" s="1"/>
      <c r="CFW253" s="1"/>
      <c r="CFX253" s="1"/>
      <c r="CFY253" s="1"/>
      <c r="CFZ253" s="1"/>
      <c r="CGA253" s="1"/>
      <c r="CGB253" s="1"/>
      <c r="CGC253" s="1"/>
      <c r="CGD253" s="1"/>
      <c r="CGE253" s="1"/>
      <c r="CGF253" s="1"/>
      <c r="CGG253" s="1"/>
      <c r="CGH253" s="1"/>
      <c r="CGI253" s="1"/>
      <c r="CGJ253" s="1"/>
      <c r="CGK253" s="1"/>
      <c r="CGL253" s="1"/>
      <c r="CGM253" s="1"/>
      <c r="CGN253" s="1"/>
      <c r="CGO253" s="1"/>
      <c r="CGP253" s="1"/>
      <c r="CGQ253" s="1"/>
      <c r="CGR253" s="1"/>
      <c r="CGS253" s="1"/>
      <c r="CGT253" s="1"/>
      <c r="CGU253" s="1"/>
      <c r="CGV253" s="1"/>
      <c r="CGW253" s="1"/>
      <c r="CGX253" s="1"/>
      <c r="CGY253" s="1"/>
      <c r="CGZ253" s="1"/>
      <c r="CHA253" s="1"/>
      <c r="CHB253" s="1"/>
      <c r="CHC253" s="1"/>
      <c r="CHD253" s="1"/>
      <c r="CHE253" s="1"/>
      <c r="CHF253" s="1"/>
      <c r="CHG253" s="1"/>
      <c r="CHH253" s="1"/>
      <c r="CHI253" s="1"/>
      <c r="CHJ253" s="1"/>
      <c r="CHK253" s="1"/>
      <c r="CHL253" s="1"/>
      <c r="CHM253" s="1"/>
      <c r="CHN253" s="1"/>
      <c r="CHO253" s="1"/>
      <c r="CHP253" s="1"/>
      <c r="CHQ253" s="1"/>
      <c r="CHR253" s="1"/>
      <c r="CHS253" s="1"/>
      <c r="CHT253" s="1"/>
      <c r="CHU253" s="1"/>
      <c r="CHV253" s="1"/>
      <c r="CHW253" s="1"/>
      <c r="CHX253" s="1"/>
      <c r="CHY253" s="1"/>
      <c r="CHZ253" s="1"/>
      <c r="CIA253" s="1"/>
      <c r="CIB253" s="1"/>
      <c r="CIC253" s="1"/>
      <c r="CID253" s="1"/>
      <c r="CIE253" s="1"/>
      <c r="CIF253" s="1"/>
      <c r="CIG253" s="1"/>
      <c r="CIH253" s="1"/>
      <c r="CII253" s="1"/>
      <c r="CIJ253" s="1"/>
      <c r="CIK253" s="1"/>
      <c r="CIL253" s="1"/>
      <c r="CIM253" s="1"/>
      <c r="CIN253" s="1"/>
      <c r="CIO253" s="1"/>
      <c r="CIP253" s="1"/>
      <c r="CIQ253" s="1"/>
      <c r="CIR253" s="1"/>
      <c r="CIS253" s="1"/>
      <c r="CIT253" s="1"/>
      <c r="CIU253" s="1"/>
      <c r="CIV253" s="1"/>
      <c r="CIW253" s="1"/>
      <c r="CIX253" s="1"/>
      <c r="CIY253" s="1"/>
      <c r="CIZ253" s="1"/>
      <c r="CJA253" s="1"/>
      <c r="CJB253" s="1"/>
      <c r="CJC253" s="1"/>
      <c r="CJD253" s="1"/>
      <c r="CJE253" s="1"/>
      <c r="CJF253" s="1"/>
      <c r="CJG253" s="1"/>
      <c r="CJH253" s="1"/>
      <c r="CJI253" s="1"/>
      <c r="CJJ253" s="1"/>
      <c r="CJK253" s="1"/>
      <c r="CJL253" s="1"/>
      <c r="CJM253" s="1"/>
      <c r="CJN253" s="1"/>
      <c r="CJO253" s="1"/>
      <c r="CJP253" s="1"/>
      <c r="CJQ253" s="1"/>
      <c r="CJR253" s="1"/>
      <c r="CJS253" s="1"/>
      <c r="CJT253" s="1"/>
      <c r="CJU253" s="1"/>
      <c r="CJV253" s="1"/>
      <c r="CJW253" s="1"/>
      <c r="CJX253" s="1"/>
      <c r="CJY253" s="1"/>
      <c r="CJZ253" s="1"/>
      <c r="CKA253" s="1"/>
      <c r="CKB253" s="1"/>
      <c r="CKC253" s="1"/>
      <c r="CKD253" s="1"/>
      <c r="CKE253" s="1"/>
      <c r="CKF253" s="1"/>
      <c r="CKG253" s="1"/>
      <c r="CKH253" s="1"/>
      <c r="CKI253" s="1"/>
      <c r="CKJ253" s="1"/>
      <c r="CKK253" s="1"/>
      <c r="CKL253" s="1"/>
      <c r="CKM253" s="1"/>
      <c r="CKN253" s="1"/>
      <c r="CKO253" s="1"/>
      <c r="CKP253" s="1"/>
      <c r="CKQ253" s="1"/>
      <c r="CKR253" s="1"/>
      <c r="CKS253" s="1"/>
      <c r="CKT253" s="1"/>
      <c r="CKU253" s="1"/>
      <c r="CKV253" s="1"/>
      <c r="CKW253" s="1"/>
      <c r="CKX253" s="1"/>
      <c r="CKY253" s="1"/>
      <c r="CKZ253" s="1"/>
      <c r="CLA253" s="1"/>
      <c r="CLB253" s="1"/>
      <c r="CLC253" s="1"/>
      <c r="CLD253" s="1"/>
      <c r="CLE253" s="1"/>
      <c r="CLF253" s="1"/>
      <c r="CLG253" s="1"/>
      <c r="CLH253" s="1"/>
      <c r="CLI253" s="1"/>
      <c r="CLJ253" s="1"/>
      <c r="CLK253" s="1"/>
      <c r="CLL253" s="1"/>
      <c r="CLM253" s="1"/>
      <c r="CLN253" s="1"/>
      <c r="CLO253" s="1"/>
      <c r="CLP253" s="1"/>
      <c r="CLQ253" s="1"/>
      <c r="CLR253" s="1"/>
      <c r="CLS253" s="1"/>
      <c r="CLT253" s="1"/>
      <c r="CLU253" s="1"/>
      <c r="CLV253" s="1"/>
      <c r="CLW253" s="1"/>
      <c r="CLX253" s="1"/>
      <c r="CLY253" s="1"/>
      <c r="CLZ253" s="1"/>
      <c r="CMA253" s="1"/>
      <c r="CMB253" s="1"/>
      <c r="CMC253" s="1"/>
      <c r="CMD253" s="1"/>
      <c r="CME253" s="1"/>
      <c r="CMF253" s="1"/>
      <c r="CMG253" s="1"/>
      <c r="CMH253" s="1"/>
      <c r="CMI253" s="1"/>
      <c r="CMJ253" s="1"/>
      <c r="CMK253" s="1"/>
      <c r="CML253" s="1"/>
      <c r="CMM253" s="1"/>
      <c r="CMN253" s="1"/>
      <c r="CMO253" s="1"/>
      <c r="CMP253" s="1"/>
      <c r="CMQ253" s="1"/>
      <c r="CMR253" s="1"/>
      <c r="CMS253" s="1"/>
      <c r="CMT253" s="1"/>
      <c r="CMU253" s="1"/>
      <c r="CMV253" s="1"/>
      <c r="CMW253" s="1"/>
      <c r="CMX253" s="1"/>
      <c r="CMY253" s="1"/>
      <c r="CMZ253" s="1"/>
      <c r="CNA253" s="1"/>
      <c r="CNB253" s="1"/>
      <c r="CNC253" s="1"/>
      <c r="CND253" s="1"/>
      <c r="CNE253" s="1"/>
      <c r="CNF253" s="1"/>
      <c r="CNG253" s="1"/>
      <c r="CNH253" s="1"/>
      <c r="CNI253" s="1"/>
      <c r="CNJ253" s="1"/>
      <c r="CNK253" s="1"/>
      <c r="CNL253" s="1"/>
      <c r="CNM253" s="1"/>
      <c r="CNN253" s="1"/>
      <c r="CNO253" s="1"/>
      <c r="CNP253" s="1"/>
      <c r="CNQ253" s="1"/>
      <c r="CNR253" s="1"/>
      <c r="CNS253" s="1"/>
      <c r="CNT253" s="1"/>
      <c r="CNU253" s="1"/>
      <c r="CNV253" s="1"/>
      <c r="CNW253" s="1"/>
      <c r="CNX253" s="1"/>
      <c r="CNY253" s="1"/>
      <c r="CNZ253" s="1"/>
      <c r="COA253" s="1"/>
      <c r="COB253" s="1"/>
      <c r="COC253" s="1"/>
      <c r="COD253" s="1"/>
      <c r="COE253" s="1"/>
      <c r="COF253" s="1"/>
      <c r="COG253" s="1"/>
      <c r="COH253" s="1"/>
      <c r="COI253" s="1"/>
      <c r="COJ253" s="1"/>
      <c r="COK253" s="1"/>
      <c r="COL253" s="1"/>
      <c r="COM253" s="1"/>
      <c r="CON253" s="1"/>
      <c r="COO253" s="1"/>
      <c r="COP253" s="1"/>
      <c r="COQ253" s="1"/>
      <c r="COR253" s="1"/>
      <c r="COS253" s="1"/>
      <c r="COT253" s="1"/>
      <c r="COU253" s="1"/>
      <c r="COV253" s="1"/>
      <c r="COW253" s="1"/>
      <c r="COX253" s="1"/>
      <c r="COY253" s="1"/>
      <c r="COZ253" s="1"/>
      <c r="CPA253" s="1"/>
      <c r="CPB253" s="1"/>
      <c r="CPC253" s="1"/>
      <c r="CPD253" s="1"/>
      <c r="CPE253" s="1"/>
      <c r="CPF253" s="1"/>
      <c r="CPG253" s="1"/>
      <c r="CPH253" s="1"/>
      <c r="CPI253" s="1"/>
      <c r="CPJ253" s="1"/>
      <c r="CPK253" s="1"/>
      <c r="CPL253" s="1"/>
      <c r="CPM253" s="1"/>
      <c r="CPN253" s="1"/>
      <c r="CPO253" s="1"/>
      <c r="CPP253" s="1"/>
      <c r="CPQ253" s="1"/>
      <c r="CPR253" s="1"/>
      <c r="CPS253" s="1"/>
      <c r="CPT253" s="1"/>
      <c r="CPU253" s="1"/>
      <c r="CPV253" s="1"/>
      <c r="CPW253" s="1"/>
      <c r="CPX253" s="1"/>
      <c r="CPY253" s="1"/>
      <c r="CPZ253" s="1"/>
      <c r="CQA253" s="1"/>
      <c r="CQB253" s="1"/>
      <c r="CQC253" s="1"/>
      <c r="CQD253" s="1"/>
      <c r="CQE253" s="1"/>
      <c r="CQF253" s="1"/>
      <c r="CQG253" s="1"/>
      <c r="CQH253" s="1"/>
      <c r="CQI253" s="1"/>
      <c r="CQJ253" s="1"/>
      <c r="CQK253" s="1"/>
      <c r="CQL253" s="1"/>
      <c r="CQM253" s="1"/>
      <c r="CQN253" s="1"/>
      <c r="CQO253" s="1"/>
      <c r="CQP253" s="1"/>
      <c r="CQQ253" s="1"/>
      <c r="CQR253" s="1"/>
      <c r="CQS253" s="1"/>
      <c r="CQT253" s="1"/>
      <c r="CQU253" s="1"/>
      <c r="CQV253" s="1"/>
      <c r="CQW253" s="1"/>
      <c r="CQX253" s="1"/>
      <c r="CQY253" s="1"/>
      <c r="CQZ253" s="1"/>
      <c r="CRA253" s="1"/>
      <c r="CRB253" s="1"/>
      <c r="CRC253" s="1"/>
      <c r="CRD253" s="1"/>
      <c r="CRE253" s="1"/>
      <c r="CRF253" s="1"/>
      <c r="CRG253" s="1"/>
      <c r="CRH253" s="1"/>
      <c r="CRI253" s="1"/>
      <c r="CRJ253" s="1"/>
      <c r="CRK253" s="1"/>
      <c r="CRL253" s="1"/>
      <c r="CRM253" s="1"/>
      <c r="CRN253" s="1"/>
      <c r="CRO253" s="1"/>
      <c r="CRP253" s="1"/>
      <c r="CRQ253" s="1"/>
      <c r="CRR253" s="1"/>
      <c r="CRS253" s="1"/>
      <c r="CRT253" s="1"/>
      <c r="CRU253" s="1"/>
      <c r="CRV253" s="1"/>
      <c r="CRW253" s="1"/>
      <c r="CRX253" s="1"/>
      <c r="CRY253" s="1"/>
      <c r="CRZ253" s="1"/>
      <c r="CSA253" s="1"/>
      <c r="CSB253" s="1"/>
      <c r="CSC253" s="1"/>
      <c r="CSD253" s="1"/>
      <c r="CSE253" s="1"/>
      <c r="CSF253" s="1"/>
      <c r="CSG253" s="1"/>
      <c r="CSH253" s="1"/>
      <c r="CSI253" s="1"/>
      <c r="CSJ253" s="1"/>
      <c r="CSK253" s="1"/>
      <c r="CSL253" s="1"/>
      <c r="CSM253" s="1"/>
      <c r="CSN253" s="1"/>
      <c r="CSO253" s="1"/>
      <c r="CSP253" s="1"/>
      <c r="CSQ253" s="1"/>
      <c r="CSR253" s="1"/>
      <c r="CSS253" s="1"/>
      <c r="CST253" s="1"/>
      <c r="CSU253" s="1"/>
      <c r="CSV253" s="1"/>
      <c r="CSW253" s="1"/>
      <c r="CSX253" s="1"/>
      <c r="CSY253" s="1"/>
      <c r="CSZ253" s="1"/>
      <c r="CTA253" s="1"/>
      <c r="CTB253" s="1"/>
      <c r="CTC253" s="1"/>
      <c r="CTD253" s="1"/>
      <c r="CTE253" s="1"/>
      <c r="CTF253" s="1"/>
      <c r="CTG253" s="1"/>
      <c r="CTH253" s="1"/>
      <c r="CTI253" s="1"/>
      <c r="CTJ253" s="1"/>
      <c r="CTK253" s="1"/>
      <c r="CTL253" s="1"/>
      <c r="CTM253" s="1"/>
      <c r="CTN253" s="1"/>
      <c r="CTO253" s="1"/>
      <c r="CTP253" s="1"/>
      <c r="CTQ253" s="1"/>
      <c r="CTR253" s="1"/>
      <c r="CTS253" s="1"/>
      <c r="CTT253" s="1"/>
      <c r="CTU253" s="1"/>
      <c r="CTV253" s="1"/>
      <c r="CTW253" s="1"/>
      <c r="CTX253" s="1"/>
      <c r="CTY253" s="1"/>
      <c r="CTZ253" s="1"/>
      <c r="CUA253" s="1"/>
      <c r="CUB253" s="1"/>
      <c r="CUC253" s="1"/>
      <c r="CUD253" s="1"/>
      <c r="CUE253" s="1"/>
      <c r="CUF253" s="1"/>
      <c r="CUG253" s="1"/>
      <c r="CUH253" s="1"/>
      <c r="CUI253" s="1"/>
      <c r="CUJ253" s="1"/>
      <c r="CUK253" s="1"/>
      <c r="CUL253" s="1"/>
      <c r="CUM253" s="1"/>
      <c r="CUN253" s="1"/>
      <c r="CUO253" s="1"/>
      <c r="CUP253" s="1"/>
      <c r="CUQ253" s="1"/>
      <c r="CUR253" s="1"/>
      <c r="CUS253" s="1"/>
      <c r="CUT253" s="1"/>
      <c r="CUU253" s="1"/>
      <c r="CUV253" s="1"/>
      <c r="CUW253" s="1"/>
      <c r="CUX253" s="1"/>
      <c r="CUY253" s="1"/>
      <c r="CUZ253" s="1"/>
      <c r="CVA253" s="1"/>
      <c r="CVB253" s="1"/>
      <c r="CVC253" s="1"/>
      <c r="CVD253" s="1"/>
      <c r="CVE253" s="1"/>
      <c r="CVF253" s="1"/>
      <c r="CVG253" s="1"/>
      <c r="CVH253" s="1"/>
      <c r="CVI253" s="1"/>
      <c r="CVJ253" s="1"/>
      <c r="CVK253" s="1"/>
      <c r="CVL253" s="1"/>
      <c r="CVM253" s="1"/>
      <c r="CVN253" s="1"/>
      <c r="CVO253" s="1"/>
      <c r="CVP253" s="1"/>
      <c r="CVQ253" s="1"/>
      <c r="CVR253" s="1"/>
      <c r="CVS253" s="1"/>
      <c r="CVT253" s="1"/>
      <c r="CVU253" s="1"/>
      <c r="CVV253" s="1"/>
      <c r="CVW253" s="1"/>
      <c r="CVX253" s="1"/>
      <c r="CVY253" s="1"/>
      <c r="CVZ253" s="1"/>
      <c r="CWA253" s="1"/>
      <c r="CWB253" s="1"/>
      <c r="CWC253" s="1"/>
      <c r="CWD253" s="1"/>
      <c r="CWE253" s="1"/>
      <c r="CWF253" s="1"/>
      <c r="CWG253" s="1"/>
      <c r="CWH253" s="1"/>
      <c r="CWI253" s="1"/>
      <c r="CWJ253" s="1"/>
      <c r="CWK253" s="1"/>
      <c r="CWL253" s="1"/>
      <c r="CWM253" s="1"/>
      <c r="CWN253" s="1"/>
      <c r="CWO253" s="1"/>
      <c r="CWP253" s="1"/>
      <c r="CWQ253" s="1"/>
      <c r="CWR253" s="1"/>
      <c r="CWS253" s="1"/>
      <c r="CWT253" s="1"/>
      <c r="CWU253" s="1"/>
      <c r="CWV253" s="1"/>
      <c r="CWW253" s="1"/>
      <c r="CWX253" s="1"/>
      <c r="CWY253" s="1"/>
      <c r="CWZ253" s="1"/>
      <c r="CXA253" s="1"/>
      <c r="CXB253" s="1"/>
      <c r="CXC253" s="1"/>
      <c r="CXD253" s="1"/>
      <c r="CXE253" s="1"/>
      <c r="CXF253" s="1"/>
      <c r="CXG253" s="1"/>
      <c r="CXH253" s="1"/>
      <c r="CXI253" s="1"/>
      <c r="CXJ253" s="1"/>
      <c r="CXK253" s="1"/>
      <c r="CXL253" s="1"/>
      <c r="CXM253" s="1"/>
      <c r="CXN253" s="1"/>
      <c r="CXO253" s="1"/>
      <c r="CXP253" s="1"/>
      <c r="CXQ253" s="1"/>
      <c r="CXR253" s="1"/>
      <c r="CXS253" s="1"/>
      <c r="CXT253" s="1"/>
      <c r="CXU253" s="1"/>
      <c r="CXV253" s="1"/>
      <c r="CXW253" s="1"/>
      <c r="CXX253" s="1"/>
      <c r="CXY253" s="1"/>
      <c r="CXZ253" s="1"/>
      <c r="CYA253" s="1"/>
      <c r="CYB253" s="1"/>
      <c r="CYC253" s="1"/>
      <c r="CYD253" s="1"/>
      <c r="CYE253" s="1"/>
      <c r="CYF253" s="1"/>
      <c r="CYG253" s="1"/>
      <c r="CYH253" s="1"/>
      <c r="CYI253" s="1"/>
      <c r="CYJ253" s="1"/>
      <c r="CYK253" s="1"/>
      <c r="CYL253" s="1"/>
      <c r="CYM253" s="1"/>
      <c r="CYN253" s="1"/>
      <c r="CYO253" s="1"/>
      <c r="CYP253" s="1"/>
      <c r="CYQ253" s="1"/>
      <c r="CYR253" s="1"/>
      <c r="CYS253" s="1"/>
      <c r="CYT253" s="1"/>
      <c r="CYU253" s="1"/>
      <c r="CYV253" s="1"/>
      <c r="CYW253" s="1"/>
      <c r="CYX253" s="1"/>
      <c r="CYY253" s="1"/>
      <c r="CYZ253" s="1"/>
      <c r="CZA253" s="1"/>
      <c r="CZB253" s="1"/>
      <c r="CZC253" s="1"/>
      <c r="CZD253" s="1"/>
      <c r="CZE253" s="1"/>
      <c r="CZF253" s="1"/>
      <c r="CZG253" s="1"/>
      <c r="CZH253" s="1"/>
      <c r="CZI253" s="1"/>
      <c r="CZJ253" s="1"/>
      <c r="CZK253" s="1"/>
      <c r="CZL253" s="1"/>
      <c r="CZM253" s="1"/>
      <c r="CZN253" s="1"/>
      <c r="CZO253" s="1"/>
      <c r="CZP253" s="1"/>
      <c r="CZQ253" s="1"/>
      <c r="CZR253" s="1"/>
      <c r="CZS253" s="1"/>
      <c r="CZT253" s="1"/>
      <c r="CZU253" s="1"/>
      <c r="CZV253" s="1"/>
      <c r="CZW253" s="1"/>
      <c r="CZX253" s="1"/>
      <c r="CZY253" s="1"/>
      <c r="CZZ253" s="1"/>
      <c r="DAA253" s="1"/>
      <c r="DAB253" s="1"/>
      <c r="DAC253" s="1"/>
      <c r="DAD253" s="1"/>
      <c r="DAE253" s="1"/>
      <c r="DAF253" s="1"/>
      <c r="DAG253" s="1"/>
      <c r="DAH253" s="1"/>
      <c r="DAI253" s="1"/>
      <c r="DAJ253" s="1"/>
      <c r="DAK253" s="1"/>
      <c r="DAL253" s="1"/>
      <c r="DAM253" s="1"/>
      <c r="DAN253" s="1"/>
      <c r="DAO253" s="1"/>
      <c r="DAP253" s="1"/>
      <c r="DAQ253" s="1"/>
      <c r="DAR253" s="1"/>
      <c r="DAS253" s="1"/>
      <c r="DAT253" s="1"/>
      <c r="DAU253" s="1"/>
      <c r="DAV253" s="1"/>
      <c r="DAW253" s="1"/>
      <c r="DAX253" s="1"/>
      <c r="DAY253" s="1"/>
      <c r="DAZ253" s="1"/>
      <c r="DBA253" s="1"/>
      <c r="DBB253" s="1"/>
      <c r="DBC253" s="1"/>
      <c r="DBD253" s="1"/>
      <c r="DBE253" s="1"/>
      <c r="DBF253" s="1"/>
      <c r="DBG253" s="1"/>
      <c r="DBH253" s="1"/>
      <c r="DBI253" s="1"/>
      <c r="DBJ253" s="1"/>
      <c r="DBK253" s="1"/>
      <c r="DBL253" s="1"/>
      <c r="DBM253" s="1"/>
      <c r="DBN253" s="1"/>
      <c r="DBO253" s="1"/>
      <c r="DBP253" s="1"/>
      <c r="DBQ253" s="1"/>
      <c r="DBR253" s="1"/>
      <c r="DBS253" s="1"/>
      <c r="DBT253" s="1"/>
      <c r="DBU253" s="1"/>
      <c r="DBV253" s="1"/>
      <c r="DBW253" s="1"/>
      <c r="DBX253" s="1"/>
      <c r="DBY253" s="1"/>
      <c r="DBZ253" s="1"/>
      <c r="DCA253" s="1"/>
      <c r="DCB253" s="1"/>
      <c r="DCC253" s="1"/>
      <c r="DCD253" s="1"/>
      <c r="DCE253" s="1"/>
      <c r="DCF253" s="1"/>
      <c r="DCG253" s="1"/>
      <c r="DCH253" s="1"/>
      <c r="DCI253" s="1"/>
      <c r="DCJ253" s="1"/>
      <c r="DCK253" s="1"/>
      <c r="DCL253" s="1"/>
      <c r="DCM253" s="1"/>
      <c r="DCN253" s="1"/>
      <c r="DCO253" s="1"/>
      <c r="DCP253" s="1"/>
      <c r="DCQ253" s="1"/>
      <c r="DCR253" s="1"/>
      <c r="DCS253" s="1"/>
      <c r="DCT253" s="1"/>
      <c r="DCU253" s="1"/>
      <c r="DCV253" s="1"/>
      <c r="DCW253" s="1"/>
      <c r="DCX253" s="1"/>
      <c r="DCY253" s="1"/>
      <c r="DCZ253" s="1"/>
      <c r="DDA253" s="1"/>
      <c r="DDB253" s="1"/>
      <c r="DDC253" s="1"/>
      <c r="DDD253" s="1"/>
      <c r="DDE253" s="1"/>
      <c r="DDF253" s="1"/>
      <c r="DDG253" s="1"/>
      <c r="DDH253" s="1"/>
      <c r="DDI253" s="1"/>
      <c r="DDJ253" s="1"/>
      <c r="DDK253" s="1"/>
      <c r="DDL253" s="1"/>
      <c r="DDM253" s="1"/>
      <c r="DDN253" s="1"/>
      <c r="DDO253" s="1"/>
      <c r="DDP253" s="1"/>
      <c r="DDQ253" s="1"/>
      <c r="DDR253" s="1"/>
      <c r="DDS253" s="1"/>
      <c r="DDT253" s="1"/>
      <c r="DDU253" s="1"/>
      <c r="DDV253" s="1"/>
      <c r="DDW253" s="1"/>
      <c r="DDX253" s="1"/>
      <c r="DDY253" s="1"/>
      <c r="DDZ253" s="1"/>
      <c r="DEA253" s="1"/>
      <c r="DEB253" s="1"/>
      <c r="DEC253" s="1"/>
      <c r="DED253" s="1"/>
      <c r="DEE253" s="1"/>
      <c r="DEF253" s="1"/>
      <c r="DEG253" s="1"/>
      <c r="DEH253" s="1"/>
      <c r="DEI253" s="1"/>
      <c r="DEJ253" s="1"/>
      <c r="DEK253" s="1"/>
      <c r="DEL253" s="1"/>
      <c r="DEM253" s="1"/>
      <c r="DEN253" s="1"/>
      <c r="DEO253" s="1"/>
      <c r="DEP253" s="1"/>
      <c r="DEQ253" s="1"/>
      <c r="DER253" s="1"/>
      <c r="DES253" s="1"/>
      <c r="DET253" s="1"/>
      <c r="DEU253" s="1"/>
      <c r="DEV253" s="1"/>
      <c r="DEW253" s="1"/>
      <c r="DEX253" s="1"/>
      <c r="DEY253" s="1"/>
      <c r="DEZ253" s="1"/>
      <c r="DFA253" s="1"/>
      <c r="DFB253" s="1"/>
      <c r="DFC253" s="1"/>
      <c r="DFD253" s="1"/>
      <c r="DFE253" s="1"/>
      <c r="DFF253" s="1"/>
      <c r="DFG253" s="1"/>
      <c r="DFH253" s="1"/>
      <c r="DFI253" s="1"/>
      <c r="DFJ253" s="1"/>
      <c r="DFK253" s="1"/>
      <c r="DFL253" s="1"/>
      <c r="DFM253" s="1"/>
      <c r="DFN253" s="1"/>
      <c r="DFO253" s="1"/>
      <c r="DFP253" s="1"/>
      <c r="DFQ253" s="1"/>
      <c r="DFR253" s="1"/>
      <c r="DFS253" s="1"/>
      <c r="DFT253" s="1"/>
      <c r="DFU253" s="1"/>
      <c r="DFV253" s="1"/>
      <c r="DFW253" s="1"/>
      <c r="DFX253" s="1"/>
      <c r="DFY253" s="1"/>
      <c r="DFZ253" s="1"/>
      <c r="DGA253" s="1"/>
      <c r="DGB253" s="1"/>
      <c r="DGC253" s="1"/>
      <c r="DGD253" s="1"/>
      <c r="DGE253" s="1"/>
      <c r="DGF253" s="1"/>
      <c r="DGG253" s="1"/>
      <c r="DGH253" s="1"/>
      <c r="DGI253" s="1"/>
      <c r="DGJ253" s="1"/>
      <c r="DGK253" s="1"/>
      <c r="DGL253" s="1"/>
      <c r="DGM253" s="1"/>
      <c r="DGN253" s="1"/>
      <c r="DGO253" s="1"/>
      <c r="DGP253" s="1"/>
      <c r="DGQ253" s="1"/>
      <c r="DGR253" s="1"/>
      <c r="DGS253" s="1"/>
      <c r="DGT253" s="1"/>
      <c r="DGU253" s="1"/>
      <c r="DGV253" s="1"/>
      <c r="DGW253" s="1"/>
      <c r="DGX253" s="1"/>
      <c r="DGY253" s="1"/>
      <c r="DGZ253" s="1"/>
      <c r="DHA253" s="1"/>
      <c r="DHB253" s="1"/>
      <c r="DHC253" s="1"/>
      <c r="DHD253" s="1"/>
      <c r="DHE253" s="1"/>
      <c r="DHF253" s="1"/>
      <c r="DHG253" s="1"/>
      <c r="DHH253" s="1"/>
      <c r="DHI253" s="1"/>
      <c r="DHJ253" s="1"/>
      <c r="DHK253" s="1"/>
      <c r="DHL253" s="1"/>
      <c r="DHM253" s="1"/>
      <c r="DHN253" s="1"/>
      <c r="DHO253" s="1"/>
      <c r="DHP253" s="1"/>
      <c r="DHQ253" s="1"/>
      <c r="DHR253" s="1"/>
      <c r="DHS253" s="1"/>
      <c r="DHT253" s="1"/>
      <c r="DHU253" s="1"/>
      <c r="DHV253" s="1"/>
      <c r="DHW253" s="1"/>
      <c r="DHX253" s="1"/>
      <c r="DHY253" s="1"/>
      <c r="DHZ253" s="1"/>
      <c r="DIA253" s="1"/>
      <c r="DIB253" s="1"/>
      <c r="DIC253" s="1"/>
      <c r="DID253" s="1"/>
      <c r="DIE253" s="1"/>
      <c r="DIF253" s="1"/>
      <c r="DIG253" s="1"/>
      <c r="DIH253" s="1"/>
      <c r="DII253" s="1"/>
      <c r="DIJ253" s="1"/>
      <c r="DIK253" s="1"/>
      <c r="DIL253" s="1"/>
      <c r="DIM253" s="1"/>
      <c r="DIN253" s="1"/>
      <c r="DIO253" s="1"/>
      <c r="DIP253" s="1"/>
      <c r="DIQ253" s="1"/>
      <c r="DIR253" s="1"/>
      <c r="DIS253" s="1"/>
      <c r="DIT253" s="1"/>
      <c r="DIU253" s="1"/>
      <c r="DIV253" s="1"/>
      <c r="DIW253" s="1"/>
      <c r="DIX253" s="1"/>
      <c r="DIY253" s="1"/>
      <c r="DIZ253" s="1"/>
      <c r="DJA253" s="1"/>
      <c r="DJB253" s="1"/>
      <c r="DJC253" s="1"/>
      <c r="DJD253" s="1"/>
      <c r="DJE253" s="1"/>
      <c r="DJF253" s="1"/>
      <c r="DJG253" s="1"/>
      <c r="DJH253" s="1"/>
      <c r="DJI253" s="1"/>
      <c r="DJJ253" s="1"/>
      <c r="DJK253" s="1"/>
      <c r="DJL253" s="1"/>
      <c r="DJM253" s="1"/>
      <c r="DJN253" s="1"/>
      <c r="DJO253" s="1"/>
      <c r="DJP253" s="1"/>
      <c r="DJQ253" s="1"/>
      <c r="DJR253" s="1"/>
      <c r="DJS253" s="1"/>
      <c r="DJT253" s="1"/>
      <c r="DJU253" s="1"/>
      <c r="DJV253" s="1"/>
      <c r="DJW253" s="1"/>
      <c r="DJX253" s="1"/>
      <c r="DJY253" s="1"/>
      <c r="DJZ253" s="1"/>
      <c r="DKA253" s="1"/>
      <c r="DKB253" s="1"/>
      <c r="DKC253" s="1"/>
      <c r="DKD253" s="1"/>
      <c r="DKE253" s="1"/>
      <c r="DKF253" s="1"/>
      <c r="DKG253" s="1"/>
      <c r="DKH253" s="1"/>
      <c r="DKI253" s="1"/>
      <c r="DKJ253" s="1"/>
      <c r="DKK253" s="1"/>
      <c r="DKL253" s="1"/>
      <c r="DKM253" s="1"/>
      <c r="DKN253" s="1"/>
      <c r="DKO253" s="1"/>
      <c r="DKP253" s="1"/>
      <c r="DKQ253" s="1"/>
      <c r="DKR253" s="1"/>
      <c r="DKS253" s="1"/>
      <c r="DKT253" s="1"/>
      <c r="DKU253" s="1"/>
      <c r="DKV253" s="1"/>
      <c r="DKW253" s="1"/>
      <c r="DKX253" s="1"/>
      <c r="DKY253" s="1"/>
      <c r="DKZ253" s="1"/>
      <c r="DLA253" s="1"/>
      <c r="DLB253" s="1"/>
      <c r="DLC253" s="1"/>
      <c r="DLD253" s="1"/>
      <c r="DLE253" s="1"/>
      <c r="DLF253" s="1"/>
      <c r="DLG253" s="1"/>
      <c r="DLH253" s="1"/>
      <c r="DLI253" s="1"/>
      <c r="DLJ253" s="1"/>
      <c r="DLK253" s="1"/>
      <c r="DLL253" s="1"/>
      <c r="DLM253" s="1"/>
      <c r="DLN253" s="1"/>
      <c r="DLO253" s="1"/>
      <c r="DLP253" s="1"/>
      <c r="DLQ253" s="1"/>
      <c r="DLR253" s="1"/>
      <c r="DLS253" s="1"/>
      <c r="DLT253" s="1"/>
      <c r="DLU253" s="1"/>
      <c r="DLV253" s="1"/>
      <c r="DLW253" s="1"/>
      <c r="DLX253" s="1"/>
      <c r="DLY253" s="1"/>
      <c r="DLZ253" s="1"/>
      <c r="DMA253" s="1"/>
      <c r="DMB253" s="1"/>
      <c r="DMC253" s="1"/>
      <c r="DMD253" s="1"/>
      <c r="DME253" s="1"/>
      <c r="DMF253" s="1"/>
      <c r="DMG253" s="1"/>
      <c r="DMH253" s="1"/>
      <c r="DMI253" s="1"/>
      <c r="DMJ253" s="1"/>
      <c r="DMK253" s="1"/>
      <c r="DML253" s="1"/>
      <c r="DMM253" s="1"/>
      <c r="DMN253" s="1"/>
      <c r="DMO253" s="1"/>
      <c r="DMP253" s="1"/>
      <c r="DMQ253" s="1"/>
      <c r="DMR253" s="1"/>
      <c r="DMS253" s="1"/>
      <c r="DMT253" s="1"/>
      <c r="DMU253" s="1"/>
      <c r="DMV253" s="1"/>
      <c r="DMW253" s="1"/>
      <c r="DMX253" s="1"/>
      <c r="DMY253" s="1"/>
      <c r="DMZ253" s="1"/>
      <c r="DNA253" s="1"/>
      <c r="DNB253" s="1"/>
      <c r="DNC253" s="1"/>
      <c r="DND253" s="1"/>
      <c r="DNE253" s="1"/>
      <c r="DNF253" s="1"/>
      <c r="DNG253" s="1"/>
      <c r="DNH253" s="1"/>
      <c r="DNI253" s="1"/>
      <c r="DNJ253" s="1"/>
      <c r="DNK253" s="1"/>
      <c r="DNL253" s="1"/>
      <c r="DNM253" s="1"/>
      <c r="DNN253" s="1"/>
      <c r="DNO253" s="1"/>
      <c r="DNP253" s="1"/>
      <c r="DNQ253" s="1"/>
      <c r="DNR253" s="1"/>
      <c r="DNS253" s="1"/>
      <c r="DNT253" s="1"/>
      <c r="DNU253" s="1"/>
      <c r="DNV253" s="1"/>
      <c r="DNW253" s="1"/>
      <c r="DNX253" s="1"/>
      <c r="DNY253" s="1"/>
      <c r="DNZ253" s="1"/>
      <c r="DOA253" s="1"/>
      <c r="DOB253" s="1"/>
      <c r="DOC253" s="1"/>
      <c r="DOD253" s="1"/>
      <c r="DOE253" s="1"/>
      <c r="DOF253" s="1"/>
      <c r="DOG253" s="1"/>
      <c r="DOH253" s="1"/>
      <c r="DOI253" s="1"/>
      <c r="DOJ253" s="1"/>
      <c r="DOK253" s="1"/>
      <c r="DOL253" s="1"/>
      <c r="DOM253" s="1"/>
      <c r="DON253" s="1"/>
      <c r="DOO253" s="1"/>
      <c r="DOP253" s="1"/>
      <c r="DOQ253" s="1"/>
      <c r="DOR253" s="1"/>
      <c r="DOS253" s="1"/>
      <c r="DOT253" s="1"/>
      <c r="DOU253" s="1"/>
      <c r="DOV253" s="1"/>
      <c r="DOW253" s="1"/>
      <c r="DOX253" s="1"/>
      <c r="DOY253" s="1"/>
      <c r="DOZ253" s="1"/>
      <c r="DPA253" s="1"/>
      <c r="DPB253" s="1"/>
      <c r="DPC253" s="1"/>
      <c r="DPD253" s="1"/>
      <c r="DPE253" s="1"/>
      <c r="DPF253" s="1"/>
      <c r="DPG253" s="1"/>
      <c r="DPH253" s="1"/>
      <c r="DPI253" s="1"/>
      <c r="DPJ253" s="1"/>
      <c r="DPK253" s="1"/>
      <c r="DPL253" s="1"/>
      <c r="DPM253" s="1"/>
      <c r="DPN253" s="1"/>
      <c r="DPO253" s="1"/>
      <c r="DPP253" s="1"/>
      <c r="DPQ253" s="1"/>
      <c r="DPR253" s="1"/>
      <c r="DPS253" s="1"/>
      <c r="DPT253" s="1"/>
      <c r="DPU253" s="1"/>
      <c r="DPV253" s="1"/>
      <c r="DPW253" s="1"/>
      <c r="DPX253" s="1"/>
      <c r="DPY253" s="1"/>
      <c r="DPZ253" s="1"/>
      <c r="DQA253" s="1"/>
      <c r="DQB253" s="1"/>
      <c r="DQC253" s="1"/>
      <c r="DQD253" s="1"/>
      <c r="DQE253" s="1"/>
      <c r="DQF253" s="1"/>
      <c r="DQG253" s="1"/>
      <c r="DQH253" s="1"/>
      <c r="DQI253" s="1"/>
      <c r="DQJ253" s="1"/>
      <c r="DQK253" s="1"/>
      <c r="DQL253" s="1"/>
      <c r="DQM253" s="1"/>
      <c r="DQN253" s="1"/>
      <c r="DQO253" s="1"/>
      <c r="DQP253" s="1"/>
      <c r="DQQ253" s="1"/>
      <c r="DQR253" s="1"/>
      <c r="DQS253" s="1"/>
      <c r="DQT253" s="1"/>
      <c r="DQU253" s="1"/>
      <c r="DQV253" s="1"/>
      <c r="DQW253" s="1"/>
      <c r="DQX253" s="1"/>
      <c r="DQY253" s="1"/>
      <c r="DQZ253" s="1"/>
      <c r="DRA253" s="1"/>
      <c r="DRB253" s="1"/>
      <c r="DRC253" s="1"/>
      <c r="DRD253" s="1"/>
      <c r="DRE253" s="1"/>
      <c r="DRF253" s="1"/>
      <c r="DRG253" s="1"/>
      <c r="DRH253" s="1"/>
      <c r="DRI253" s="1"/>
      <c r="DRJ253" s="1"/>
      <c r="DRK253" s="1"/>
      <c r="DRL253" s="1"/>
      <c r="DRM253" s="1"/>
      <c r="DRN253" s="1"/>
      <c r="DRO253" s="1"/>
      <c r="DRP253" s="1"/>
      <c r="DRQ253" s="1"/>
      <c r="DRR253" s="1"/>
      <c r="DRS253" s="1"/>
      <c r="DRT253" s="1"/>
      <c r="DRU253" s="1"/>
      <c r="DRV253" s="1"/>
      <c r="DRW253" s="1"/>
      <c r="DRX253" s="1"/>
      <c r="DRY253" s="1"/>
      <c r="DRZ253" s="1"/>
      <c r="DSA253" s="1"/>
      <c r="DSB253" s="1"/>
      <c r="DSC253" s="1"/>
      <c r="DSD253" s="1"/>
      <c r="DSE253" s="1"/>
      <c r="DSF253" s="1"/>
      <c r="DSG253" s="1"/>
      <c r="DSH253" s="1"/>
      <c r="DSI253" s="1"/>
      <c r="DSJ253" s="1"/>
      <c r="DSK253" s="1"/>
      <c r="DSL253" s="1"/>
      <c r="DSM253" s="1"/>
      <c r="DSN253" s="1"/>
      <c r="DSO253" s="1"/>
      <c r="DSP253" s="1"/>
      <c r="DSQ253" s="1"/>
      <c r="DSR253" s="1"/>
      <c r="DSS253" s="1"/>
      <c r="DST253" s="1"/>
      <c r="DSU253" s="1"/>
      <c r="DSV253" s="1"/>
      <c r="DSW253" s="1"/>
      <c r="DSX253" s="1"/>
      <c r="DSY253" s="1"/>
      <c r="DSZ253" s="1"/>
      <c r="DTA253" s="1"/>
      <c r="DTB253" s="1"/>
      <c r="DTC253" s="1"/>
      <c r="DTD253" s="1"/>
      <c r="DTE253" s="1"/>
      <c r="DTF253" s="1"/>
      <c r="DTG253" s="1"/>
      <c r="DTH253" s="1"/>
      <c r="DTI253" s="1"/>
      <c r="DTJ253" s="1"/>
      <c r="DTK253" s="1"/>
      <c r="DTL253" s="1"/>
      <c r="DTM253" s="1"/>
      <c r="DTN253" s="1"/>
      <c r="DTO253" s="1"/>
      <c r="DTP253" s="1"/>
      <c r="DTQ253" s="1"/>
      <c r="DTR253" s="1"/>
      <c r="DTS253" s="1"/>
      <c r="DTT253" s="1"/>
      <c r="DTU253" s="1"/>
      <c r="DTV253" s="1"/>
      <c r="DTW253" s="1"/>
      <c r="DTX253" s="1"/>
      <c r="DTY253" s="1"/>
      <c r="DTZ253" s="1"/>
      <c r="DUA253" s="1"/>
      <c r="DUB253" s="1"/>
      <c r="DUC253" s="1"/>
      <c r="DUD253" s="1"/>
      <c r="DUE253" s="1"/>
      <c r="DUF253" s="1"/>
      <c r="DUG253" s="1"/>
      <c r="DUH253" s="1"/>
      <c r="DUI253" s="1"/>
      <c r="DUJ253" s="1"/>
      <c r="DUK253" s="1"/>
      <c r="DUL253" s="1"/>
      <c r="DUM253" s="1"/>
      <c r="DUN253" s="1"/>
      <c r="DUO253" s="1"/>
      <c r="DUP253" s="1"/>
      <c r="DUQ253" s="1"/>
      <c r="DUR253" s="1"/>
      <c r="DUS253" s="1"/>
      <c r="DUT253" s="1"/>
      <c r="DUU253" s="1"/>
      <c r="DUV253" s="1"/>
      <c r="DUW253" s="1"/>
      <c r="DUX253" s="1"/>
      <c r="DUY253" s="1"/>
      <c r="DUZ253" s="1"/>
      <c r="DVA253" s="1"/>
      <c r="DVB253" s="1"/>
      <c r="DVC253" s="1"/>
      <c r="DVD253" s="1"/>
      <c r="DVE253" s="1"/>
      <c r="DVF253" s="1"/>
      <c r="DVG253" s="1"/>
      <c r="DVH253" s="1"/>
      <c r="DVI253" s="1"/>
      <c r="DVJ253" s="1"/>
      <c r="DVK253" s="1"/>
      <c r="DVL253" s="1"/>
      <c r="DVM253" s="1"/>
      <c r="DVN253" s="1"/>
      <c r="DVO253" s="1"/>
      <c r="DVP253" s="1"/>
      <c r="DVQ253" s="1"/>
      <c r="DVR253" s="1"/>
      <c r="DVS253" s="1"/>
      <c r="DVT253" s="1"/>
      <c r="DVU253" s="1"/>
      <c r="DVV253" s="1"/>
      <c r="DVW253" s="1"/>
      <c r="DVX253" s="1"/>
      <c r="DVY253" s="1"/>
      <c r="DVZ253" s="1"/>
      <c r="DWA253" s="1"/>
      <c r="DWB253" s="1"/>
      <c r="DWC253" s="1"/>
      <c r="DWD253" s="1"/>
      <c r="DWE253" s="1"/>
      <c r="DWF253" s="1"/>
      <c r="DWG253" s="1"/>
      <c r="DWH253" s="1"/>
      <c r="DWI253" s="1"/>
      <c r="DWJ253" s="1"/>
      <c r="DWK253" s="1"/>
      <c r="DWL253" s="1"/>
      <c r="DWM253" s="1"/>
      <c r="DWN253" s="1"/>
      <c r="DWO253" s="1"/>
      <c r="DWP253" s="1"/>
      <c r="DWQ253" s="1"/>
      <c r="DWR253" s="1"/>
      <c r="DWS253" s="1"/>
      <c r="DWT253" s="1"/>
      <c r="DWU253" s="1"/>
      <c r="DWV253" s="1"/>
      <c r="DWW253" s="1"/>
      <c r="DWX253" s="1"/>
      <c r="DWY253" s="1"/>
      <c r="DWZ253" s="1"/>
      <c r="DXA253" s="1"/>
      <c r="DXB253" s="1"/>
      <c r="DXC253" s="1"/>
      <c r="DXD253" s="1"/>
      <c r="DXE253" s="1"/>
      <c r="DXF253" s="1"/>
      <c r="DXG253" s="1"/>
      <c r="DXH253" s="1"/>
      <c r="DXI253" s="1"/>
      <c r="DXJ253" s="1"/>
      <c r="DXK253" s="1"/>
      <c r="DXL253" s="1"/>
      <c r="DXM253" s="1"/>
      <c r="DXN253" s="1"/>
      <c r="DXO253" s="1"/>
      <c r="DXP253" s="1"/>
      <c r="DXQ253" s="1"/>
      <c r="DXR253" s="1"/>
      <c r="DXS253" s="1"/>
      <c r="DXT253" s="1"/>
      <c r="DXU253" s="1"/>
      <c r="DXV253" s="1"/>
      <c r="DXW253" s="1"/>
      <c r="DXX253" s="1"/>
      <c r="DXY253" s="1"/>
      <c r="DXZ253" s="1"/>
      <c r="DYA253" s="1"/>
      <c r="DYB253" s="1"/>
      <c r="DYC253" s="1"/>
      <c r="DYD253" s="1"/>
      <c r="DYE253" s="1"/>
      <c r="DYF253" s="1"/>
      <c r="DYG253" s="1"/>
      <c r="DYH253" s="1"/>
      <c r="DYI253" s="1"/>
      <c r="DYJ253" s="1"/>
      <c r="DYK253" s="1"/>
      <c r="DYL253" s="1"/>
      <c r="DYM253" s="1"/>
      <c r="DYN253" s="1"/>
      <c r="DYO253" s="1"/>
      <c r="DYP253" s="1"/>
      <c r="DYQ253" s="1"/>
      <c r="DYR253" s="1"/>
      <c r="DYS253" s="1"/>
      <c r="DYT253" s="1"/>
      <c r="DYU253" s="1"/>
      <c r="DYV253" s="1"/>
      <c r="DYW253" s="1"/>
      <c r="DYX253" s="1"/>
      <c r="DYY253" s="1"/>
      <c r="DYZ253" s="1"/>
      <c r="DZA253" s="1"/>
      <c r="DZB253" s="1"/>
      <c r="DZC253" s="1"/>
      <c r="DZD253" s="1"/>
      <c r="DZE253" s="1"/>
      <c r="DZF253" s="1"/>
      <c r="DZG253" s="1"/>
      <c r="DZH253" s="1"/>
      <c r="DZI253" s="1"/>
      <c r="DZJ253" s="1"/>
      <c r="DZK253" s="1"/>
      <c r="DZL253" s="1"/>
      <c r="DZM253" s="1"/>
      <c r="DZN253" s="1"/>
      <c r="DZO253" s="1"/>
      <c r="DZP253" s="1"/>
      <c r="DZQ253" s="1"/>
      <c r="DZR253" s="1"/>
      <c r="DZS253" s="1"/>
      <c r="DZT253" s="1"/>
      <c r="DZU253" s="1"/>
      <c r="DZV253" s="1"/>
      <c r="DZW253" s="1"/>
      <c r="DZX253" s="1"/>
      <c r="DZY253" s="1"/>
      <c r="DZZ253" s="1"/>
      <c r="EAA253" s="1"/>
      <c r="EAB253" s="1"/>
      <c r="EAC253" s="1"/>
      <c r="EAD253" s="1"/>
      <c r="EAE253" s="1"/>
      <c r="EAF253" s="1"/>
      <c r="EAG253" s="1"/>
      <c r="EAH253" s="1"/>
      <c r="EAI253" s="1"/>
      <c r="EAJ253" s="1"/>
      <c r="EAK253" s="1"/>
      <c r="EAL253" s="1"/>
      <c r="EAM253" s="1"/>
      <c r="EAN253" s="1"/>
      <c r="EAO253" s="1"/>
      <c r="EAP253" s="1"/>
      <c r="EAQ253" s="1"/>
      <c r="EAR253" s="1"/>
      <c r="EAS253" s="1"/>
      <c r="EAT253" s="1"/>
      <c r="EAU253" s="1"/>
      <c r="EAV253" s="1"/>
      <c r="EAW253" s="1"/>
      <c r="EAX253" s="1"/>
      <c r="EAY253" s="1"/>
      <c r="EAZ253" s="1"/>
      <c r="EBA253" s="1"/>
      <c r="EBB253" s="1"/>
      <c r="EBC253" s="1"/>
      <c r="EBD253" s="1"/>
      <c r="EBE253" s="1"/>
      <c r="EBF253" s="1"/>
      <c r="EBG253" s="1"/>
      <c r="EBH253" s="1"/>
      <c r="EBI253" s="1"/>
      <c r="EBJ253" s="1"/>
      <c r="EBK253" s="1"/>
      <c r="EBL253" s="1"/>
      <c r="EBM253" s="1"/>
      <c r="EBN253" s="1"/>
      <c r="EBO253" s="1"/>
      <c r="EBP253" s="1"/>
      <c r="EBQ253" s="1"/>
      <c r="EBR253" s="1"/>
      <c r="EBS253" s="1"/>
      <c r="EBT253" s="1"/>
      <c r="EBU253" s="1"/>
      <c r="EBV253" s="1"/>
      <c r="EBW253" s="1"/>
      <c r="EBX253" s="1"/>
      <c r="EBY253" s="1"/>
      <c r="EBZ253" s="1"/>
      <c r="ECA253" s="1"/>
      <c r="ECB253" s="1"/>
      <c r="ECC253" s="1"/>
      <c r="ECD253" s="1"/>
      <c r="ECE253" s="1"/>
      <c r="ECF253" s="1"/>
      <c r="ECG253" s="1"/>
      <c r="ECH253" s="1"/>
      <c r="ECI253" s="1"/>
      <c r="ECJ253" s="1"/>
      <c r="ECK253" s="1"/>
      <c r="ECL253" s="1"/>
      <c r="ECM253" s="1"/>
      <c r="ECN253" s="1"/>
      <c r="ECO253" s="1"/>
      <c r="ECP253" s="1"/>
      <c r="ECQ253" s="1"/>
      <c r="ECR253" s="1"/>
      <c r="ECS253" s="1"/>
      <c r="ECT253" s="1"/>
      <c r="ECU253" s="1"/>
      <c r="ECV253" s="1"/>
      <c r="ECW253" s="1"/>
      <c r="ECX253" s="1"/>
      <c r="ECY253" s="1"/>
      <c r="ECZ253" s="1"/>
      <c r="EDA253" s="1"/>
      <c r="EDB253" s="1"/>
      <c r="EDC253" s="1"/>
      <c r="EDD253" s="1"/>
      <c r="EDE253" s="1"/>
      <c r="EDF253" s="1"/>
      <c r="EDG253" s="1"/>
      <c r="EDH253" s="1"/>
      <c r="EDI253" s="1"/>
      <c r="EDJ253" s="1"/>
      <c r="EDK253" s="1"/>
      <c r="EDL253" s="1"/>
      <c r="EDM253" s="1"/>
      <c r="EDN253" s="1"/>
      <c r="EDO253" s="1"/>
      <c r="EDP253" s="1"/>
      <c r="EDQ253" s="1"/>
      <c r="EDR253" s="1"/>
      <c r="EDS253" s="1"/>
      <c r="EDT253" s="1"/>
      <c r="EDU253" s="1"/>
      <c r="EDV253" s="1"/>
      <c r="EDW253" s="1"/>
      <c r="EDX253" s="1"/>
      <c r="EDY253" s="1"/>
      <c r="EDZ253" s="1"/>
      <c r="EEA253" s="1"/>
      <c r="EEB253" s="1"/>
      <c r="EEC253" s="1"/>
      <c r="EED253" s="1"/>
      <c r="EEE253" s="1"/>
      <c r="EEF253" s="1"/>
      <c r="EEG253" s="1"/>
      <c r="EEH253" s="1"/>
      <c r="EEI253" s="1"/>
      <c r="EEJ253" s="1"/>
      <c r="EEK253" s="1"/>
      <c r="EEL253" s="1"/>
      <c r="EEM253" s="1"/>
      <c r="EEN253" s="1"/>
      <c r="EEO253" s="1"/>
      <c r="EEP253" s="1"/>
      <c r="EEQ253" s="1"/>
      <c r="EER253" s="1"/>
      <c r="EES253" s="1"/>
      <c r="EET253" s="1"/>
      <c r="EEU253" s="1"/>
      <c r="EEV253" s="1"/>
      <c r="EEW253" s="1"/>
      <c r="EEX253" s="1"/>
      <c r="EEY253" s="1"/>
      <c r="EEZ253" s="1"/>
      <c r="EFA253" s="1"/>
      <c r="EFB253" s="1"/>
      <c r="EFC253" s="1"/>
      <c r="EFD253" s="1"/>
      <c r="EFE253" s="1"/>
      <c r="EFF253" s="1"/>
      <c r="EFG253" s="1"/>
      <c r="EFH253" s="1"/>
      <c r="EFI253" s="1"/>
      <c r="EFJ253" s="1"/>
      <c r="EFK253" s="1"/>
      <c r="EFL253" s="1"/>
      <c r="EFM253" s="1"/>
      <c r="EFN253" s="1"/>
      <c r="EFO253" s="1"/>
      <c r="EFP253" s="1"/>
      <c r="EFQ253" s="1"/>
      <c r="EFR253" s="1"/>
      <c r="EFS253" s="1"/>
      <c r="EFT253" s="1"/>
      <c r="EFU253" s="1"/>
      <c r="EFV253" s="1"/>
      <c r="EFW253" s="1"/>
      <c r="EFX253" s="1"/>
      <c r="EFY253" s="1"/>
      <c r="EFZ253" s="1"/>
      <c r="EGA253" s="1"/>
      <c r="EGB253" s="1"/>
      <c r="EGC253" s="1"/>
      <c r="EGD253" s="1"/>
      <c r="EGE253" s="1"/>
      <c r="EGF253" s="1"/>
      <c r="EGG253" s="1"/>
      <c r="EGH253" s="1"/>
      <c r="EGI253" s="1"/>
      <c r="EGJ253" s="1"/>
      <c r="EGK253" s="1"/>
      <c r="EGL253" s="1"/>
      <c r="EGM253" s="1"/>
      <c r="EGN253" s="1"/>
      <c r="EGO253" s="1"/>
      <c r="EGP253" s="1"/>
      <c r="EGQ253" s="1"/>
      <c r="EGR253" s="1"/>
      <c r="EGS253" s="1"/>
      <c r="EGT253" s="1"/>
      <c r="EGU253" s="1"/>
      <c r="EGV253" s="1"/>
      <c r="EGW253" s="1"/>
      <c r="EGX253" s="1"/>
      <c r="EGY253" s="1"/>
      <c r="EGZ253" s="1"/>
      <c r="EHA253" s="1"/>
      <c r="EHB253" s="1"/>
      <c r="EHC253" s="1"/>
      <c r="EHD253" s="1"/>
      <c r="EHE253" s="1"/>
      <c r="EHF253" s="1"/>
      <c r="EHG253" s="1"/>
      <c r="EHH253" s="1"/>
      <c r="EHI253" s="1"/>
      <c r="EHJ253" s="1"/>
      <c r="EHK253" s="1"/>
      <c r="EHL253" s="1"/>
      <c r="EHM253" s="1"/>
      <c r="EHN253" s="1"/>
      <c r="EHO253" s="1"/>
      <c r="EHP253" s="1"/>
      <c r="EHQ253" s="1"/>
      <c r="EHR253" s="1"/>
      <c r="EHS253" s="1"/>
      <c r="EHT253" s="1"/>
      <c r="EHU253" s="1"/>
      <c r="EHV253" s="1"/>
      <c r="EHW253" s="1"/>
      <c r="EHX253" s="1"/>
      <c r="EHY253" s="1"/>
      <c r="EHZ253" s="1"/>
      <c r="EIA253" s="1"/>
      <c r="EIB253" s="1"/>
      <c r="EIC253" s="1"/>
      <c r="EID253" s="1"/>
      <c r="EIE253" s="1"/>
      <c r="EIF253" s="1"/>
      <c r="EIG253" s="1"/>
      <c r="EIH253" s="1"/>
      <c r="EII253" s="1"/>
      <c r="EIJ253" s="1"/>
      <c r="EIK253" s="1"/>
      <c r="EIL253" s="1"/>
      <c r="EIM253" s="1"/>
      <c r="EIN253" s="1"/>
      <c r="EIO253" s="1"/>
      <c r="EIP253" s="1"/>
      <c r="EIQ253" s="1"/>
      <c r="EIR253" s="1"/>
      <c r="EIS253" s="1"/>
      <c r="EIT253" s="1"/>
      <c r="EIU253" s="1"/>
      <c r="EIV253" s="1"/>
      <c r="EIW253" s="1"/>
      <c r="EIX253" s="1"/>
      <c r="EIY253" s="1"/>
      <c r="EIZ253" s="1"/>
      <c r="EJA253" s="1"/>
      <c r="EJB253" s="1"/>
      <c r="EJC253" s="1"/>
      <c r="EJD253" s="1"/>
      <c r="EJE253" s="1"/>
      <c r="EJF253" s="1"/>
      <c r="EJG253" s="1"/>
      <c r="EJH253" s="1"/>
      <c r="EJI253" s="1"/>
      <c r="EJJ253" s="1"/>
      <c r="EJK253" s="1"/>
      <c r="EJL253" s="1"/>
      <c r="EJM253" s="1"/>
      <c r="EJN253" s="1"/>
      <c r="EJO253" s="1"/>
      <c r="EJP253" s="1"/>
      <c r="EJQ253" s="1"/>
      <c r="EJR253" s="1"/>
      <c r="EJS253" s="1"/>
      <c r="EJT253" s="1"/>
      <c r="EJU253" s="1"/>
      <c r="EJV253" s="1"/>
      <c r="EJW253" s="1"/>
      <c r="EJX253" s="1"/>
      <c r="EJY253" s="1"/>
      <c r="EJZ253" s="1"/>
      <c r="EKA253" s="1"/>
      <c r="EKB253" s="1"/>
      <c r="EKC253" s="1"/>
      <c r="EKD253" s="1"/>
      <c r="EKE253" s="1"/>
      <c r="EKF253" s="1"/>
      <c r="EKG253" s="1"/>
      <c r="EKH253" s="1"/>
      <c r="EKI253" s="1"/>
      <c r="EKJ253" s="1"/>
      <c r="EKK253" s="1"/>
      <c r="EKL253" s="1"/>
      <c r="EKM253" s="1"/>
      <c r="EKN253" s="1"/>
      <c r="EKO253" s="1"/>
      <c r="EKP253" s="1"/>
      <c r="EKQ253" s="1"/>
      <c r="EKR253" s="1"/>
      <c r="EKS253" s="1"/>
      <c r="EKT253" s="1"/>
      <c r="EKU253" s="1"/>
      <c r="EKV253" s="1"/>
      <c r="EKW253" s="1"/>
      <c r="EKX253" s="1"/>
      <c r="EKY253" s="1"/>
      <c r="EKZ253" s="1"/>
      <c r="ELA253" s="1"/>
      <c r="ELB253" s="1"/>
      <c r="ELC253" s="1"/>
      <c r="ELD253" s="1"/>
      <c r="ELE253" s="1"/>
      <c r="ELF253" s="1"/>
      <c r="ELG253" s="1"/>
      <c r="ELH253" s="1"/>
      <c r="ELI253" s="1"/>
      <c r="ELJ253" s="1"/>
      <c r="ELK253" s="1"/>
      <c r="ELL253" s="1"/>
      <c r="ELM253" s="1"/>
      <c r="ELN253" s="1"/>
      <c r="ELO253" s="1"/>
      <c r="ELP253" s="1"/>
      <c r="ELQ253" s="1"/>
      <c r="ELR253" s="1"/>
      <c r="ELS253" s="1"/>
      <c r="ELT253" s="1"/>
      <c r="ELU253" s="1"/>
      <c r="ELV253" s="1"/>
      <c r="ELW253" s="1"/>
      <c r="ELX253" s="1"/>
      <c r="ELY253" s="1"/>
      <c r="ELZ253" s="1"/>
      <c r="EMA253" s="1"/>
      <c r="EMB253" s="1"/>
      <c r="EMC253" s="1"/>
      <c r="EMD253" s="1"/>
      <c r="EME253" s="1"/>
      <c r="EMF253" s="1"/>
      <c r="EMG253" s="1"/>
      <c r="EMH253" s="1"/>
      <c r="EMI253" s="1"/>
      <c r="EMJ253" s="1"/>
      <c r="EMK253" s="1"/>
      <c r="EML253" s="1"/>
      <c r="EMM253" s="1"/>
      <c r="EMN253" s="1"/>
      <c r="EMO253" s="1"/>
      <c r="EMP253" s="1"/>
      <c r="EMQ253" s="1"/>
      <c r="EMR253" s="1"/>
      <c r="EMS253" s="1"/>
      <c r="EMT253" s="1"/>
      <c r="EMU253" s="1"/>
      <c r="EMV253" s="1"/>
      <c r="EMW253" s="1"/>
      <c r="EMX253" s="1"/>
      <c r="EMY253" s="1"/>
      <c r="EMZ253" s="1"/>
      <c r="ENA253" s="1"/>
      <c r="ENB253" s="1"/>
      <c r="ENC253" s="1"/>
      <c r="END253" s="1"/>
      <c r="ENE253" s="1"/>
      <c r="ENF253" s="1"/>
      <c r="ENG253" s="1"/>
      <c r="ENH253" s="1"/>
      <c r="ENI253" s="1"/>
      <c r="ENJ253" s="1"/>
      <c r="ENK253" s="1"/>
      <c r="ENL253" s="1"/>
      <c r="ENM253" s="1"/>
      <c r="ENN253" s="1"/>
      <c r="ENO253" s="1"/>
      <c r="ENP253" s="1"/>
      <c r="ENQ253" s="1"/>
      <c r="ENR253" s="1"/>
      <c r="ENS253" s="1"/>
      <c r="ENT253" s="1"/>
      <c r="ENU253" s="1"/>
      <c r="ENV253" s="1"/>
      <c r="ENW253" s="1"/>
      <c r="ENX253" s="1"/>
      <c r="ENY253" s="1"/>
      <c r="ENZ253" s="1"/>
      <c r="EOA253" s="1"/>
      <c r="EOB253" s="1"/>
      <c r="EOC253" s="1"/>
      <c r="EOD253" s="1"/>
      <c r="EOE253" s="1"/>
      <c r="EOF253" s="1"/>
      <c r="EOG253" s="1"/>
      <c r="EOH253" s="1"/>
      <c r="EOI253" s="1"/>
      <c r="EOJ253" s="1"/>
      <c r="EOK253" s="1"/>
      <c r="EOL253" s="1"/>
      <c r="EOM253" s="1"/>
      <c r="EON253" s="1"/>
      <c r="EOO253" s="1"/>
      <c r="EOP253" s="1"/>
      <c r="EOQ253" s="1"/>
      <c r="EOR253" s="1"/>
      <c r="EOS253" s="1"/>
      <c r="EOT253" s="1"/>
      <c r="EOU253" s="1"/>
      <c r="EOV253" s="1"/>
      <c r="EOW253" s="1"/>
      <c r="EOX253" s="1"/>
      <c r="EOY253" s="1"/>
      <c r="EOZ253" s="1"/>
      <c r="EPA253" s="1"/>
      <c r="EPB253" s="1"/>
      <c r="EPC253" s="1"/>
      <c r="EPD253" s="1"/>
      <c r="EPE253" s="1"/>
      <c r="EPF253" s="1"/>
      <c r="EPG253" s="1"/>
      <c r="EPH253" s="1"/>
      <c r="EPI253" s="1"/>
      <c r="EPJ253" s="1"/>
      <c r="EPK253" s="1"/>
      <c r="EPL253" s="1"/>
      <c r="EPM253" s="1"/>
      <c r="EPN253" s="1"/>
      <c r="EPO253" s="1"/>
      <c r="EPP253" s="1"/>
      <c r="EPQ253" s="1"/>
      <c r="EPR253" s="1"/>
      <c r="EPS253" s="1"/>
      <c r="EPT253" s="1"/>
      <c r="EPU253" s="1"/>
      <c r="EPV253" s="1"/>
      <c r="EPW253" s="1"/>
      <c r="EPX253" s="1"/>
      <c r="EPY253" s="1"/>
      <c r="EPZ253" s="1"/>
      <c r="EQA253" s="1"/>
      <c r="EQB253" s="1"/>
      <c r="EQC253" s="1"/>
      <c r="EQD253" s="1"/>
      <c r="EQE253" s="1"/>
      <c r="EQF253" s="1"/>
      <c r="EQG253" s="1"/>
      <c r="EQH253" s="1"/>
      <c r="EQI253" s="1"/>
      <c r="EQJ253" s="1"/>
      <c r="EQK253" s="1"/>
      <c r="EQL253" s="1"/>
      <c r="EQM253" s="1"/>
      <c r="EQN253" s="1"/>
      <c r="EQO253" s="1"/>
      <c r="EQP253" s="1"/>
      <c r="EQQ253" s="1"/>
      <c r="EQR253" s="1"/>
      <c r="EQS253" s="1"/>
      <c r="EQT253" s="1"/>
      <c r="EQU253" s="1"/>
      <c r="EQV253" s="1"/>
      <c r="EQW253" s="1"/>
      <c r="EQX253" s="1"/>
      <c r="EQY253" s="1"/>
      <c r="EQZ253" s="1"/>
      <c r="ERA253" s="1"/>
      <c r="ERB253" s="1"/>
      <c r="ERC253" s="1"/>
      <c r="ERD253" s="1"/>
      <c r="ERE253" s="1"/>
      <c r="ERF253" s="1"/>
      <c r="ERG253" s="1"/>
      <c r="ERH253" s="1"/>
      <c r="ERI253" s="1"/>
      <c r="ERJ253" s="1"/>
      <c r="ERK253" s="1"/>
      <c r="ERL253" s="1"/>
      <c r="ERM253" s="1"/>
      <c r="ERN253" s="1"/>
      <c r="ERO253" s="1"/>
      <c r="ERP253" s="1"/>
      <c r="ERQ253" s="1"/>
      <c r="ERR253" s="1"/>
      <c r="ERS253" s="1"/>
      <c r="ERT253" s="1"/>
      <c r="ERU253" s="1"/>
      <c r="ERV253" s="1"/>
      <c r="ERW253" s="1"/>
      <c r="ERX253" s="1"/>
      <c r="ERY253" s="1"/>
      <c r="ERZ253" s="1"/>
      <c r="ESA253" s="1"/>
      <c r="ESB253" s="1"/>
      <c r="ESC253" s="1"/>
      <c r="ESD253" s="1"/>
      <c r="ESE253" s="1"/>
      <c r="ESF253" s="1"/>
      <c r="ESG253" s="1"/>
      <c r="ESH253" s="1"/>
      <c r="ESI253" s="1"/>
      <c r="ESJ253" s="1"/>
      <c r="ESK253" s="1"/>
      <c r="ESL253" s="1"/>
      <c r="ESM253" s="1"/>
      <c r="ESN253" s="1"/>
      <c r="ESO253" s="1"/>
      <c r="ESP253" s="1"/>
      <c r="ESQ253" s="1"/>
      <c r="ESR253" s="1"/>
      <c r="ESS253" s="1"/>
      <c r="EST253" s="1"/>
      <c r="ESU253" s="1"/>
      <c r="ESV253" s="1"/>
      <c r="ESW253" s="1"/>
      <c r="ESX253" s="1"/>
      <c r="ESY253" s="1"/>
      <c r="ESZ253" s="1"/>
      <c r="ETA253" s="1"/>
      <c r="ETB253" s="1"/>
      <c r="ETC253" s="1"/>
      <c r="ETD253" s="1"/>
      <c r="ETE253" s="1"/>
      <c r="ETF253" s="1"/>
      <c r="ETG253" s="1"/>
      <c r="ETH253" s="1"/>
      <c r="ETI253" s="1"/>
      <c r="ETJ253" s="1"/>
      <c r="ETK253" s="1"/>
      <c r="ETL253" s="1"/>
      <c r="ETM253" s="1"/>
      <c r="ETN253" s="1"/>
      <c r="ETO253" s="1"/>
      <c r="ETP253" s="1"/>
      <c r="ETQ253" s="1"/>
      <c r="ETR253" s="1"/>
      <c r="ETS253" s="1"/>
      <c r="ETT253" s="1"/>
      <c r="ETU253" s="1"/>
      <c r="ETV253" s="1"/>
      <c r="ETW253" s="1"/>
      <c r="ETX253" s="1"/>
      <c r="ETY253" s="1"/>
      <c r="ETZ253" s="1"/>
      <c r="EUA253" s="1"/>
      <c r="EUB253" s="1"/>
      <c r="EUC253" s="1"/>
      <c r="EUD253" s="1"/>
      <c r="EUE253" s="1"/>
      <c r="EUF253" s="1"/>
      <c r="EUG253" s="1"/>
      <c r="EUH253" s="1"/>
      <c r="EUI253" s="1"/>
      <c r="EUJ253" s="1"/>
      <c r="EUK253" s="1"/>
      <c r="EUL253" s="1"/>
      <c r="EUM253" s="1"/>
      <c r="EUN253" s="1"/>
      <c r="EUO253" s="1"/>
      <c r="EUP253" s="1"/>
      <c r="EUQ253" s="1"/>
      <c r="EUR253" s="1"/>
      <c r="EUS253" s="1"/>
      <c r="EUT253" s="1"/>
      <c r="EUU253" s="1"/>
      <c r="EUV253" s="1"/>
      <c r="EUW253" s="1"/>
      <c r="EUX253" s="1"/>
      <c r="EUY253" s="1"/>
      <c r="EUZ253" s="1"/>
      <c r="EVA253" s="1"/>
      <c r="EVB253" s="1"/>
      <c r="EVC253" s="1"/>
      <c r="EVD253" s="1"/>
      <c r="EVE253" s="1"/>
      <c r="EVF253" s="1"/>
      <c r="EVG253" s="1"/>
      <c r="EVH253" s="1"/>
      <c r="EVI253" s="1"/>
      <c r="EVJ253" s="1"/>
      <c r="EVK253" s="1"/>
      <c r="EVL253" s="1"/>
      <c r="EVM253" s="1"/>
      <c r="EVN253" s="1"/>
      <c r="EVO253" s="1"/>
      <c r="EVP253" s="1"/>
      <c r="EVQ253" s="1"/>
      <c r="EVR253" s="1"/>
      <c r="EVS253" s="1"/>
      <c r="EVT253" s="1"/>
      <c r="EVU253" s="1"/>
      <c r="EVV253" s="1"/>
      <c r="EVW253" s="1"/>
      <c r="EVX253" s="1"/>
      <c r="EVY253" s="1"/>
      <c r="EVZ253" s="1"/>
      <c r="EWA253" s="1"/>
      <c r="EWB253" s="1"/>
      <c r="EWC253" s="1"/>
      <c r="EWD253" s="1"/>
      <c r="EWE253" s="1"/>
      <c r="EWF253" s="1"/>
      <c r="EWG253" s="1"/>
      <c r="EWH253" s="1"/>
      <c r="EWI253" s="1"/>
      <c r="EWJ253" s="1"/>
      <c r="EWK253" s="1"/>
      <c r="EWL253" s="1"/>
      <c r="EWM253" s="1"/>
      <c r="EWN253" s="1"/>
      <c r="EWO253" s="1"/>
      <c r="EWP253" s="1"/>
      <c r="EWQ253" s="1"/>
      <c r="EWR253" s="1"/>
      <c r="EWS253" s="1"/>
      <c r="EWT253" s="1"/>
      <c r="EWU253" s="1"/>
      <c r="EWV253" s="1"/>
      <c r="EWW253" s="1"/>
      <c r="EWX253" s="1"/>
      <c r="EWY253" s="1"/>
      <c r="EWZ253" s="1"/>
      <c r="EXA253" s="1"/>
      <c r="EXB253" s="1"/>
      <c r="EXC253" s="1"/>
      <c r="EXD253" s="1"/>
      <c r="EXE253" s="1"/>
      <c r="EXF253" s="1"/>
      <c r="EXG253" s="1"/>
      <c r="EXH253" s="1"/>
      <c r="EXI253" s="1"/>
      <c r="EXJ253" s="1"/>
      <c r="EXK253" s="1"/>
      <c r="EXL253" s="1"/>
      <c r="EXM253" s="1"/>
      <c r="EXN253" s="1"/>
      <c r="EXO253" s="1"/>
      <c r="EXP253" s="1"/>
      <c r="EXQ253" s="1"/>
      <c r="EXR253" s="1"/>
      <c r="EXS253" s="1"/>
      <c r="EXT253" s="1"/>
      <c r="EXU253" s="1"/>
      <c r="EXV253" s="1"/>
      <c r="EXW253" s="1"/>
      <c r="EXX253" s="1"/>
      <c r="EXY253" s="1"/>
      <c r="EXZ253" s="1"/>
      <c r="EYA253" s="1"/>
      <c r="EYB253" s="1"/>
      <c r="EYC253" s="1"/>
      <c r="EYD253" s="1"/>
      <c r="EYE253" s="1"/>
      <c r="EYF253" s="1"/>
      <c r="EYG253" s="1"/>
      <c r="EYH253" s="1"/>
      <c r="EYI253" s="1"/>
      <c r="EYJ253" s="1"/>
      <c r="EYK253" s="1"/>
      <c r="EYL253" s="1"/>
      <c r="EYM253" s="1"/>
      <c r="EYN253" s="1"/>
      <c r="EYO253" s="1"/>
      <c r="EYP253" s="1"/>
      <c r="EYQ253" s="1"/>
      <c r="EYR253" s="1"/>
      <c r="EYS253" s="1"/>
      <c r="EYT253" s="1"/>
      <c r="EYU253" s="1"/>
      <c r="EYV253" s="1"/>
      <c r="EYW253" s="1"/>
      <c r="EYX253" s="1"/>
      <c r="EYY253" s="1"/>
      <c r="EYZ253" s="1"/>
      <c r="EZA253" s="1"/>
      <c r="EZB253" s="1"/>
      <c r="EZC253" s="1"/>
      <c r="EZD253" s="1"/>
      <c r="EZE253" s="1"/>
      <c r="EZF253" s="1"/>
      <c r="EZG253" s="1"/>
      <c r="EZH253" s="1"/>
      <c r="EZI253" s="1"/>
      <c r="EZJ253" s="1"/>
      <c r="EZK253" s="1"/>
      <c r="EZL253" s="1"/>
      <c r="EZM253" s="1"/>
      <c r="EZN253" s="1"/>
      <c r="EZO253" s="1"/>
      <c r="EZP253" s="1"/>
      <c r="EZQ253" s="1"/>
      <c r="EZR253" s="1"/>
      <c r="EZS253" s="1"/>
      <c r="EZT253" s="1"/>
      <c r="EZU253" s="1"/>
      <c r="EZV253" s="1"/>
      <c r="EZW253" s="1"/>
      <c r="EZX253" s="1"/>
      <c r="EZY253" s="1"/>
      <c r="EZZ253" s="1"/>
      <c r="FAA253" s="1"/>
      <c r="FAB253" s="1"/>
      <c r="FAC253" s="1"/>
      <c r="FAD253" s="1"/>
      <c r="FAE253" s="1"/>
      <c r="FAF253" s="1"/>
      <c r="FAG253" s="1"/>
      <c r="FAH253" s="1"/>
      <c r="FAI253" s="1"/>
      <c r="FAJ253" s="1"/>
      <c r="FAK253" s="1"/>
      <c r="FAL253" s="1"/>
      <c r="FAM253" s="1"/>
      <c r="FAN253" s="1"/>
      <c r="FAO253" s="1"/>
      <c r="FAP253" s="1"/>
      <c r="FAQ253" s="1"/>
      <c r="FAR253" s="1"/>
      <c r="FAS253" s="1"/>
      <c r="FAT253" s="1"/>
      <c r="FAU253" s="1"/>
      <c r="FAV253" s="1"/>
      <c r="FAW253" s="1"/>
      <c r="FAX253" s="1"/>
      <c r="FAY253" s="1"/>
      <c r="FAZ253" s="1"/>
      <c r="FBA253" s="1"/>
      <c r="FBB253" s="1"/>
      <c r="FBC253" s="1"/>
      <c r="FBD253" s="1"/>
      <c r="FBE253" s="1"/>
      <c r="FBF253" s="1"/>
      <c r="FBG253" s="1"/>
      <c r="FBH253" s="1"/>
      <c r="FBI253" s="1"/>
      <c r="FBJ253" s="1"/>
      <c r="FBK253" s="1"/>
      <c r="FBL253" s="1"/>
      <c r="FBM253" s="1"/>
      <c r="FBN253" s="1"/>
      <c r="FBO253" s="1"/>
      <c r="FBP253" s="1"/>
      <c r="FBQ253" s="1"/>
      <c r="FBR253" s="1"/>
      <c r="FBS253" s="1"/>
      <c r="FBT253" s="1"/>
      <c r="FBU253" s="1"/>
      <c r="FBV253" s="1"/>
      <c r="FBW253" s="1"/>
      <c r="FBX253" s="1"/>
      <c r="FBY253" s="1"/>
      <c r="FBZ253" s="1"/>
      <c r="FCA253" s="1"/>
      <c r="FCB253" s="1"/>
      <c r="FCC253" s="1"/>
      <c r="FCD253" s="1"/>
      <c r="FCE253" s="1"/>
      <c r="FCF253" s="1"/>
      <c r="FCG253" s="1"/>
      <c r="FCH253" s="1"/>
      <c r="FCI253" s="1"/>
      <c r="FCJ253" s="1"/>
      <c r="FCK253" s="1"/>
      <c r="FCL253" s="1"/>
      <c r="FCM253" s="1"/>
      <c r="FCN253" s="1"/>
      <c r="FCO253" s="1"/>
      <c r="FCP253" s="1"/>
      <c r="FCQ253" s="1"/>
      <c r="FCR253" s="1"/>
      <c r="FCS253" s="1"/>
      <c r="FCT253" s="1"/>
      <c r="FCU253" s="1"/>
      <c r="FCV253" s="1"/>
      <c r="FCW253" s="1"/>
      <c r="FCX253" s="1"/>
      <c r="FCY253" s="1"/>
      <c r="FCZ253" s="1"/>
      <c r="FDA253" s="1"/>
      <c r="FDB253" s="1"/>
      <c r="FDC253" s="1"/>
      <c r="FDD253" s="1"/>
      <c r="FDE253" s="1"/>
      <c r="FDF253" s="1"/>
      <c r="FDG253" s="1"/>
      <c r="FDH253" s="1"/>
      <c r="FDI253" s="1"/>
      <c r="FDJ253" s="1"/>
      <c r="FDK253" s="1"/>
      <c r="FDL253" s="1"/>
      <c r="FDM253" s="1"/>
      <c r="FDN253" s="1"/>
      <c r="FDO253" s="1"/>
      <c r="FDP253" s="1"/>
      <c r="FDQ253" s="1"/>
      <c r="FDR253" s="1"/>
      <c r="FDS253" s="1"/>
      <c r="FDT253" s="1"/>
      <c r="FDU253" s="1"/>
      <c r="FDV253" s="1"/>
      <c r="FDW253" s="1"/>
      <c r="FDX253" s="1"/>
      <c r="FDY253" s="1"/>
      <c r="FDZ253" s="1"/>
      <c r="FEA253" s="1"/>
      <c r="FEB253" s="1"/>
      <c r="FEC253" s="1"/>
      <c r="FED253" s="1"/>
      <c r="FEE253" s="1"/>
      <c r="FEF253" s="1"/>
      <c r="FEG253" s="1"/>
      <c r="FEH253" s="1"/>
      <c r="FEI253" s="1"/>
      <c r="FEJ253" s="1"/>
      <c r="FEK253" s="1"/>
      <c r="FEL253" s="1"/>
      <c r="FEM253" s="1"/>
      <c r="FEN253" s="1"/>
      <c r="FEO253" s="1"/>
      <c r="FEP253" s="1"/>
      <c r="FEQ253" s="1"/>
      <c r="FER253" s="1"/>
      <c r="FES253" s="1"/>
      <c r="FET253" s="1"/>
      <c r="FEU253" s="1"/>
      <c r="FEV253" s="1"/>
      <c r="FEW253" s="1"/>
      <c r="FEX253" s="1"/>
      <c r="FEY253" s="1"/>
      <c r="FEZ253" s="1"/>
      <c r="FFA253" s="1"/>
      <c r="FFB253" s="1"/>
      <c r="FFC253" s="1"/>
      <c r="FFD253" s="1"/>
      <c r="FFE253" s="1"/>
      <c r="FFF253" s="1"/>
      <c r="FFG253" s="1"/>
      <c r="FFH253" s="1"/>
      <c r="FFI253" s="1"/>
      <c r="FFJ253" s="1"/>
      <c r="FFK253" s="1"/>
      <c r="FFL253" s="1"/>
      <c r="FFM253" s="1"/>
      <c r="FFN253" s="1"/>
      <c r="FFO253" s="1"/>
      <c r="FFP253" s="1"/>
      <c r="FFQ253" s="1"/>
      <c r="FFR253" s="1"/>
      <c r="FFS253" s="1"/>
      <c r="FFT253" s="1"/>
      <c r="FFU253" s="1"/>
      <c r="FFV253" s="1"/>
      <c r="FFW253" s="1"/>
      <c r="FFX253" s="1"/>
      <c r="FFY253" s="1"/>
      <c r="FFZ253" s="1"/>
      <c r="FGA253" s="1"/>
      <c r="FGB253" s="1"/>
      <c r="FGC253" s="1"/>
      <c r="FGD253" s="1"/>
      <c r="FGE253" s="1"/>
      <c r="FGF253" s="1"/>
      <c r="FGG253" s="1"/>
      <c r="FGH253" s="1"/>
      <c r="FGI253" s="1"/>
      <c r="FGJ253" s="1"/>
      <c r="FGK253" s="1"/>
      <c r="FGL253" s="1"/>
      <c r="FGM253" s="1"/>
      <c r="FGN253" s="1"/>
      <c r="FGO253" s="1"/>
      <c r="FGP253" s="1"/>
      <c r="FGQ253" s="1"/>
      <c r="FGR253" s="1"/>
      <c r="FGS253" s="1"/>
      <c r="FGT253" s="1"/>
      <c r="FGU253" s="1"/>
      <c r="FGV253" s="1"/>
      <c r="FGW253" s="1"/>
      <c r="FGX253" s="1"/>
      <c r="FGY253" s="1"/>
      <c r="FGZ253" s="1"/>
      <c r="FHA253" s="1"/>
      <c r="FHB253" s="1"/>
      <c r="FHC253" s="1"/>
      <c r="FHD253" s="1"/>
      <c r="FHE253" s="1"/>
      <c r="FHF253" s="1"/>
      <c r="FHG253" s="1"/>
      <c r="FHH253" s="1"/>
      <c r="FHI253" s="1"/>
      <c r="FHJ253" s="1"/>
      <c r="FHK253" s="1"/>
      <c r="FHL253" s="1"/>
      <c r="FHM253" s="1"/>
      <c r="FHN253" s="1"/>
      <c r="FHO253" s="1"/>
      <c r="FHP253" s="1"/>
      <c r="FHQ253" s="1"/>
      <c r="FHR253" s="1"/>
      <c r="FHS253" s="1"/>
      <c r="FHT253" s="1"/>
      <c r="FHU253" s="1"/>
      <c r="FHV253" s="1"/>
      <c r="FHW253" s="1"/>
      <c r="FHX253" s="1"/>
      <c r="FHY253" s="1"/>
      <c r="FHZ253" s="1"/>
      <c r="FIA253" s="1"/>
      <c r="FIB253" s="1"/>
      <c r="FIC253" s="1"/>
      <c r="FID253" s="1"/>
      <c r="FIE253" s="1"/>
      <c r="FIF253" s="1"/>
      <c r="FIG253" s="1"/>
      <c r="FIH253" s="1"/>
      <c r="FII253" s="1"/>
      <c r="FIJ253" s="1"/>
      <c r="FIK253" s="1"/>
      <c r="FIL253" s="1"/>
      <c r="FIM253" s="1"/>
      <c r="FIN253" s="1"/>
      <c r="FIO253" s="1"/>
      <c r="FIP253" s="1"/>
      <c r="FIQ253" s="1"/>
      <c r="FIR253" s="1"/>
      <c r="FIS253" s="1"/>
      <c r="FIT253" s="1"/>
      <c r="FIU253" s="1"/>
      <c r="FIV253" s="1"/>
      <c r="FIW253" s="1"/>
      <c r="FIX253" s="1"/>
      <c r="FIY253" s="1"/>
      <c r="FIZ253" s="1"/>
      <c r="FJA253" s="1"/>
      <c r="FJB253" s="1"/>
      <c r="FJC253" s="1"/>
      <c r="FJD253" s="1"/>
      <c r="FJE253" s="1"/>
      <c r="FJF253" s="1"/>
      <c r="FJG253" s="1"/>
      <c r="FJH253" s="1"/>
      <c r="FJI253" s="1"/>
      <c r="FJJ253" s="1"/>
      <c r="FJK253" s="1"/>
      <c r="FJL253" s="1"/>
      <c r="FJM253" s="1"/>
      <c r="FJN253" s="1"/>
      <c r="FJO253" s="1"/>
      <c r="FJP253" s="1"/>
      <c r="FJQ253" s="1"/>
      <c r="FJR253" s="1"/>
      <c r="FJS253" s="1"/>
      <c r="FJT253" s="1"/>
      <c r="FJU253" s="1"/>
      <c r="FJV253" s="1"/>
      <c r="FJW253" s="1"/>
      <c r="FJX253" s="1"/>
      <c r="FJY253" s="1"/>
      <c r="FJZ253" s="1"/>
      <c r="FKA253" s="1"/>
      <c r="FKB253" s="1"/>
      <c r="FKC253" s="1"/>
      <c r="FKD253" s="1"/>
      <c r="FKE253" s="1"/>
      <c r="FKF253" s="1"/>
      <c r="FKG253" s="1"/>
      <c r="FKH253" s="1"/>
      <c r="FKI253" s="1"/>
      <c r="FKJ253" s="1"/>
      <c r="FKK253" s="1"/>
      <c r="FKL253" s="1"/>
      <c r="FKM253" s="1"/>
      <c r="FKN253" s="1"/>
      <c r="FKO253" s="1"/>
      <c r="FKP253" s="1"/>
      <c r="FKQ253" s="1"/>
      <c r="FKR253" s="1"/>
      <c r="FKS253" s="1"/>
      <c r="FKT253" s="1"/>
      <c r="FKU253" s="1"/>
      <c r="FKV253" s="1"/>
      <c r="FKW253" s="1"/>
      <c r="FKX253" s="1"/>
      <c r="FKY253" s="1"/>
      <c r="FKZ253" s="1"/>
      <c r="FLA253" s="1"/>
      <c r="FLB253" s="1"/>
      <c r="FLC253" s="1"/>
      <c r="FLD253" s="1"/>
      <c r="FLE253" s="1"/>
      <c r="FLF253" s="1"/>
      <c r="FLG253" s="1"/>
      <c r="FLH253" s="1"/>
      <c r="FLI253" s="1"/>
      <c r="FLJ253" s="1"/>
      <c r="FLK253" s="1"/>
      <c r="FLL253" s="1"/>
      <c r="FLM253" s="1"/>
      <c r="FLN253" s="1"/>
      <c r="FLO253" s="1"/>
      <c r="FLP253" s="1"/>
      <c r="FLQ253" s="1"/>
      <c r="FLR253" s="1"/>
      <c r="FLS253" s="1"/>
      <c r="FLT253" s="1"/>
      <c r="FLU253" s="1"/>
      <c r="FLV253" s="1"/>
      <c r="FLW253" s="1"/>
      <c r="FLX253" s="1"/>
      <c r="FLY253" s="1"/>
      <c r="FLZ253" s="1"/>
      <c r="FMA253" s="1"/>
      <c r="FMB253" s="1"/>
      <c r="FMC253" s="1"/>
      <c r="FMD253" s="1"/>
      <c r="FME253" s="1"/>
      <c r="FMF253" s="1"/>
      <c r="FMG253" s="1"/>
      <c r="FMH253" s="1"/>
      <c r="FMI253" s="1"/>
      <c r="FMJ253" s="1"/>
      <c r="FMK253" s="1"/>
      <c r="FML253" s="1"/>
      <c r="FMM253" s="1"/>
      <c r="FMN253" s="1"/>
      <c r="FMO253" s="1"/>
      <c r="FMP253" s="1"/>
      <c r="FMQ253" s="1"/>
      <c r="FMR253" s="1"/>
      <c r="FMS253" s="1"/>
      <c r="FMT253" s="1"/>
      <c r="FMU253" s="1"/>
      <c r="FMV253" s="1"/>
      <c r="FMW253" s="1"/>
      <c r="FMX253" s="1"/>
      <c r="FMY253" s="1"/>
      <c r="FMZ253" s="1"/>
      <c r="FNA253" s="1"/>
      <c r="FNB253" s="1"/>
      <c r="FNC253" s="1"/>
      <c r="FND253" s="1"/>
      <c r="FNE253" s="1"/>
      <c r="FNF253" s="1"/>
      <c r="FNG253" s="1"/>
      <c r="FNH253" s="1"/>
      <c r="FNI253" s="1"/>
      <c r="FNJ253" s="1"/>
      <c r="FNK253" s="1"/>
      <c r="FNL253" s="1"/>
      <c r="FNM253" s="1"/>
      <c r="FNN253" s="1"/>
      <c r="FNO253" s="1"/>
      <c r="FNP253" s="1"/>
      <c r="FNQ253" s="1"/>
      <c r="FNR253" s="1"/>
      <c r="FNS253" s="1"/>
      <c r="FNT253" s="1"/>
      <c r="FNU253" s="1"/>
      <c r="FNV253" s="1"/>
      <c r="FNW253" s="1"/>
      <c r="FNX253" s="1"/>
      <c r="FNY253" s="1"/>
      <c r="FNZ253" s="1"/>
      <c r="FOA253" s="1"/>
      <c r="FOB253" s="1"/>
      <c r="FOC253" s="1"/>
      <c r="FOD253" s="1"/>
      <c r="FOE253" s="1"/>
      <c r="FOF253" s="1"/>
      <c r="FOG253" s="1"/>
      <c r="FOH253" s="1"/>
      <c r="FOI253" s="1"/>
      <c r="FOJ253" s="1"/>
      <c r="FOK253" s="1"/>
      <c r="FOL253" s="1"/>
      <c r="FOM253" s="1"/>
      <c r="FON253" s="1"/>
      <c r="FOO253" s="1"/>
      <c r="FOP253" s="1"/>
      <c r="FOQ253" s="1"/>
      <c r="FOR253" s="1"/>
      <c r="FOS253" s="1"/>
      <c r="FOT253" s="1"/>
      <c r="FOU253" s="1"/>
      <c r="FOV253" s="1"/>
      <c r="FOW253" s="1"/>
      <c r="FOX253" s="1"/>
      <c r="FOY253" s="1"/>
      <c r="FOZ253" s="1"/>
      <c r="FPA253" s="1"/>
      <c r="FPB253" s="1"/>
      <c r="FPC253" s="1"/>
      <c r="FPD253" s="1"/>
      <c r="FPE253" s="1"/>
      <c r="FPF253" s="1"/>
      <c r="FPG253" s="1"/>
      <c r="FPH253" s="1"/>
      <c r="FPI253" s="1"/>
      <c r="FPJ253" s="1"/>
      <c r="FPK253" s="1"/>
      <c r="FPL253" s="1"/>
      <c r="FPM253" s="1"/>
      <c r="FPN253" s="1"/>
      <c r="FPO253" s="1"/>
      <c r="FPP253" s="1"/>
      <c r="FPQ253" s="1"/>
      <c r="FPR253" s="1"/>
      <c r="FPS253" s="1"/>
      <c r="FPT253" s="1"/>
      <c r="FPU253" s="1"/>
      <c r="FPV253" s="1"/>
      <c r="FPW253" s="1"/>
      <c r="FPX253" s="1"/>
      <c r="FPY253" s="1"/>
      <c r="FPZ253" s="1"/>
      <c r="FQA253" s="1"/>
      <c r="FQB253" s="1"/>
      <c r="FQC253" s="1"/>
      <c r="FQD253" s="1"/>
      <c r="FQE253" s="1"/>
      <c r="FQF253" s="1"/>
      <c r="FQG253" s="1"/>
      <c r="FQH253" s="1"/>
      <c r="FQI253" s="1"/>
      <c r="FQJ253" s="1"/>
      <c r="FQK253" s="1"/>
      <c r="FQL253" s="1"/>
      <c r="FQM253" s="1"/>
      <c r="FQN253" s="1"/>
      <c r="FQO253" s="1"/>
      <c r="FQP253" s="1"/>
      <c r="FQQ253" s="1"/>
      <c r="FQR253" s="1"/>
      <c r="FQS253" s="1"/>
      <c r="FQT253" s="1"/>
      <c r="FQU253" s="1"/>
      <c r="FQV253" s="1"/>
      <c r="FQW253" s="1"/>
      <c r="FQX253" s="1"/>
      <c r="FQY253" s="1"/>
      <c r="FQZ253" s="1"/>
      <c r="FRA253" s="1"/>
      <c r="FRB253" s="1"/>
      <c r="FRC253" s="1"/>
      <c r="FRD253" s="1"/>
      <c r="FRE253" s="1"/>
      <c r="FRF253" s="1"/>
      <c r="FRG253" s="1"/>
      <c r="FRH253" s="1"/>
      <c r="FRI253" s="1"/>
      <c r="FRJ253" s="1"/>
      <c r="FRK253" s="1"/>
      <c r="FRL253" s="1"/>
      <c r="FRM253" s="1"/>
      <c r="FRN253" s="1"/>
      <c r="FRO253" s="1"/>
      <c r="FRP253" s="1"/>
      <c r="FRQ253" s="1"/>
      <c r="FRR253" s="1"/>
      <c r="FRS253" s="1"/>
      <c r="FRT253" s="1"/>
      <c r="FRU253" s="1"/>
      <c r="FRV253" s="1"/>
      <c r="FRW253" s="1"/>
      <c r="FRX253" s="1"/>
      <c r="FRY253" s="1"/>
      <c r="FRZ253" s="1"/>
      <c r="FSA253" s="1"/>
      <c r="FSB253" s="1"/>
      <c r="FSC253" s="1"/>
      <c r="FSD253" s="1"/>
      <c r="FSE253" s="1"/>
      <c r="FSF253" s="1"/>
      <c r="FSG253" s="1"/>
      <c r="FSH253" s="1"/>
      <c r="FSI253" s="1"/>
      <c r="FSJ253" s="1"/>
      <c r="FSK253" s="1"/>
      <c r="FSL253" s="1"/>
      <c r="FSM253" s="1"/>
      <c r="FSN253" s="1"/>
      <c r="FSO253" s="1"/>
      <c r="FSP253" s="1"/>
      <c r="FSQ253" s="1"/>
      <c r="FSR253" s="1"/>
      <c r="FSS253" s="1"/>
      <c r="FST253" s="1"/>
      <c r="FSU253" s="1"/>
      <c r="FSV253" s="1"/>
      <c r="FSW253" s="1"/>
      <c r="FSX253" s="1"/>
      <c r="FSY253" s="1"/>
      <c r="FSZ253" s="1"/>
      <c r="FTA253" s="1"/>
      <c r="FTB253" s="1"/>
      <c r="FTC253" s="1"/>
      <c r="FTD253" s="1"/>
      <c r="FTE253" s="1"/>
      <c r="FTF253" s="1"/>
      <c r="FTG253" s="1"/>
      <c r="FTH253" s="1"/>
      <c r="FTI253" s="1"/>
      <c r="FTJ253" s="1"/>
      <c r="FTK253" s="1"/>
      <c r="FTL253" s="1"/>
      <c r="FTM253" s="1"/>
      <c r="FTN253" s="1"/>
      <c r="FTO253" s="1"/>
      <c r="FTP253" s="1"/>
      <c r="FTQ253" s="1"/>
      <c r="FTR253" s="1"/>
      <c r="FTS253" s="1"/>
      <c r="FTT253" s="1"/>
      <c r="FTU253" s="1"/>
      <c r="FTV253" s="1"/>
      <c r="FTW253" s="1"/>
      <c r="FTX253" s="1"/>
      <c r="FTY253" s="1"/>
      <c r="FTZ253" s="1"/>
      <c r="FUA253" s="1"/>
      <c r="FUB253" s="1"/>
      <c r="FUC253" s="1"/>
      <c r="FUD253" s="1"/>
      <c r="FUE253" s="1"/>
      <c r="FUF253" s="1"/>
      <c r="FUG253" s="1"/>
      <c r="FUH253" s="1"/>
      <c r="FUI253" s="1"/>
      <c r="FUJ253" s="1"/>
      <c r="FUK253" s="1"/>
      <c r="FUL253" s="1"/>
      <c r="FUM253" s="1"/>
      <c r="FUN253" s="1"/>
      <c r="FUO253" s="1"/>
      <c r="FUP253" s="1"/>
      <c r="FUQ253" s="1"/>
      <c r="FUR253" s="1"/>
      <c r="FUS253" s="1"/>
      <c r="FUT253" s="1"/>
      <c r="FUU253" s="1"/>
      <c r="FUV253" s="1"/>
      <c r="FUW253" s="1"/>
      <c r="FUX253" s="1"/>
      <c r="FUY253" s="1"/>
      <c r="FUZ253" s="1"/>
      <c r="FVA253" s="1"/>
      <c r="FVB253" s="1"/>
      <c r="FVC253" s="1"/>
      <c r="FVD253" s="1"/>
      <c r="FVE253" s="1"/>
      <c r="FVF253" s="1"/>
      <c r="FVG253" s="1"/>
      <c r="FVH253" s="1"/>
      <c r="FVI253" s="1"/>
      <c r="FVJ253" s="1"/>
      <c r="FVK253" s="1"/>
      <c r="FVL253" s="1"/>
      <c r="FVM253" s="1"/>
      <c r="FVN253" s="1"/>
      <c r="FVO253" s="1"/>
      <c r="FVP253" s="1"/>
      <c r="FVQ253" s="1"/>
      <c r="FVR253" s="1"/>
      <c r="FVS253" s="1"/>
      <c r="FVT253" s="1"/>
      <c r="FVU253" s="1"/>
      <c r="FVV253" s="1"/>
      <c r="FVW253" s="1"/>
      <c r="FVX253" s="1"/>
      <c r="FVY253" s="1"/>
      <c r="FVZ253" s="1"/>
      <c r="FWA253" s="1"/>
      <c r="FWB253" s="1"/>
      <c r="FWC253" s="1"/>
      <c r="FWD253" s="1"/>
      <c r="FWE253" s="1"/>
      <c r="FWF253" s="1"/>
      <c r="FWG253" s="1"/>
      <c r="FWH253" s="1"/>
      <c r="FWI253" s="1"/>
      <c r="FWJ253" s="1"/>
      <c r="FWK253" s="1"/>
      <c r="FWL253" s="1"/>
      <c r="FWM253" s="1"/>
      <c r="FWN253" s="1"/>
      <c r="FWO253" s="1"/>
      <c r="FWP253" s="1"/>
      <c r="FWQ253" s="1"/>
      <c r="FWR253" s="1"/>
      <c r="FWS253" s="1"/>
      <c r="FWT253" s="1"/>
      <c r="FWU253" s="1"/>
      <c r="FWV253" s="1"/>
      <c r="FWW253" s="1"/>
      <c r="FWX253" s="1"/>
      <c r="FWY253" s="1"/>
      <c r="FWZ253" s="1"/>
      <c r="FXA253" s="1"/>
      <c r="FXB253" s="1"/>
      <c r="FXC253" s="1"/>
      <c r="FXD253" s="1"/>
      <c r="FXE253" s="1"/>
      <c r="FXF253" s="1"/>
      <c r="FXG253" s="1"/>
      <c r="FXH253" s="1"/>
      <c r="FXI253" s="1"/>
      <c r="FXJ253" s="1"/>
      <c r="FXK253" s="1"/>
      <c r="FXL253" s="1"/>
      <c r="FXM253" s="1"/>
      <c r="FXN253" s="1"/>
      <c r="FXO253" s="1"/>
      <c r="FXP253" s="1"/>
      <c r="FXQ253" s="1"/>
      <c r="FXR253" s="1"/>
      <c r="FXS253" s="1"/>
      <c r="FXT253" s="1"/>
      <c r="FXU253" s="1"/>
      <c r="FXV253" s="1"/>
      <c r="FXW253" s="1"/>
      <c r="FXX253" s="1"/>
      <c r="FXY253" s="1"/>
      <c r="FXZ253" s="1"/>
      <c r="FYA253" s="1"/>
      <c r="FYB253" s="1"/>
      <c r="FYC253" s="1"/>
      <c r="FYD253" s="1"/>
      <c r="FYE253" s="1"/>
      <c r="FYF253" s="1"/>
      <c r="FYG253" s="1"/>
      <c r="FYH253" s="1"/>
      <c r="FYI253" s="1"/>
      <c r="FYJ253" s="1"/>
      <c r="FYK253" s="1"/>
      <c r="FYL253" s="1"/>
      <c r="FYM253" s="1"/>
      <c r="FYN253" s="1"/>
      <c r="FYO253" s="1"/>
      <c r="FYP253" s="1"/>
      <c r="FYQ253" s="1"/>
      <c r="FYR253" s="1"/>
      <c r="FYS253" s="1"/>
      <c r="FYT253" s="1"/>
      <c r="FYU253" s="1"/>
      <c r="FYV253" s="1"/>
      <c r="FYW253" s="1"/>
      <c r="FYX253" s="1"/>
      <c r="FYY253" s="1"/>
      <c r="FYZ253" s="1"/>
      <c r="FZA253" s="1"/>
      <c r="FZB253" s="1"/>
      <c r="FZC253" s="1"/>
      <c r="FZD253" s="1"/>
      <c r="FZE253" s="1"/>
      <c r="FZF253" s="1"/>
      <c r="FZG253" s="1"/>
      <c r="FZH253" s="1"/>
      <c r="FZI253" s="1"/>
      <c r="FZJ253" s="1"/>
      <c r="FZK253" s="1"/>
      <c r="FZL253" s="1"/>
      <c r="FZM253" s="1"/>
      <c r="FZN253" s="1"/>
      <c r="FZO253" s="1"/>
      <c r="FZP253" s="1"/>
      <c r="FZQ253" s="1"/>
      <c r="FZR253" s="1"/>
      <c r="FZS253" s="1"/>
      <c r="FZT253" s="1"/>
      <c r="FZU253" s="1"/>
      <c r="FZV253" s="1"/>
      <c r="FZW253" s="1"/>
      <c r="FZX253" s="1"/>
      <c r="FZY253" s="1"/>
      <c r="FZZ253" s="1"/>
      <c r="GAA253" s="1"/>
      <c r="GAB253" s="1"/>
      <c r="GAC253" s="1"/>
      <c r="GAD253" s="1"/>
      <c r="GAE253" s="1"/>
      <c r="GAF253" s="1"/>
      <c r="GAG253" s="1"/>
      <c r="GAH253" s="1"/>
      <c r="GAI253" s="1"/>
      <c r="GAJ253" s="1"/>
      <c r="GAK253" s="1"/>
      <c r="GAL253" s="1"/>
      <c r="GAM253" s="1"/>
      <c r="GAN253" s="1"/>
      <c r="GAO253" s="1"/>
      <c r="GAP253" s="1"/>
      <c r="GAQ253" s="1"/>
      <c r="GAR253" s="1"/>
      <c r="GAS253" s="1"/>
      <c r="GAT253" s="1"/>
      <c r="GAU253" s="1"/>
      <c r="GAV253" s="1"/>
      <c r="GAW253" s="1"/>
      <c r="GAX253" s="1"/>
      <c r="GAY253" s="1"/>
      <c r="GAZ253" s="1"/>
      <c r="GBA253" s="1"/>
      <c r="GBB253" s="1"/>
      <c r="GBC253" s="1"/>
      <c r="GBD253" s="1"/>
      <c r="GBE253" s="1"/>
      <c r="GBF253" s="1"/>
      <c r="GBG253" s="1"/>
      <c r="GBH253" s="1"/>
      <c r="GBI253" s="1"/>
      <c r="GBJ253" s="1"/>
      <c r="GBK253" s="1"/>
      <c r="GBL253" s="1"/>
      <c r="GBM253" s="1"/>
      <c r="GBN253" s="1"/>
      <c r="GBO253" s="1"/>
      <c r="GBP253" s="1"/>
      <c r="GBQ253" s="1"/>
      <c r="GBR253" s="1"/>
      <c r="GBS253" s="1"/>
      <c r="GBT253" s="1"/>
      <c r="GBU253" s="1"/>
      <c r="GBV253" s="1"/>
      <c r="GBW253" s="1"/>
      <c r="GBX253" s="1"/>
      <c r="GBY253" s="1"/>
      <c r="GBZ253" s="1"/>
      <c r="GCA253" s="1"/>
      <c r="GCB253" s="1"/>
      <c r="GCC253" s="1"/>
      <c r="GCD253" s="1"/>
      <c r="GCE253" s="1"/>
      <c r="GCF253" s="1"/>
      <c r="GCG253" s="1"/>
      <c r="GCH253" s="1"/>
      <c r="GCI253" s="1"/>
      <c r="GCJ253" s="1"/>
      <c r="GCK253" s="1"/>
      <c r="GCL253" s="1"/>
      <c r="GCM253" s="1"/>
      <c r="GCN253" s="1"/>
      <c r="GCO253" s="1"/>
      <c r="GCP253" s="1"/>
      <c r="GCQ253" s="1"/>
      <c r="GCR253" s="1"/>
      <c r="GCS253" s="1"/>
      <c r="GCT253" s="1"/>
      <c r="GCU253" s="1"/>
      <c r="GCV253" s="1"/>
      <c r="GCW253" s="1"/>
      <c r="GCX253" s="1"/>
      <c r="GCY253" s="1"/>
      <c r="GCZ253" s="1"/>
      <c r="GDA253" s="1"/>
      <c r="GDB253" s="1"/>
      <c r="GDC253" s="1"/>
      <c r="GDD253" s="1"/>
      <c r="GDE253" s="1"/>
      <c r="GDF253" s="1"/>
      <c r="GDG253" s="1"/>
      <c r="GDH253" s="1"/>
      <c r="GDI253" s="1"/>
      <c r="GDJ253" s="1"/>
      <c r="GDK253" s="1"/>
      <c r="GDL253" s="1"/>
      <c r="GDM253" s="1"/>
      <c r="GDN253" s="1"/>
      <c r="GDO253" s="1"/>
      <c r="GDP253" s="1"/>
      <c r="GDQ253" s="1"/>
      <c r="GDR253" s="1"/>
      <c r="GDS253" s="1"/>
      <c r="GDT253" s="1"/>
      <c r="GDU253" s="1"/>
      <c r="GDV253" s="1"/>
      <c r="GDW253" s="1"/>
      <c r="GDX253" s="1"/>
      <c r="GDY253" s="1"/>
      <c r="GDZ253" s="1"/>
      <c r="GEA253" s="1"/>
      <c r="GEB253" s="1"/>
      <c r="GEC253" s="1"/>
      <c r="GED253" s="1"/>
      <c r="GEE253" s="1"/>
      <c r="GEF253" s="1"/>
      <c r="GEG253" s="1"/>
      <c r="GEH253" s="1"/>
      <c r="GEI253" s="1"/>
      <c r="GEJ253" s="1"/>
      <c r="GEK253" s="1"/>
      <c r="GEL253" s="1"/>
      <c r="GEM253" s="1"/>
      <c r="GEN253" s="1"/>
      <c r="GEO253" s="1"/>
      <c r="GEP253" s="1"/>
      <c r="GEQ253" s="1"/>
      <c r="GER253" s="1"/>
      <c r="GES253" s="1"/>
      <c r="GET253" s="1"/>
      <c r="GEU253" s="1"/>
      <c r="GEV253" s="1"/>
      <c r="GEW253" s="1"/>
      <c r="GEX253" s="1"/>
      <c r="GEY253" s="1"/>
      <c r="GEZ253" s="1"/>
      <c r="GFA253" s="1"/>
      <c r="GFB253" s="1"/>
      <c r="GFC253" s="1"/>
      <c r="GFD253" s="1"/>
      <c r="GFE253" s="1"/>
      <c r="GFF253" s="1"/>
      <c r="GFG253" s="1"/>
      <c r="GFH253" s="1"/>
      <c r="GFI253" s="1"/>
      <c r="GFJ253" s="1"/>
      <c r="GFK253" s="1"/>
      <c r="GFL253" s="1"/>
      <c r="GFM253" s="1"/>
      <c r="GFN253" s="1"/>
      <c r="GFO253" s="1"/>
      <c r="GFP253" s="1"/>
      <c r="GFQ253" s="1"/>
      <c r="GFR253" s="1"/>
      <c r="GFS253" s="1"/>
      <c r="GFT253" s="1"/>
      <c r="GFU253" s="1"/>
      <c r="GFV253" s="1"/>
      <c r="GFW253" s="1"/>
      <c r="GFX253" s="1"/>
      <c r="GFY253" s="1"/>
      <c r="GFZ253" s="1"/>
      <c r="GGA253" s="1"/>
      <c r="GGB253" s="1"/>
      <c r="GGC253" s="1"/>
      <c r="GGD253" s="1"/>
      <c r="GGE253" s="1"/>
      <c r="GGF253" s="1"/>
      <c r="GGG253" s="1"/>
      <c r="GGH253" s="1"/>
      <c r="GGI253" s="1"/>
      <c r="GGJ253" s="1"/>
      <c r="GGK253" s="1"/>
      <c r="GGL253" s="1"/>
      <c r="GGM253" s="1"/>
      <c r="GGN253" s="1"/>
      <c r="GGO253" s="1"/>
      <c r="GGP253" s="1"/>
      <c r="GGQ253" s="1"/>
      <c r="GGR253" s="1"/>
      <c r="GGS253" s="1"/>
      <c r="GGT253" s="1"/>
      <c r="GGU253" s="1"/>
      <c r="GGV253" s="1"/>
      <c r="GGW253" s="1"/>
      <c r="GGX253" s="1"/>
      <c r="GGY253" s="1"/>
      <c r="GGZ253" s="1"/>
      <c r="GHA253" s="1"/>
      <c r="GHB253" s="1"/>
      <c r="GHC253" s="1"/>
      <c r="GHD253" s="1"/>
      <c r="GHE253" s="1"/>
      <c r="GHF253" s="1"/>
      <c r="GHG253" s="1"/>
      <c r="GHH253" s="1"/>
      <c r="GHI253" s="1"/>
      <c r="GHJ253" s="1"/>
      <c r="GHK253" s="1"/>
      <c r="GHL253" s="1"/>
      <c r="GHM253" s="1"/>
      <c r="GHN253" s="1"/>
      <c r="GHO253" s="1"/>
      <c r="GHP253" s="1"/>
      <c r="GHQ253" s="1"/>
      <c r="GHR253" s="1"/>
      <c r="GHS253" s="1"/>
      <c r="GHT253" s="1"/>
      <c r="GHU253" s="1"/>
      <c r="GHV253" s="1"/>
      <c r="GHW253" s="1"/>
      <c r="GHX253" s="1"/>
      <c r="GHY253" s="1"/>
      <c r="GHZ253" s="1"/>
      <c r="GIA253" s="1"/>
      <c r="GIB253" s="1"/>
      <c r="GIC253" s="1"/>
      <c r="GID253" s="1"/>
      <c r="GIE253" s="1"/>
      <c r="GIF253" s="1"/>
      <c r="GIG253" s="1"/>
      <c r="GIH253" s="1"/>
      <c r="GII253" s="1"/>
      <c r="GIJ253" s="1"/>
      <c r="GIK253" s="1"/>
      <c r="GIL253" s="1"/>
      <c r="GIM253" s="1"/>
      <c r="GIN253" s="1"/>
      <c r="GIO253" s="1"/>
      <c r="GIP253" s="1"/>
      <c r="GIQ253" s="1"/>
      <c r="GIR253" s="1"/>
      <c r="GIS253" s="1"/>
      <c r="GIT253" s="1"/>
      <c r="GIU253" s="1"/>
      <c r="GIV253" s="1"/>
      <c r="GIW253" s="1"/>
      <c r="GIX253" s="1"/>
      <c r="GIY253" s="1"/>
      <c r="GIZ253" s="1"/>
      <c r="GJA253" s="1"/>
      <c r="GJB253" s="1"/>
      <c r="GJC253" s="1"/>
      <c r="GJD253" s="1"/>
      <c r="GJE253" s="1"/>
      <c r="GJF253" s="1"/>
      <c r="GJG253" s="1"/>
      <c r="GJH253" s="1"/>
      <c r="GJI253" s="1"/>
      <c r="GJJ253" s="1"/>
      <c r="GJK253" s="1"/>
      <c r="GJL253" s="1"/>
      <c r="GJM253" s="1"/>
      <c r="GJN253" s="1"/>
      <c r="GJO253" s="1"/>
      <c r="GJP253" s="1"/>
      <c r="GJQ253" s="1"/>
      <c r="GJR253" s="1"/>
      <c r="GJS253" s="1"/>
      <c r="GJT253" s="1"/>
      <c r="GJU253" s="1"/>
      <c r="GJV253" s="1"/>
      <c r="GJW253" s="1"/>
      <c r="GJX253" s="1"/>
      <c r="GJY253" s="1"/>
      <c r="GJZ253" s="1"/>
      <c r="GKA253" s="1"/>
      <c r="GKB253" s="1"/>
      <c r="GKC253" s="1"/>
      <c r="GKD253" s="1"/>
      <c r="GKE253" s="1"/>
      <c r="GKF253" s="1"/>
      <c r="GKG253" s="1"/>
      <c r="GKH253" s="1"/>
      <c r="GKI253" s="1"/>
      <c r="GKJ253" s="1"/>
      <c r="GKK253" s="1"/>
      <c r="GKL253" s="1"/>
      <c r="GKM253" s="1"/>
      <c r="GKN253" s="1"/>
      <c r="GKO253" s="1"/>
      <c r="GKP253" s="1"/>
      <c r="GKQ253" s="1"/>
      <c r="GKR253" s="1"/>
      <c r="GKS253" s="1"/>
      <c r="GKT253" s="1"/>
      <c r="GKU253" s="1"/>
      <c r="GKV253" s="1"/>
      <c r="GKW253" s="1"/>
      <c r="GKX253" s="1"/>
      <c r="GKY253" s="1"/>
      <c r="GKZ253" s="1"/>
      <c r="GLA253" s="1"/>
      <c r="GLB253" s="1"/>
      <c r="GLC253" s="1"/>
      <c r="GLD253" s="1"/>
      <c r="GLE253" s="1"/>
      <c r="GLF253" s="1"/>
      <c r="GLG253" s="1"/>
      <c r="GLH253" s="1"/>
      <c r="GLI253" s="1"/>
      <c r="GLJ253" s="1"/>
      <c r="GLK253" s="1"/>
      <c r="GLL253" s="1"/>
      <c r="GLM253" s="1"/>
      <c r="GLN253" s="1"/>
      <c r="GLO253" s="1"/>
      <c r="GLP253" s="1"/>
      <c r="GLQ253" s="1"/>
      <c r="GLR253" s="1"/>
      <c r="GLS253" s="1"/>
      <c r="GLT253" s="1"/>
      <c r="GLU253" s="1"/>
      <c r="GLV253" s="1"/>
      <c r="GLW253" s="1"/>
      <c r="GLX253" s="1"/>
      <c r="GLY253" s="1"/>
      <c r="GLZ253" s="1"/>
      <c r="GMA253" s="1"/>
      <c r="GMB253" s="1"/>
      <c r="GMC253" s="1"/>
      <c r="GMD253" s="1"/>
      <c r="GME253" s="1"/>
      <c r="GMF253" s="1"/>
      <c r="GMG253" s="1"/>
      <c r="GMH253" s="1"/>
      <c r="GMI253" s="1"/>
      <c r="GMJ253" s="1"/>
      <c r="GMK253" s="1"/>
      <c r="GML253" s="1"/>
      <c r="GMM253" s="1"/>
      <c r="GMN253" s="1"/>
      <c r="GMO253" s="1"/>
      <c r="GMP253" s="1"/>
      <c r="GMQ253" s="1"/>
      <c r="GMR253" s="1"/>
      <c r="GMS253" s="1"/>
      <c r="GMT253" s="1"/>
      <c r="GMU253" s="1"/>
      <c r="GMV253" s="1"/>
      <c r="GMW253" s="1"/>
      <c r="GMX253" s="1"/>
      <c r="GMY253" s="1"/>
      <c r="GMZ253" s="1"/>
      <c r="GNA253" s="1"/>
      <c r="GNB253" s="1"/>
      <c r="GNC253" s="1"/>
      <c r="GND253" s="1"/>
      <c r="GNE253" s="1"/>
      <c r="GNF253" s="1"/>
      <c r="GNG253" s="1"/>
      <c r="GNH253" s="1"/>
      <c r="GNI253" s="1"/>
      <c r="GNJ253" s="1"/>
      <c r="GNK253" s="1"/>
      <c r="GNL253" s="1"/>
      <c r="GNM253" s="1"/>
      <c r="GNN253" s="1"/>
      <c r="GNO253" s="1"/>
      <c r="GNP253" s="1"/>
      <c r="GNQ253" s="1"/>
      <c r="GNR253" s="1"/>
      <c r="GNS253" s="1"/>
      <c r="GNT253" s="1"/>
      <c r="GNU253" s="1"/>
      <c r="GNV253" s="1"/>
      <c r="GNW253" s="1"/>
      <c r="GNX253" s="1"/>
      <c r="GNY253" s="1"/>
      <c r="GNZ253" s="1"/>
      <c r="GOA253" s="1"/>
      <c r="GOB253" s="1"/>
      <c r="GOC253" s="1"/>
      <c r="GOD253" s="1"/>
      <c r="GOE253" s="1"/>
      <c r="GOF253" s="1"/>
      <c r="GOG253" s="1"/>
      <c r="GOH253" s="1"/>
      <c r="GOI253" s="1"/>
      <c r="GOJ253" s="1"/>
      <c r="GOK253" s="1"/>
      <c r="GOL253" s="1"/>
      <c r="GOM253" s="1"/>
      <c r="GON253" s="1"/>
      <c r="GOO253" s="1"/>
      <c r="GOP253" s="1"/>
      <c r="GOQ253" s="1"/>
      <c r="GOR253" s="1"/>
      <c r="GOS253" s="1"/>
      <c r="GOT253" s="1"/>
      <c r="GOU253" s="1"/>
      <c r="GOV253" s="1"/>
      <c r="GOW253" s="1"/>
      <c r="GOX253" s="1"/>
      <c r="GOY253" s="1"/>
      <c r="GOZ253" s="1"/>
      <c r="GPA253" s="1"/>
      <c r="GPB253" s="1"/>
      <c r="GPC253" s="1"/>
      <c r="GPD253" s="1"/>
      <c r="GPE253" s="1"/>
      <c r="GPF253" s="1"/>
      <c r="GPG253" s="1"/>
      <c r="GPH253" s="1"/>
      <c r="GPI253" s="1"/>
      <c r="GPJ253" s="1"/>
      <c r="GPK253" s="1"/>
      <c r="GPL253" s="1"/>
      <c r="GPM253" s="1"/>
      <c r="GPN253" s="1"/>
      <c r="GPO253" s="1"/>
      <c r="GPP253" s="1"/>
      <c r="GPQ253" s="1"/>
      <c r="GPR253" s="1"/>
      <c r="GPS253" s="1"/>
      <c r="GPT253" s="1"/>
      <c r="GPU253" s="1"/>
      <c r="GPV253" s="1"/>
      <c r="GPW253" s="1"/>
      <c r="GPX253" s="1"/>
      <c r="GPY253" s="1"/>
      <c r="GPZ253" s="1"/>
      <c r="GQA253" s="1"/>
      <c r="GQB253" s="1"/>
      <c r="GQC253" s="1"/>
      <c r="GQD253" s="1"/>
      <c r="GQE253" s="1"/>
      <c r="GQF253" s="1"/>
      <c r="GQG253" s="1"/>
      <c r="GQH253" s="1"/>
      <c r="GQI253" s="1"/>
      <c r="GQJ253" s="1"/>
      <c r="GQK253" s="1"/>
      <c r="GQL253" s="1"/>
      <c r="GQM253" s="1"/>
      <c r="GQN253" s="1"/>
      <c r="GQO253" s="1"/>
      <c r="GQP253" s="1"/>
      <c r="GQQ253" s="1"/>
      <c r="GQR253" s="1"/>
      <c r="GQS253" s="1"/>
      <c r="GQT253" s="1"/>
      <c r="GQU253" s="1"/>
      <c r="GQV253" s="1"/>
      <c r="GQW253" s="1"/>
      <c r="GQX253" s="1"/>
      <c r="GQY253" s="1"/>
      <c r="GQZ253" s="1"/>
      <c r="GRA253" s="1"/>
      <c r="GRB253" s="1"/>
      <c r="GRC253" s="1"/>
      <c r="GRD253" s="1"/>
      <c r="GRE253" s="1"/>
      <c r="GRF253" s="1"/>
      <c r="GRG253" s="1"/>
      <c r="GRH253" s="1"/>
      <c r="GRI253" s="1"/>
      <c r="GRJ253" s="1"/>
      <c r="GRK253" s="1"/>
      <c r="GRL253" s="1"/>
      <c r="GRM253" s="1"/>
      <c r="GRN253" s="1"/>
      <c r="GRO253" s="1"/>
      <c r="GRP253" s="1"/>
      <c r="GRQ253" s="1"/>
      <c r="GRR253" s="1"/>
      <c r="GRS253" s="1"/>
      <c r="GRT253" s="1"/>
      <c r="GRU253" s="1"/>
      <c r="GRV253" s="1"/>
      <c r="GRW253" s="1"/>
      <c r="GRX253" s="1"/>
      <c r="GRY253" s="1"/>
      <c r="GRZ253" s="1"/>
      <c r="GSA253" s="1"/>
      <c r="GSB253" s="1"/>
      <c r="GSC253" s="1"/>
      <c r="GSD253" s="1"/>
      <c r="GSE253" s="1"/>
      <c r="GSF253" s="1"/>
      <c r="GSG253" s="1"/>
      <c r="GSH253" s="1"/>
      <c r="GSI253" s="1"/>
      <c r="GSJ253" s="1"/>
      <c r="GSK253" s="1"/>
      <c r="GSL253" s="1"/>
      <c r="GSM253" s="1"/>
      <c r="GSN253" s="1"/>
      <c r="GSO253" s="1"/>
      <c r="GSP253" s="1"/>
      <c r="GSQ253" s="1"/>
      <c r="GSR253" s="1"/>
      <c r="GSS253" s="1"/>
      <c r="GST253" s="1"/>
      <c r="GSU253" s="1"/>
      <c r="GSV253" s="1"/>
      <c r="GSW253" s="1"/>
      <c r="GSX253" s="1"/>
      <c r="GSY253" s="1"/>
      <c r="GSZ253" s="1"/>
      <c r="GTA253" s="1"/>
      <c r="GTB253" s="1"/>
      <c r="GTC253" s="1"/>
      <c r="GTD253" s="1"/>
      <c r="GTE253" s="1"/>
      <c r="GTF253" s="1"/>
      <c r="GTG253" s="1"/>
      <c r="GTH253" s="1"/>
      <c r="GTI253" s="1"/>
      <c r="GTJ253" s="1"/>
      <c r="GTK253" s="1"/>
      <c r="GTL253" s="1"/>
      <c r="GTM253" s="1"/>
      <c r="GTN253" s="1"/>
      <c r="GTO253" s="1"/>
      <c r="GTP253" s="1"/>
      <c r="GTQ253" s="1"/>
      <c r="GTR253" s="1"/>
      <c r="GTS253" s="1"/>
      <c r="GTT253" s="1"/>
      <c r="GTU253" s="1"/>
      <c r="GTV253" s="1"/>
      <c r="GTW253" s="1"/>
      <c r="GTX253" s="1"/>
      <c r="GTY253" s="1"/>
      <c r="GTZ253" s="1"/>
      <c r="GUA253" s="1"/>
      <c r="GUB253" s="1"/>
      <c r="GUC253" s="1"/>
      <c r="GUD253" s="1"/>
      <c r="GUE253" s="1"/>
      <c r="GUF253" s="1"/>
      <c r="GUG253" s="1"/>
      <c r="GUH253" s="1"/>
      <c r="GUI253" s="1"/>
      <c r="GUJ253" s="1"/>
      <c r="GUK253" s="1"/>
      <c r="GUL253" s="1"/>
      <c r="GUM253" s="1"/>
      <c r="GUN253" s="1"/>
      <c r="GUO253" s="1"/>
      <c r="GUP253" s="1"/>
      <c r="GUQ253" s="1"/>
      <c r="GUR253" s="1"/>
      <c r="GUS253" s="1"/>
      <c r="GUT253" s="1"/>
      <c r="GUU253" s="1"/>
      <c r="GUV253" s="1"/>
      <c r="GUW253" s="1"/>
      <c r="GUX253" s="1"/>
      <c r="GUY253" s="1"/>
      <c r="GUZ253" s="1"/>
      <c r="GVA253" s="1"/>
      <c r="GVB253" s="1"/>
      <c r="GVC253" s="1"/>
      <c r="GVD253" s="1"/>
      <c r="GVE253" s="1"/>
      <c r="GVF253" s="1"/>
      <c r="GVG253" s="1"/>
      <c r="GVH253" s="1"/>
      <c r="GVI253" s="1"/>
      <c r="GVJ253" s="1"/>
      <c r="GVK253" s="1"/>
      <c r="GVL253" s="1"/>
      <c r="GVM253" s="1"/>
      <c r="GVN253" s="1"/>
      <c r="GVO253" s="1"/>
      <c r="GVP253" s="1"/>
      <c r="GVQ253" s="1"/>
      <c r="GVR253" s="1"/>
      <c r="GVS253" s="1"/>
      <c r="GVT253" s="1"/>
      <c r="GVU253" s="1"/>
      <c r="GVV253" s="1"/>
      <c r="GVW253" s="1"/>
      <c r="GVX253" s="1"/>
      <c r="GVY253" s="1"/>
      <c r="GVZ253" s="1"/>
      <c r="GWA253" s="1"/>
      <c r="GWB253" s="1"/>
      <c r="GWC253" s="1"/>
      <c r="GWD253" s="1"/>
      <c r="GWE253" s="1"/>
      <c r="GWF253" s="1"/>
      <c r="GWG253" s="1"/>
      <c r="GWH253" s="1"/>
      <c r="GWI253" s="1"/>
      <c r="GWJ253" s="1"/>
      <c r="GWK253" s="1"/>
      <c r="GWL253" s="1"/>
      <c r="GWM253" s="1"/>
      <c r="GWN253" s="1"/>
      <c r="GWO253" s="1"/>
      <c r="GWP253" s="1"/>
      <c r="GWQ253" s="1"/>
      <c r="GWR253" s="1"/>
      <c r="GWS253" s="1"/>
      <c r="GWT253" s="1"/>
      <c r="GWU253" s="1"/>
      <c r="GWV253" s="1"/>
      <c r="GWW253" s="1"/>
      <c r="GWX253" s="1"/>
      <c r="GWY253" s="1"/>
      <c r="GWZ253" s="1"/>
      <c r="GXA253" s="1"/>
      <c r="GXB253" s="1"/>
      <c r="GXC253" s="1"/>
      <c r="GXD253" s="1"/>
      <c r="GXE253" s="1"/>
      <c r="GXF253" s="1"/>
      <c r="GXG253" s="1"/>
      <c r="GXH253" s="1"/>
      <c r="GXI253" s="1"/>
      <c r="GXJ253" s="1"/>
      <c r="GXK253" s="1"/>
      <c r="GXL253" s="1"/>
      <c r="GXM253" s="1"/>
      <c r="GXN253" s="1"/>
      <c r="GXO253" s="1"/>
      <c r="GXP253" s="1"/>
      <c r="GXQ253" s="1"/>
      <c r="GXR253" s="1"/>
      <c r="GXS253" s="1"/>
      <c r="GXT253" s="1"/>
      <c r="GXU253" s="1"/>
      <c r="GXV253" s="1"/>
      <c r="GXW253" s="1"/>
      <c r="GXX253" s="1"/>
      <c r="GXY253" s="1"/>
      <c r="GXZ253" s="1"/>
      <c r="GYA253" s="1"/>
      <c r="GYB253" s="1"/>
      <c r="GYC253" s="1"/>
      <c r="GYD253" s="1"/>
      <c r="GYE253" s="1"/>
      <c r="GYF253" s="1"/>
      <c r="GYG253" s="1"/>
      <c r="GYH253" s="1"/>
      <c r="GYI253" s="1"/>
      <c r="GYJ253" s="1"/>
      <c r="GYK253" s="1"/>
      <c r="GYL253" s="1"/>
      <c r="GYM253" s="1"/>
      <c r="GYN253" s="1"/>
      <c r="GYO253" s="1"/>
      <c r="GYP253" s="1"/>
      <c r="GYQ253" s="1"/>
      <c r="GYR253" s="1"/>
      <c r="GYS253" s="1"/>
      <c r="GYT253" s="1"/>
      <c r="GYU253" s="1"/>
      <c r="GYV253" s="1"/>
      <c r="GYW253" s="1"/>
      <c r="GYX253" s="1"/>
      <c r="GYY253" s="1"/>
      <c r="GYZ253" s="1"/>
      <c r="GZA253" s="1"/>
      <c r="GZB253" s="1"/>
      <c r="GZC253" s="1"/>
      <c r="GZD253" s="1"/>
      <c r="GZE253" s="1"/>
      <c r="GZF253" s="1"/>
      <c r="GZG253" s="1"/>
      <c r="GZH253" s="1"/>
      <c r="GZI253" s="1"/>
      <c r="GZJ253" s="1"/>
      <c r="GZK253" s="1"/>
      <c r="GZL253" s="1"/>
      <c r="GZM253" s="1"/>
      <c r="GZN253" s="1"/>
      <c r="GZO253" s="1"/>
      <c r="GZP253" s="1"/>
      <c r="GZQ253" s="1"/>
      <c r="GZR253" s="1"/>
      <c r="GZS253" s="1"/>
      <c r="GZT253" s="1"/>
      <c r="GZU253" s="1"/>
      <c r="GZV253" s="1"/>
      <c r="GZW253" s="1"/>
      <c r="GZX253" s="1"/>
      <c r="GZY253" s="1"/>
      <c r="GZZ253" s="1"/>
      <c r="HAA253" s="1"/>
      <c r="HAB253" s="1"/>
      <c r="HAC253" s="1"/>
      <c r="HAD253" s="1"/>
      <c r="HAE253" s="1"/>
      <c r="HAF253" s="1"/>
      <c r="HAG253" s="1"/>
      <c r="HAH253" s="1"/>
      <c r="HAI253" s="1"/>
      <c r="HAJ253" s="1"/>
      <c r="HAK253" s="1"/>
      <c r="HAL253" s="1"/>
      <c r="HAM253" s="1"/>
      <c r="HAN253" s="1"/>
      <c r="HAO253" s="1"/>
      <c r="HAP253" s="1"/>
      <c r="HAQ253" s="1"/>
      <c r="HAR253" s="1"/>
      <c r="HAS253" s="1"/>
      <c r="HAT253" s="1"/>
      <c r="HAU253" s="1"/>
      <c r="HAV253" s="1"/>
      <c r="HAW253" s="1"/>
      <c r="HAX253" s="1"/>
      <c r="HAY253" s="1"/>
      <c r="HAZ253" s="1"/>
      <c r="HBA253" s="1"/>
      <c r="HBB253" s="1"/>
      <c r="HBC253" s="1"/>
      <c r="HBD253" s="1"/>
      <c r="HBE253" s="1"/>
      <c r="HBF253" s="1"/>
      <c r="HBG253" s="1"/>
      <c r="HBH253" s="1"/>
      <c r="HBI253" s="1"/>
      <c r="HBJ253" s="1"/>
      <c r="HBK253" s="1"/>
      <c r="HBL253" s="1"/>
      <c r="HBM253" s="1"/>
      <c r="HBN253" s="1"/>
      <c r="HBO253" s="1"/>
      <c r="HBP253" s="1"/>
      <c r="HBQ253" s="1"/>
      <c r="HBR253" s="1"/>
      <c r="HBS253" s="1"/>
      <c r="HBT253" s="1"/>
      <c r="HBU253" s="1"/>
      <c r="HBV253" s="1"/>
      <c r="HBW253" s="1"/>
      <c r="HBX253" s="1"/>
      <c r="HBY253" s="1"/>
      <c r="HBZ253" s="1"/>
      <c r="HCA253" s="1"/>
      <c r="HCB253" s="1"/>
      <c r="HCC253" s="1"/>
      <c r="HCD253" s="1"/>
      <c r="HCE253" s="1"/>
      <c r="HCF253" s="1"/>
      <c r="HCG253" s="1"/>
      <c r="HCH253" s="1"/>
      <c r="HCI253" s="1"/>
      <c r="HCJ253" s="1"/>
      <c r="HCK253" s="1"/>
      <c r="HCL253" s="1"/>
      <c r="HCM253" s="1"/>
      <c r="HCN253" s="1"/>
      <c r="HCO253" s="1"/>
      <c r="HCP253" s="1"/>
      <c r="HCQ253" s="1"/>
      <c r="HCR253" s="1"/>
      <c r="HCS253" s="1"/>
      <c r="HCT253" s="1"/>
      <c r="HCU253" s="1"/>
      <c r="HCV253" s="1"/>
      <c r="HCW253" s="1"/>
      <c r="HCX253" s="1"/>
      <c r="HCY253" s="1"/>
      <c r="HCZ253" s="1"/>
      <c r="HDA253" s="1"/>
      <c r="HDB253" s="1"/>
      <c r="HDC253" s="1"/>
      <c r="HDD253" s="1"/>
      <c r="HDE253" s="1"/>
      <c r="HDF253" s="1"/>
      <c r="HDG253" s="1"/>
      <c r="HDH253" s="1"/>
      <c r="HDI253" s="1"/>
      <c r="HDJ253" s="1"/>
      <c r="HDK253" s="1"/>
      <c r="HDL253" s="1"/>
      <c r="HDM253" s="1"/>
      <c r="HDN253" s="1"/>
      <c r="HDO253" s="1"/>
      <c r="HDP253" s="1"/>
      <c r="HDQ253" s="1"/>
      <c r="HDR253" s="1"/>
      <c r="HDS253" s="1"/>
      <c r="HDT253" s="1"/>
      <c r="HDU253" s="1"/>
      <c r="HDV253" s="1"/>
      <c r="HDW253" s="1"/>
      <c r="HDX253" s="1"/>
      <c r="HDY253" s="1"/>
      <c r="HDZ253" s="1"/>
      <c r="HEA253" s="1"/>
      <c r="HEB253" s="1"/>
      <c r="HEC253" s="1"/>
      <c r="HED253" s="1"/>
      <c r="HEE253" s="1"/>
      <c r="HEF253" s="1"/>
      <c r="HEG253" s="1"/>
      <c r="HEH253" s="1"/>
      <c r="HEI253" s="1"/>
      <c r="HEJ253" s="1"/>
      <c r="HEK253" s="1"/>
      <c r="HEL253" s="1"/>
      <c r="HEM253" s="1"/>
      <c r="HEN253" s="1"/>
      <c r="HEO253" s="1"/>
      <c r="HEP253" s="1"/>
      <c r="HEQ253" s="1"/>
      <c r="HER253" s="1"/>
      <c r="HES253" s="1"/>
      <c r="HET253" s="1"/>
      <c r="HEU253" s="1"/>
      <c r="HEV253" s="1"/>
      <c r="HEW253" s="1"/>
      <c r="HEX253" s="1"/>
      <c r="HEY253" s="1"/>
      <c r="HEZ253" s="1"/>
      <c r="HFA253" s="1"/>
      <c r="HFB253" s="1"/>
      <c r="HFC253" s="1"/>
      <c r="HFD253" s="1"/>
      <c r="HFE253" s="1"/>
      <c r="HFF253" s="1"/>
      <c r="HFG253" s="1"/>
      <c r="HFH253" s="1"/>
      <c r="HFI253" s="1"/>
      <c r="HFJ253" s="1"/>
      <c r="HFK253" s="1"/>
      <c r="HFL253" s="1"/>
      <c r="HFM253" s="1"/>
      <c r="HFN253" s="1"/>
      <c r="HFO253" s="1"/>
      <c r="HFP253" s="1"/>
      <c r="HFQ253" s="1"/>
      <c r="HFR253" s="1"/>
      <c r="HFS253" s="1"/>
      <c r="HFT253" s="1"/>
      <c r="HFU253" s="1"/>
      <c r="HFV253" s="1"/>
      <c r="HFW253" s="1"/>
      <c r="HFX253" s="1"/>
      <c r="HFY253" s="1"/>
      <c r="HFZ253" s="1"/>
      <c r="HGA253" s="1"/>
      <c r="HGB253" s="1"/>
      <c r="HGC253" s="1"/>
      <c r="HGD253" s="1"/>
      <c r="HGE253" s="1"/>
      <c r="HGF253" s="1"/>
      <c r="HGG253" s="1"/>
      <c r="HGH253" s="1"/>
      <c r="HGI253" s="1"/>
      <c r="HGJ253" s="1"/>
      <c r="HGK253" s="1"/>
      <c r="HGL253" s="1"/>
      <c r="HGM253" s="1"/>
      <c r="HGN253" s="1"/>
      <c r="HGO253" s="1"/>
      <c r="HGP253" s="1"/>
      <c r="HGQ253" s="1"/>
      <c r="HGR253" s="1"/>
      <c r="HGS253" s="1"/>
      <c r="HGT253" s="1"/>
      <c r="HGU253" s="1"/>
      <c r="HGV253" s="1"/>
      <c r="HGW253" s="1"/>
      <c r="HGX253" s="1"/>
      <c r="HGY253" s="1"/>
      <c r="HGZ253" s="1"/>
      <c r="HHA253" s="1"/>
      <c r="HHB253" s="1"/>
      <c r="HHC253" s="1"/>
      <c r="HHD253" s="1"/>
      <c r="HHE253" s="1"/>
      <c r="HHF253" s="1"/>
      <c r="HHG253" s="1"/>
      <c r="HHH253" s="1"/>
      <c r="HHI253" s="1"/>
      <c r="HHJ253" s="1"/>
      <c r="HHK253" s="1"/>
      <c r="HHL253" s="1"/>
      <c r="HHM253" s="1"/>
      <c r="HHN253" s="1"/>
      <c r="HHO253" s="1"/>
      <c r="HHP253" s="1"/>
      <c r="HHQ253" s="1"/>
      <c r="HHR253" s="1"/>
      <c r="HHS253" s="1"/>
      <c r="HHT253" s="1"/>
      <c r="HHU253" s="1"/>
      <c r="HHV253" s="1"/>
      <c r="HHW253" s="1"/>
      <c r="HHX253" s="1"/>
      <c r="HHY253" s="1"/>
      <c r="HHZ253" s="1"/>
      <c r="HIA253" s="1"/>
      <c r="HIB253" s="1"/>
      <c r="HIC253" s="1"/>
      <c r="HID253" s="1"/>
      <c r="HIE253" s="1"/>
      <c r="HIF253" s="1"/>
      <c r="HIG253" s="1"/>
      <c r="HIH253" s="1"/>
      <c r="HII253" s="1"/>
      <c r="HIJ253" s="1"/>
      <c r="HIK253" s="1"/>
      <c r="HIL253" s="1"/>
      <c r="HIM253" s="1"/>
      <c r="HIN253" s="1"/>
      <c r="HIO253" s="1"/>
      <c r="HIP253" s="1"/>
      <c r="HIQ253" s="1"/>
      <c r="HIR253" s="1"/>
      <c r="HIS253" s="1"/>
      <c r="HIT253" s="1"/>
      <c r="HIU253" s="1"/>
      <c r="HIV253" s="1"/>
      <c r="HIW253" s="1"/>
      <c r="HIX253" s="1"/>
      <c r="HIY253" s="1"/>
      <c r="HIZ253" s="1"/>
      <c r="HJA253" s="1"/>
      <c r="HJB253" s="1"/>
      <c r="HJC253" s="1"/>
      <c r="HJD253" s="1"/>
      <c r="HJE253" s="1"/>
      <c r="HJF253" s="1"/>
      <c r="HJG253" s="1"/>
      <c r="HJH253" s="1"/>
      <c r="HJI253" s="1"/>
      <c r="HJJ253" s="1"/>
      <c r="HJK253" s="1"/>
      <c r="HJL253" s="1"/>
      <c r="HJM253" s="1"/>
      <c r="HJN253" s="1"/>
      <c r="HJO253" s="1"/>
      <c r="HJP253" s="1"/>
      <c r="HJQ253" s="1"/>
      <c r="HJR253" s="1"/>
      <c r="HJS253" s="1"/>
      <c r="HJT253" s="1"/>
      <c r="HJU253" s="1"/>
      <c r="HJV253" s="1"/>
      <c r="HJW253" s="1"/>
      <c r="HJX253" s="1"/>
      <c r="HJY253" s="1"/>
      <c r="HJZ253" s="1"/>
      <c r="HKA253" s="1"/>
      <c r="HKB253" s="1"/>
      <c r="HKC253" s="1"/>
      <c r="HKD253" s="1"/>
      <c r="HKE253" s="1"/>
      <c r="HKF253" s="1"/>
      <c r="HKG253" s="1"/>
      <c r="HKH253" s="1"/>
      <c r="HKI253" s="1"/>
      <c r="HKJ253" s="1"/>
      <c r="HKK253" s="1"/>
      <c r="HKL253" s="1"/>
      <c r="HKM253" s="1"/>
      <c r="HKN253" s="1"/>
      <c r="HKO253" s="1"/>
      <c r="HKP253" s="1"/>
      <c r="HKQ253" s="1"/>
      <c r="HKR253" s="1"/>
      <c r="HKS253" s="1"/>
      <c r="HKT253" s="1"/>
      <c r="HKU253" s="1"/>
      <c r="HKV253" s="1"/>
      <c r="HKW253" s="1"/>
      <c r="HKX253" s="1"/>
      <c r="HKY253" s="1"/>
      <c r="HKZ253" s="1"/>
      <c r="HLA253" s="1"/>
      <c r="HLB253" s="1"/>
      <c r="HLC253" s="1"/>
      <c r="HLD253" s="1"/>
      <c r="HLE253" s="1"/>
      <c r="HLF253" s="1"/>
      <c r="HLG253" s="1"/>
      <c r="HLH253" s="1"/>
      <c r="HLI253" s="1"/>
      <c r="HLJ253" s="1"/>
      <c r="HLK253" s="1"/>
      <c r="HLL253" s="1"/>
      <c r="HLM253" s="1"/>
      <c r="HLN253" s="1"/>
      <c r="HLO253" s="1"/>
      <c r="HLP253" s="1"/>
      <c r="HLQ253" s="1"/>
      <c r="HLR253" s="1"/>
      <c r="HLS253" s="1"/>
      <c r="HLT253" s="1"/>
      <c r="HLU253" s="1"/>
      <c r="HLV253" s="1"/>
      <c r="HLW253" s="1"/>
      <c r="HLX253" s="1"/>
      <c r="HLY253" s="1"/>
      <c r="HLZ253" s="1"/>
      <c r="HMA253" s="1"/>
      <c r="HMB253" s="1"/>
      <c r="HMC253" s="1"/>
      <c r="HMD253" s="1"/>
      <c r="HME253" s="1"/>
      <c r="HMF253" s="1"/>
      <c r="HMG253" s="1"/>
      <c r="HMH253" s="1"/>
      <c r="HMI253" s="1"/>
      <c r="HMJ253" s="1"/>
      <c r="HMK253" s="1"/>
      <c r="HML253" s="1"/>
      <c r="HMM253" s="1"/>
      <c r="HMN253" s="1"/>
      <c r="HMO253" s="1"/>
      <c r="HMP253" s="1"/>
      <c r="HMQ253" s="1"/>
      <c r="HMR253" s="1"/>
      <c r="HMS253" s="1"/>
      <c r="HMT253" s="1"/>
      <c r="HMU253" s="1"/>
      <c r="HMV253" s="1"/>
      <c r="HMW253" s="1"/>
      <c r="HMX253" s="1"/>
      <c r="HMY253" s="1"/>
      <c r="HMZ253" s="1"/>
      <c r="HNA253" s="1"/>
      <c r="HNB253" s="1"/>
      <c r="HNC253" s="1"/>
      <c r="HND253" s="1"/>
      <c r="HNE253" s="1"/>
      <c r="HNF253" s="1"/>
      <c r="HNG253" s="1"/>
      <c r="HNH253" s="1"/>
      <c r="HNI253" s="1"/>
      <c r="HNJ253" s="1"/>
      <c r="HNK253" s="1"/>
      <c r="HNL253" s="1"/>
      <c r="HNM253" s="1"/>
      <c r="HNN253" s="1"/>
      <c r="HNO253" s="1"/>
      <c r="HNP253" s="1"/>
      <c r="HNQ253" s="1"/>
      <c r="HNR253" s="1"/>
      <c r="HNS253" s="1"/>
      <c r="HNT253" s="1"/>
      <c r="HNU253" s="1"/>
      <c r="HNV253" s="1"/>
      <c r="HNW253" s="1"/>
      <c r="HNX253" s="1"/>
      <c r="HNY253" s="1"/>
      <c r="HNZ253" s="1"/>
      <c r="HOA253" s="1"/>
      <c r="HOB253" s="1"/>
      <c r="HOC253" s="1"/>
      <c r="HOD253" s="1"/>
      <c r="HOE253" s="1"/>
      <c r="HOF253" s="1"/>
      <c r="HOG253" s="1"/>
      <c r="HOH253" s="1"/>
      <c r="HOI253" s="1"/>
      <c r="HOJ253" s="1"/>
      <c r="HOK253" s="1"/>
      <c r="HOL253" s="1"/>
      <c r="HOM253" s="1"/>
      <c r="HON253" s="1"/>
      <c r="HOO253" s="1"/>
      <c r="HOP253" s="1"/>
      <c r="HOQ253" s="1"/>
      <c r="HOR253" s="1"/>
      <c r="HOS253" s="1"/>
      <c r="HOT253" s="1"/>
      <c r="HOU253" s="1"/>
      <c r="HOV253" s="1"/>
      <c r="HOW253" s="1"/>
      <c r="HOX253" s="1"/>
      <c r="HOY253" s="1"/>
      <c r="HOZ253" s="1"/>
      <c r="HPA253" s="1"/>
      <c r="HPB253" s="1"/>
      <c r="HPC253" s="1"/>
      <c r="HPD253" s="1"/>
      <c r="HPE253" s="1"/>
      <c r="HPF253" s="1"/>
      <c r="HPG253" s="1"/>
      <c r="HPH253" s="1"/>
      <c r="HPI253" s="1"/>
      <c r="HPJ253" s="1"/>
      <c r="HPK253" s="1"/>
      <c r="HPL253" s="1"/>
      <c r="HPM253" s="1"/>
      <c r="HPN253" s="1"/>
      <c r="HPO253" s="1"/>
      <c r="HPP253" s="1"/>
      <c r="HPQ253" s="1"/>
      <c r="HPR253" s="1"/>
      <c r="HPS253" s="1"/>
      <c r="HPT253" s="1"/>
      <c r="HPU253" s="1"/>
      <c r="HPV253" s="1"/>
      <c r="HPW253" s="1"/>
      <c r="HPX253" s="1"/>
      <c r="HPY253" s="1"/>
      <c r="HPZ253" s="1"/>
      <c r="HQA253" s="1"/>
      <c r="HQB253" s="1"/>
      <c r="HQC253" s="1"/>
      <c r="HQD253" s="1"/>
      <c r="HQE253" s="1"/>
      <c r="HQF253" s="1"/>
      <c r="HQG253" s="1"/>
      <c r="HQH253" s="1"/>
      <c r="HQI253" s="1"/>
      <c r="HQJ253" s="1"/>
      <c r="HQK253" s="1"/>
      <c r="HQL253" s="1"/>
      <c r="HQM253" s="1"/>
      <c r="HQN253" s="1"/>
      <c r="HQO253" s="1"/>
      <c r="HQP253" s="1"/>
      <c r="HQQ253" s="1"/>
      <c r="HQR253" s="1"/>
      <c r="HQS253" s="1"/>
      <c r="HQT253" s="1"/>
      <c r="HQU253" s="1"/>
      <c r="HQV253" s="1"/>
      <c r="HQW253" s="1"/>
      <c r="HQX253" s="1"/>
      <c r="HQY253" s="1"/>
      <c r="HQZ253" s="1"/>
      <c r="HRA253" s="1"/>
      <c r="HRB253" s="1"/>
      <c r="HRC253" s="1"/>
      <c r="HRD253" s="1"/>
      <c r="HRE253" s="1"/>
      <c r="HRF253" s="1"/>
      <c r="HRG253" s="1"/>
      <c r="HRH253" s="1"/>
      <c r="HRI253" s="1"/>
      <c r="HRJ253" s="1"/>
      <c r="HRK253" s="1"/>
      <c r="HRL253" s="1"/>
      <c r="HRM253" s="1"/>
      <c r="HRN253" s="1"/>
      <c r="HRO253" s="1"/>
      <c r="HRP253" s="1"/>
      <c r="HRQ253" s="1"/>
      <c r="HRR253" s="1"/>
      <c r="HRS253" s="1"/>
      <c r="HRT253" s="1"/>
      <c r="HRU253" s="1"/>
      <c r="HRV253" s="1"/>
      <c r="HRW253" s="1"/>
      <c r="HRX253" s="1"/>
      <c r="HRY253" s="1"/>
      <c r="HRZ253" s="1"/>
      <c r="HSA253" s="1"/>
      <c r="HSB253" s="1"/>
      <c r="HSC253" s="1"/>
      <c r="HSD253" s="1"/>
      <c r="HSE253" s="1"/>
      <c r="HSF253" s="1"/>
      <c r="HSG253" s="1"/>
      <c r="HSH253" s="1"/>
      <c r="HSI253" s="1"/>
      <c r="HSJ253" s="1"/>
      <c r="HSK253" s="1"/>
      <c r="HSL253" s="1"/>
      <c r="HSM253" s="1"/>
      <c r="HSN253" s="1"/>
      <c r="HSO253" s="1"/>
      <c r="HSP253" s="1"/>
      <c r="HSQ253" s="1"/>
      <c r="HSR253" s="1"/>
      <c r="HSS253" s="1"/>
      <c r="HST253" s="1"/>
      <c r="HSU253" s="1"/>
      <c r="HSV253" s="1"/>
      <c r="HSW253" s="1"/>
      <c r="HSX253" s="1"/>
      <c r="HSY253" s="1"/>
      <c r="HSZ253" s="1"/>
      <c r="HTA253" s="1"/>
      <c r="HTB253" s="1"/>
      <c r="HTC253" s="1"/>
      <c r="HTD253" s="1"/>
      <c r="HTE253" s="1"/>
      <c r="HTF253" s="1"/>
      <c r="HTG253" s="1"/>
      <c r="HTH253" s="1"/>
      <c r="HTI253" s="1"/>
      <c r="HTJ253" s="1"/>
      <c r="HTK253" s="1"/>
      <c r="HTL253" s="1"/>
      <c r="HTM253" s="1"/>
      <c r="HTN253" s="1"/>
      <c r="HTO253" s="1"/>
      <c r="HTP253" s="1"/>
      <c r="HTQ253" s="1"/>
      <c r="HTR253" s="1"/>
      <c r="HTS253" s="1"/>
      <c r="HTT253" s="1"/>
      <c r="HTU253" s="1"/>
      <c r="HTV253" s="1"/>
      <c r="HTW253" s="1"/>
      <c r="HTX253" s="1"/>
      <c r="HTY253" s="1"/>
      <c r="HTZ253" s="1"/>
      <c r="HUA253" s="1"/>
      <c r="HUB253" s="1"/>
      <c r="HUC253" s="1"/>
      <c r="HUD253" s="1"/>
      <c r="HUE253" s="1"/>
      <c r="HUF253" s="1"/>
      <c r="HUG253" s="1"/>
      <c r="HUH253" s="1"/>
      <c r="HUI253" s="1"/>
      <c r="HUJ253" s="1"/>
      <c r="HUK253" s="1"/>
      <c r="HUL253" s="1"/>
      <c r="HUM253" s="1"/>
      <c r="HUN253" s="1"/>
      <c r="HUO253" s="1"/>
      <c r="HUP253" s="1"/>
      <c r="HUQ253" s="1"/>
      <c r="HUR253" s="1"/>
      <c r="HUS253" s="1"/>
      <c r="HUT253" s="1"/>
      <c r="HUU253" s="1"/>
      <c r="HUV253" s="1"/>
      <c r="HUW253" s="1"/>
      <c r="HUX253" s="1"/>
      <c r="HUY253" s="1"/>
      <c r="HUZ253" s="1"/>
      <c r="HVA253" s="1"/>
      <c r="HVB253" s="1"/>
      <c r="HVC253" s="1"/>
      <c r="HVD253" s="1"/>
      <c r="HVE253" s="1"/>
      <c r="HVF253" s="1"/>
      <c r="HVG253" s="1"/>
      <c r="HVH253" s="1"/>
      <c r="HVI253" s="1"/>
      <c r="HVJ253" s="1"/>
      <c r="HVK253" s="1"/>
      <c r="HVL253" s="1"/>
      <c r="HVM253" s="1"/>
      <c r="HVN253" s="1"/>
      <c r="HVO253" s="1"/>
      <c r="HVP253" s="1"/>
      <c r="HVQ253" s="1"/>
      <c r="HVR253" s="1"/>
      <c r="HVS253" s="1"/>
      <c r="HVT253" s="1"/>
      <c r="HVU253" s="1"/>
      <c r="HVV253" s="1"/>
      <c r="HVW253" s="1"/>
      <c r="HVX253" s="1"/>
      <c r="HVY253" s="1"/>
      <c r="HVZ253" s="1"/>
      <c r="HWA253" s="1"/>
      <c r="HWB253" s="1"/>
      <c r="HWC253" s="1"/>
      <c r="HWD253" s="1"/>
      <c r="HWE253" s="1"/>
      <c r="HWF253" s="1"/>
      <c r="HWG253" s="1"/>
      <c r="HWH253" s="1"/>
      <c r="HWI253" s="1"/>
      <c r="HWJ253" s="1"/>
      <c r="HWK253" s="1"/>
      <c r="HWL253" s="1"/>
      <c r="HWM253" s="1"/>
      <c r="HWN253" s="1"/>
      <c r="HWO253" s="1"/>
      <c r="HWP253" s="1"/>
      <c r="HWQ253" s="1"/>
      <c r="HWR253" s="1"/>
      <c r="HWS253" s="1"/>
      <c r="HWT253" s="1"/>
      <c r="HWU253" s="1"/>
      <c r="HWV253" s="1"/>
      <c r="HWW253" s="1"/>
      <c r="HWX253" s="1"/>
      <c r="HWY253" s="1"/>
      <c r="HWZ253" s="1"/>
      <c r="HXA253" s="1"/>
      <c r="HXB253" s="1"/>
      <c r="HXC253" s="1"/>
      <c r="HXD253" s="1"/>
      <c r="HXE253" s="1"/>
      <c r="HXF253" s="1"/>
      <c r="HXG253" s="1"/>
      <c r="HXH253" s="1"/>
      <c r="HXI253" s="1"/>
      <c r="HXJ253" s="1"/>
      <c r="HXK253" s="1"/>
      <c r="HXL253" s="1"/>
      <c r="HXM253" s="1"/>
      <c r="HXN253" s="1"/>
      <c r="HXO253" s="1"/>
      <c r="HXP253" s="1"/>
      <c r="HXQ253" s="1"/>
      <c r="HXR253" s="1"/>
      <c r="HXS253" s="1"/>
      <c r="HXT253" s="1"/>
      <c r="HXU253" s="1"/>
      <c r="HXV253" s="1"/>
      <c r="HXW253" s="1"/>
      <c r="HXX253" s="1"/>
      <c r="HXY253" s="1"/>
      <c r="HXZ253" s="1"/>
      <c r="HYA253" s="1"/>
      <c r="HYB253" s="1"/>
      <c r="HYC253" s="1"/>
      <c r="HYD253" s="1"/>
      <c r="HYE253" s="1"/>
      <c r="HYF253" s="1"/>
      <c r="HYG253" s="1"/>
      <c r="HYH253" s="1"/>
      <c r="HYI253" s="1"/>
      <c r="HYJ253" s="1"/>
      <c r="HYK253" s="1"/>
      <c r="HYL253" s="1"/>
      <c r="HYM253" s="1"/>
      <c r="HYN253" s="1"/>
      <c r="HYO253" s="1"/>
      <c r="HYP253" s="1"/>
      <c r="HYQ253" s="1"/>
      <c r="HYR253" s="1"/>
      <c r="HYS253" s="1"/>
      <c r="HYT253" s="1"/>
      <c r="HYU253" s="1"/>
      <c r="HYV253" s="1"/>
      <c r="HYW253" s="1"/>
      <c r="HYX253" s="1"/>
      <c r="HYY253" s="1"/>
      <c r="HYZ253" s="1"/>
      <c r="HZA253" s="1"/>
      <c r="HZB253" s="1"/>
      <c r="HZC253" s="1"/>
      <c r="HZD253" s="1"/>
      <c r="HZE253" s="1"/>
      <c r="HZF253" s="1"/>
      <c r="HZG253" s="1"/>
      <c r="HZH253" s="1"/>
      <c r="HZI253" s="1"/>
      <c r="HZJ253" s="1"/>
      <c r="HZK253" s="1"/>
      <c r="HZL253" s="1"/>
      <c r="HZM253" s="1"/>
      <c r="HZN253" s="1"/>
      <c r="HZO253" s="1"/>
      <c r="HZP253" s="1"/>
      <c r="HZQ253" s="1"/>
      <c r="HZR253" s="1"/>
      <c r="HZS253" s="1"/>
      <c r="HZT253" s="1"/>
      <c r="HZU253" s="1"/>
      <c r="HZV253" s="1"/>
      <c r="HZW253" s="1"/>
      <c r="HZX253" s="1"/>
      <c r="HZY253" s="1"/>
      <c r="HZZ253" s="1"/>
      <c r="IAA253" s="1"/>
      <c r="IAB253" s="1"/>
      <c r="IAC253" s="1"/>
      <c r="IAD253" s="1"/>
      <c r="IAE253" s="1"/>
      <c r="IAF253" s="1"/>
      <c r="IAG253" s="1"/>
      <c r="IAH253" s="1"/>
      <c r="IAI253" s="1"/>
      <c r="IAJ253" s="1"/>
      <c r="IAK253" s="1"/>
      <c r="IAL253" s="1"/>
      <c r="IAM253" s="1"/>
      <c r="IAN253" s="1"/>
      <c r="IAO253" s="1"/>
      <c r="IAP253" s="1"/>
      <c r="IAQ253" s="1"/>
      <c r="IAR253" s="1"/>
      <c r="IAS253" s="1"/>
      <c r="IAT253" s="1"/>
      <c r="IAU253" s="1"/>
      <c r="IAV253" s="1"/>
      <c r="IAW253" s="1"/>
      <c r="IAX253" s="1"/>
      <c r="IAY253" s="1"/>
      <c r="IAZ253" s="1"/>
      <c r="IBA253" s="1"/>
      <c r="IBB253" s="1"/>
      <c r="IBC253" s="1"/>
      <c r="IBD253" s="1"/>
      <c r="IBE253" s="1"/>
      <c r="IBF253" s="1"/>
      <c r="IBG253" s="1"/>
      <c r="IBH253" s="1"/>
      <c r="IBI253" s="1"/>
      <c r="IBJ253" s="1"/>
      <c r="IBK253" s="1"/>
      <c r="IBL253" s="1"/>
      <c r="IBM253" s="1"/>
      <c r="IBN253" s="1"/>
      <c r="IBO253" s="1"/>
      <c r="IBP253" s="1"/>
      <c r="IBQ253" s="1"/>
      <c r="IBR253" s="1"/>
      <c r="IBS253" s="1"/>
      <c r="IBT253" s="1"/>
      <c r="IBU253" s="1"/>
      <c r="IBV253" s="1"/>
      <c r="IBW253" s="1"/>
      <c r="IBX253" s="1"/>
      <c r="IBY253" s="1"/>
      <c r="IBZ253" s="1"/>
      <c r="ICA253" s="1"/>
      <c r="ICB253" s="1"/>
      <c r="ICC253" s="1"/>
      <c r="ICD253" s="1"/>
      <c r="ICE253" s="1"/>
      <c r="ICF253" s="1"/>
      <c r="ICG253" s="1"/>
      <c r="ICH253" s="1"/>
      <c r="ICI253" s="1"/>
      <c r="ICJ253" s="1"/>
      <c r="ICK253" s="1"/>
      <c r="ICL253" s="1"/>
      <c r="ICM253" s="1"/>
      <c r="ICN253" s="1"/>
      <c r="ICO253" s="1"/>
      <c r="ICP253" s="1"/>
      <c r="ICQ253" s="1"/>
      <c r="ICR253" s="1"/>
      <c r="ICS253" s="1"/>
      <c r="ICT253" s="1"/>
      <c r="ICU253" s="1"/>
      <c r="ICV253" s="1"/>
      <c r="ICW253" s="1"/>
      <c r="ICX253" s="1"/>
      <c r="ICY253" s="1"/>
      <c r="ICZ253" s="1"/>
      <c r="IDA253" s="1"/>
      <c r="IDB253" s="1"/>
      <c r="IDC253" s="1"/>
      <c r="IDD253" s="1"/>
      <c r="IDE253" s="1"/>
      <c r="IDF253" s="1"/>
      <c r="IDG253" s="1"/>
      <c r="IDH253" s="1"/>
      <c r="IDI253" s="1"/>
      <c r="IDJ253" s="1"/>
      <c r="IDK253" s="1"/>
      <c r="IDL253" s="1"/>
      <c r="IDM253" s="1"/>
      <c r="IDN253" s="1"/>
      <c r="IDO253" s="1"/>
      <c r="IDP253" s="1"/>
      <c r="IDQ253" s="1"/>
      <c r="IDR253" s="1"/>
      <c r="IDS253" s="1"/>
      <c r="IDT253" s="1"/>
      <c r="IDU253" s="1"/>
      <c r="IDV253" s="1"/>
      <c r="IDW253" s="1"/>
      <c r="IDX253" s="1"/>
      <c r="IDY253" s="1"/>
      <c r="IDZ253" s="1"/>
      <c r="IEA253" s="1"/>
      <c r="IEB253" s="1"/>
      <c r="IEC253" s="1"/>
      <c r="IED253" s="1"/>
      <c r="IEE253" s="1"/>
      <c r="IEF253" s="1"/>
      <c r="IEG253" s="1"/>
      <c r="IEH253" s="1"/>
      <c r="IEI253" s="1"/>
      <c r="IEJ253" s="1"/>
      <c r="IEK253" s="1"/>
      <c r="IEL253" s="1"/>
      <c r="IEM253" s="1"/>
      <c r="IEN253" s="1"/>
      <c r="IEO253" s="1"/>
      <c r="IEP253" s="1"/>
      <c r="IEQ253" s="1"/>
      <c r="IER253" s="1"/>
      <c r="IES253" s="1"/>
      <c r="IET253" s="1"/>
      <c r="IEU253" s="1"/>
      <c r="IEV253" s="1"/>
      <c r="IEW253" s="1"/>
      <c r="IEX253" s="1"/>
      <c r="IEY253" s="1"/>
      <c r="IEZ253" s="1"/>
      <c r="IFA253" s="1"/>
      <c r="IFB253" s="1"/>
      <c r="IFC253" s="1"/>
      <c r="IFD253" s="1"/>
      <c r="IFE253" s="1"/>
      <c r="IFF253" s="1"/>
      <c r="IFG253" s="1"/>
      <c r="IFH253" s="1"/>
      <c r="IFI253" s="1"/>
      <c r="IFJ253" s="1"/>
      <c r="IFK253" s="1"/>
      <c r="IFL253" s="1"/>
      <c r="IFM253" s="1"/>
      <c r="IFN253" s="1"/>
      <c r="IFO253" s="1"/>
      <c r="IFP253" s="1"/>
      <c r="IFQ253" s="1"/>
      <c r="IFR253" s="1"/>
      <c r="IFS253" s="1"/>
      <c r="IFT253" s="1"/>
      <c r="IFU253" s="1"/>
      <c r="IFV253" s="1"/>
      <c r="IFW253" s="1"/>
      <c r="IFX253" s="1"/>
      <c r="IFY253" s="1"/>
      <c r="IFZ253" s="1"/>
      <c r="IGA253" s="1"/>
      <c r="IGB253" s="1"/>
      <c r="IGC253" s="1"/>
      <c r="IGD253" s="1"/>
      <c r="IGE253" s="1"/>
      <c r="IGF253" s="1"/>
      <c r="IGG253" s="1"/>
      <c r="IGH253" s="1"/>
      <c r="IGI253" s="1"/>
      <c r="IGJ253" s="1"/>
      <c r="IGK253" s="1"/>
      <c r="IGL253" s="1"/>
      <c r="IGM253" s="1"/>
      <c r="IGN253" s="1"/>
      <c r="IGO253" s="1"/>
      <c r="IGP253" s="1"/>
      <c r="IGQ253" s="1"/>
      <c r="IGR253" s="1"/>
      <c r="IGS253" s="1"/>
      <c r="IGT253" s="1"/>
      <c r="IGU253" s="1"/>
      <c r="IGV253" s="1"/>
      <c r="IGW253" s="1"/>
      <c r="IGX253" s="1"/>
      <c r="IGY253" s="1"/>
      <c r="IGZ253" s="1"/>
      <c r="IHA253" s="1"/>
      <c r="IHB253" s="1"/>
      <c r="IHC253" s="1"/>
      <c r="IHD253" s="1"/>
      <c r="IHE253" s="1"/>
      <c r="IHF253" s="1"/>
      <c r="IHG253" s="1"/>
      <c r="IHH253" s="1"/>
      <c r="IHI253" s="1"/>
      <c r="IHJ253" s="1"/>
      <c r="IHK253" s="1"/>
      <c r="IHL253" s="1"/>
      <c r="IHM253" s="1"/>
      <c r="IHN253" s="1"/>
      <c r="IHO253" s="1"/>
      <c r="IHP253" s="1"/>
      <c r="IHQ253" s="1"/>
      <c r="IHR253" s="1"/>
      <c r="IHS253" s="1"/>
      <c r="IHT253" s="1"/>
      <c r="IHU253" s="1"/>
      <c r="IHV253" s="1"/>
      <c r="IHW253" s="1"/>
      <c r="IHX253" s="1"/>
      <c r="IHY253" s="1"/>
      <c r="IHZ253" s="1"/>
      <c r="IIA253" s="1"/>
      <c r="IIB253" s="1"/>
      <c r="IIC253" s="1"/>
      <c r="IID253" s="1"/>
      <c r="IIE253" s="1"/>
      <c r="IIF253" s="1"/>
      <c r="IIG253" s="1"/>
      <c r="IIH253" s="1"/>
      <c r="III253" s="1"/>
      <c r="IIJ253" s="1"/>
      <c r="IIK253" s="1"/>
      <c r="IIL253" s="1"/>
      <c r="IIM253" s="1"/>
      <c r="IIN253" s="1"/>
      <c r="IIO253" s="1"/>
      <c r="IIP253" s="1"/>
      <c r="IIQ253" s="1"/>
      <c r="IIR253" s="1"/>
      <c r="IIS253" s="1"/>
      <c r="IIT253" s="1"/>
      <c r="IIU253" s="1"/>
      <c r="IIV253" s="1"/>
      <c r="IIW253" s="1"/>
      <c r="IIX253" s="1"/>
      <c r="IIY253" s="1"/>
      <c r="IIZ253" s="1"/>
      <c r="IJA253" s="1"/>
      <c r="IJB253" s="1"/>
      <c r="IJC253" s="1"/>
      <c r="IJD253" s="1"/>
      <c r="IJE253" s="1"/>
      <c r="IJF253" s="1"/>
      <c r="IJG253" s="1"/>
      <c r="IJH253" s="1"/>
      <c r="IJI253" s="1"/>
      <c r="IJJ253" s="1"/>
      <c r="IJK253" s="1"/>
      <c r="IJL253" s="1"/>
      <c r="IJM253" s="1"/>
      <c r="IJN253" s="1"/>
      <c r="IJO253" s="1"/>
      <c r="IJP253" s="1"/>
      <c r="IJQ253" s="1"/>
      <c r="IJR253" s="1"/>
      <c r="IJS253" s="1"/>
      <c r="IJT253" s="1"/>
      <c r="IJU253" s="1"/>
      <c r="IJV253" s="1"/>
      <c r="IJW253" s="1"/>
      <c r="IJX253" s="1"/>
      <c r="IJY253" s="1"/>
      <c r="IJZ253" s="1"/>
      <c r="IKA253" s="1"/>
      <c r="IKB253" s="1"/>
      <c r="IKC253" s="1"/>
      <c r="IKD253" s="1"/>
      <c r="IKE253" s="1"/>
      <c r="IKF253" s="1"/>
      <c r="IKG253" s="1"/>
      <c r="IKH253" s="1"/>
      <c r="IKI253" s="1"/>
      <c r="IKJ253" s="1"/>
      <c r="IKK253" s="1"/>
      <c r="IKL253" s="1"/>
      <c r="IKM253" s="1"/>
      <c r="IKN253" s="1"/>
      <c r="IKO253" s="1"/>
      <c r="IKP253" s="1"/>
      <c r="IKQ253" s="1"/>
      <c r="IKR253" s="1"/>
      <c r="IKS253" s="1"/>
      <c r="IKT253" s="1"/>
      <c r="IKU253" s="1"/>
      <c r="IKV253" s="1"/>
      <c r="IKW253" s="1"/>
      <c r="IKX253" s="1"/>
      <c r="IKY253" s="1"/>
      <c r="IKZ253" s="1"/>
      <c r="ILA253" s="1"/>
      <c r="ILB253" s="1"/>
      <c r="ILC253" s="1"/>
      <c r="ILD253" s="1"/>
      <c r="ILE253" s="1"/>
      <c r="ILF253" s="1"/>
      <c r="ILG253" s="1"/>
      <c r="ILH253" s="1"/>
      <c r="ILI253" s="1"/>
      <c r="ILJ253" s="1"/>
      <c r="ILK253" s="1"/>
      <c r="ILL253" s="1"/>
      <c r="ILM253" s="1"/>
      <c r="ILN253" s="1"/>
      <c r="ILO253" s="1"/>
      <c r="ILP253" s="1"/>
      <c r="ILQ253" s="1"/>
      <c r="ILR253" s="1"/>
      <c r="ILS253" s="1"/>
      <c r="ILT253" s="1"/>
      <c r="ILU253" s="1"/>
      <c r="ILV253" s="1"/>
      <c r="ILW253" s="1"/>
      <c r="ILX253" s="1"/>
      <c r="ILY253" s="1"/>
      <c r="ILZ253" s="1"/>
      <c r="IMA253" s="1"/>
      <c r="IMB253" s="1"/>
      <c r="IMC253" s="1"/>
      <c r="IMD253" s="1"/>
      <c r="IME253" s="1"/>
      <c r="IMF253" s="1"/>
      <c r="IMG253" s="1"/>
      <c r="IMH253" s="1"/>
      <c r="IMI253" s="1"/>
      <c r="IMJ253" s="1"/>
      <c r="IMK253" s="1"/>
      <c r="IML253" s="1"/>
      <c r="IMM253" s="1"/>
      <c r="IMN253" s="1"/>
      <c r="IMO253" s="1"/>
      <c r="IMP253" s="1"/>
      <c r="IMQ253" s="1"/>
      <c r="IMR253" s="1"/>
      <c r="IMS253" s="1"/>
      <c r="IMT253" s="1"/>
      <c r="IMU253" s="1"/>
      <c r="IMV253" s="1"/>
      <c r="IMW253" s="1"/>
      <c r="IMX253" s="1"/>
      <c r="IMY253" s="1"/>
      <c r="IMZ253" s="1"/>
      <c r="INA253" s="1"/>
      <c r="INB253" s="1"/>
      <c r="INC253" s="1"/>
      <c r="IND253" s="1"/>
      <c r="INE253" s="1"/>
      <c r="INF253" s="1"/>
      <c r="ING253" s="1"/>
      <c r="INH253" s="1"/>
      <c r="INI253" s="1"/>
      <c r="INJ253" s="1"/>
      <c r="INK253" s="1"/>
      <c r="INL253" s="1"/>
      <c r="INM253" s="1"/>
      <c r="INN253" s="1"/>
      <c r="INO253" s="1"/>
      <c r="INP253" s="1"/>
      <c r="INQ253" s="1"/>
      <c r="INR253" s="1"/>
      <c r="INS253" s="1"/>
      <c r="INT253" s="1"/>
      <c r="INU253" s="1"/>
      <c r="INV253" s="1"/>
      <c r="INW253" s="1"/>
      <c r="INX253" s="1"/>
      <c r="INY253" s="1"/>
      <c r="INZ253" s="1"/>
      <c r="IOA253" s="1"/>
      <c r="IOB253" s="1"/>
      <c r="IOC253" s="1"/>
      <c r="IOD253" s="1"/>
      <c r="IOE253" s="1"/>
      <c r="IOF253" s="1"/>
      <c r="IOG253" s="1"/>
      <c r="IOH253" s="1"/>
      <c r="IOI253" s="1"/>
      <c r="IOJ253" s="1"/>
      <c r="IOK253" s="1"/>
      <c r="IOL253" s="1"/>
      <c r="IOM253" s="1"/>
      <c r="ION253" s="1"/>
      <c r="IOO253" s="1"/>
      <c r="IOP253" s="1"/>
      <c r="IOQ253" s="1"/>
      <c r="IOR253" s="1"/>
      <c r="IOS253" s="1"/>
      <c r="IOT253" s="1"/>
      <c r="IOU253" s="1"/>
      <c r="IOV253" s="1"/>
      <c r="IOW253" s="1"/>
      <c r="IOX253" s="1"/>
      <c r="IOY253" s="1"/>
      <c r="IOZ253" s="1"/>
      <c r="IPA253" s="1"/>
      <c r="IPB253" s="1"/>
      <c r="IPC253" s="1"/>
      <c r="IPD253" s="1"/>
      <c r="IPE253" s="1"/>
      <c r="IPF253" s="1"/>
      <c r="IPG253" s="1"/>
      <c r="IPH253" s="1"/>
      <c r="IPI253" s="1"/>
      <c r="IPJ253" s="1"/>
      <c r="IPK253" s="1"/>
      <c r="IPL253" s="1"/>
      <c r="IPM253" s="1"/>
      <c r="IPN253" s="1"/>
      <c r="IPO253" s="1"/>
      <c r="IPP253" s="1"/>
      <c r="IPQ253" s="1"/>
      <c r="IPR253" s="1"/>
      <c r="IPS253" s="1"/>
      <c r="IPT253" s="1"/>
      <c r="IPU253" s="1"/>
      <c r="IPV253" s="1"/>
      <c r="IPW253" s="1"/>
      <c r="IPX253" s="1"/>
      <c r="IPY253" s="1"/>
      <c r="IPZ253" s="1"/>
      <c r="IQA253" s="1"/>
      <c r="IQB253" s="1"/>
      <c r="IQC253" s="1"/>
      <c r="IQD253" s="1"/>
      <c r="IQE253" s="1"/>
      <c r="IQF253" s="1"/>
      <c r="IQG253" s="1"/>
      <c r="IQH253" s="1"/>
      <c r="IQI253" s="1"/>
      <c r="IQJ253" s="1"/>
      <c r="IQK253" s="1"/>
      <c r="IQL253" s="1"/>
      <c r="IQM253" s="1"/>
      <c r="IQN253" s="1"/>
      <c r="IQO253" s="1"/>
      <c r="IQP253" s="1"/>
      <c r="IQQ253" s="1"/>
      <c r="IQR253" s="1"/>
      <c r="IQS253" s="1"/>
      <c r="IQT253" s="1"/>
      <c r="IQU253" s="1"/>
      <c r="IQV253" s="1"/>
      <c r="IQW253" s="1"/>
      <c r="IQX253" s="1"/>
      <c r="IQY253" s="1"/>
      <c r="IQZ253" s="1"/>
      <c r="IRA253" s="1"/>
      <c r="IRB253" s="1"/>
      <c r="IRC253" s="1"/>
      <c r="IRD253" s="1"/>
      <c r="IRE253" s="1"/>
      <c r="IRF253" s="1"/>
      <c r="IRG253" s="1"/>
      <c r="IRH253" s="1"/>
      <c r="IRI253" s="1"/>
      <c r="IRJ253" s="1"/>
      <c r="IRK253" s="1"/>
      <c r="IRL253" s="1"/>
      <c r="IRM253" s="1"/>
      <c r="IRN253" s="1"/>
      <c r="IRO253" s="1"/>
      <c r="IRP253" s="1"/>
      <c r="IRQ253" s="1"/>
      <c r="IRR253" s="1"/>
      <c r="IRS253" s="1"/>
      <c r="IRT253" s="1"/>
      <c r="IRU253" s="1"/>
      <c r="IRV253" s="1"/>
      <c r="IRW253" s="1"/>
      <c r="IRX253" s="1"/>
      <c r="IRY253" s="1"/>
      <c r="IRZ253" s="1"/>
      <c r="ISA253" s="1"/>
      <c r="ISB253" s="1"/>
      <c r="ISC253" s="1"/>
      <c r="ISD253" s="1"/>
      <c r="ISE253" s="1"/>
      <c r="ISF253" s="1"/>
      <c r="ISG253" s="1"/>
      <c r="ISH253" s="1"/>
      <c r="ISI253" s="1"/>
      <c r="ISJ253" s="1"/>
      <c r="ISK253" s="1"/>
      <c r="ISL253" s="1"/>
      <c r="ISM253" s="1"/>
      <c r="ISN253" s="1"/>
      <c r="ISO253" s="1"/>
      <c r="ISP253" s="1"/>
      <c r="ISQ253" s="1"/>
      <c r="ISR253" s="1"/>
      <c r="ISS253" s="1"/>
      <c r="IST253" s="1"/>
      <c r="ISU253" s="1"/>
      <c r="ISV253" s="1"/>
      <c r="ISW253" s="1"/>
      <c r="ISX253" s="1"/>
      <c r="ISY253" s="1"/>
      <c r="ISZ253" s="1"/>
      <c r="ITA253" s="1"/>
      <c r="ITB253" s="1"/>
      <c r="ITC253" s="1"/>
      <c r="ITD253" s="1"/>
      <c r="ITE253" s="1"/>
      <c r="ITF253" s="1"/>
      <c r="ITG253" s="1"/>
      <c r="ITH253" s="1"/>
      <c r="ITI253" s="1"/>
      <c r="ITJ253" s="1"/>
      <c r="ITK253" s="1"/>
      <c r="ITL253" s="1"/>
      <c r="ITM253" s="1"/>
      <c r="ITN253" s="1"/>
      <c r="ITO253" s="1"/>
      <c r="ITP253" s="1"/>
      <c r="ITQ253" s="1"/>
      <c r="ITR253" s="1"/>
      <c r="ITS253" s="1"/>
      <c r="ITT253" s="1"/>
      <c r="ITU253" s="1"/>
      <c r="ITV253" s="1"/>
      <c r="ITW253" s="1"/>
      <c r="ITX253" s="1"/>
      <c r="ITY253" s="1"/>
      <c r="ITZ253" s="1"/>
      <c r="IUA253" s="1"/>
      <c r="IUB253" s="1"/>
      <c r="IUC253" s="1"/>
      <c r="IUD253" s="1"/>
      <c r="IUE253" s="1"/>
      <c r="IUF253" s="1"/>
      <c r="IUG253" s="1"/>
      <c r="IUH253" s="1"/>
      <c r="IUI253" s="1"/>
      <c r="IUJ253" s="1"/>
      <c r="IUK253" s="1"/>
      <c r="IUL253" s="1"/>
      <c r="IUM253" s="1"/>
      <c r="IUN253" s="1"/>
      <c r="IUO253" s="1"/>
      <c r="IUP253" s="1"/>
      <c r="IUQ253" s="1"/>
      <c r="IUR253" s="1"/>
      <c r="IUS253" s="1"/>
      <c r="IUT253" s="1"/>
      <c r="IUU253" s="1"/>
      <c r="IUV253" s="1"/>
      <c r="IUW253" s="1"/>
      <c r="IUX253" s="1"/>
      <c r="IUY253" s="1"/>
      <c r="IUZ253" s="1"/>
      <c r="IVA253" s="1"/>
      <c r="IVB253" s="1"/>
      <c r="IVC253" s="1"/>
      <c r="IVD253" s="1"/>
      <c r="IVE253" s="1"/>
      <c r="IVF253" s="1"/>
      <c r="IVG253" s="1"/>
      <c r="IVH253" s="1"/>
      <c r="IVI253" s="1"/>
      <c r="IVJ253" s="1"/>
      <c r="IVK253" s="1"/>
      <c r="IVL253" s="1"/>
      <c r="IVM253" s="1"/>
      <c r="IVN253" s="1"/>
      <c r="IVO253" s="1"/>
      <c r="IVP253" s="1"/>
      <c r="IVQ253" s="1"/>
      <c r="IVR253" s="1"/>
      <c r="IVS253" s="1"/>
      <c r="IVT253" s="1"/>
      <c r="IVU253" s="1"/>
      <c r="IVV253" s="1"/>
      <c r="IVW253" s="1"/>
      <c r="IVX253" s="1"/>
      <c r="IVY253" s="1"/>
      <c r="IVZ253" s="1"/>
      <c r="IWA253" s="1"/>
      <c r="IWB253" s="1"/>
      <c r="IWC253" s="1"/>
      <c r="IWD253" s="1"/>
      <c r="IWE253" s="1"/>
      <c r="IWF253" s="1"/>
      <c r="IWG253" s="1"/>
      <c r="IWH253" s="1"/>
      <c r="IWI253" s="1"/>
      <c r="IWJ253" s="1"/>
      <c r="IWK253" s="1"/>
      <c r="IWL253" s="1"/>
      <c r="IWM253" s="1"/>
      <c r="IWN253" s="1"/>
      <c r="IWO253" s="1"/>
      <c r="IWP253" s="1"/>
      <c r="IWQ253" s="1"/>
      <c r="IWR253" s="1"/>
      <c r="IWS253" s="1"/>
      <c r="IWT253" s="1"/>
      <c r="IWU253" s="1"/>
      <c r="IWV253" s="1"/>
      <c r="IWW253" s="1"/>
      <c r="IWX253" s="1"/>
      <c r="IWY253" s="1"/>
      <c r="IWZ253" s="1"/>
      <c r="IXA253" s="1"/>
      <c r="IXB253" s="1"/>
      <c r="IXC253" s="1"/>
      <c r="IXD253" s="1"/>
      <c r="IXE253" s="1"/>
      <c r="IXF253" s="1"/>
      <c r="IXG253" s="1"/>
      <c r="IXH253" s="1"/>
      <c r="IXI253" s="1"/>
      <c r="IXJ253" s="1"/>
      <c r="IXK253" s="1"/>
      <c r="IXL253" s="1"/>
      <c r="IXM253" s="1"/>
      <c r="IXN253" s="1"/>
      <c r="IXO253" s="1"/>
      <c r="IXP253" s="1"/>
      <c r="IXQ253" s="1"/>
      <c r="IXR253" s="1"/>
      <c r="IXS253" s="1"/>
      <c r="IXT253" s="1"/>
      <c r="IXU253" s="1"/>
      <c r="IXV253" s="1"/>
      <c r="IXW253" s="1"/>
      <c r="IXX253" s="1"/>
      <c r="IXY253" s="1"/>
      <c r="IXZ253" s="1"/>
      <c r="IYA253" s="1"/>
      <c r="IYB253" s="1"/>
      <c r="IYC253" s="1"/>
      <c r="IYD253" s="1"/>
      <c r="IYE253" s="1"/>
      <c r="IYF253" s="1"/>
      <c r="IYG253" s="1"/>
      <c r="IYH253" s="1"/>
      <c r="IYI253" s="1"/>
      <c r="IYJ253" s="1"/>
      <c r="IYK253" s="1"/>
      <c r="IYL253" s="1"/>
      <c r="IYM253" s="1"/>
      <c r="IYN253" s="1"/>
      <c r="IYO253" s="1"/>
      <c r="IYP253" s="1"/>
      <c r="IYQ253" s="1"/>
      <c r="IYR253" s="1"/>
      <c r="IYS253" s="1"/>
      <c r="IYT253" s="1"/>
      <c r="IYU253" s="1"/>
      <c r="IYV253" s="1"/>
      <c r="IYW253" s="1"/>
      <c r="IYX253" s="1"/>
      <c r="IYY253" s="1"/>
      <c r="IYZ253" s="1"/>
      <c r="IZA253" s="1"/>
      <c r="IZB253" s="1"/>
      <c r="IZC253" s="1"/>
      <c r="IZD253" s="1"/>
      <c r="IZE253" s="1"/>
      <c r="IZF253" s="1"/>
      <c r="IZG253" s="1"/>
      <c r="IZH253" s="1"/>
      <c r="IZI253" s="1"/>
      <c r="IZJ253" s="1"/>
      <c r="IZK253" s="1"/>
      <c r="IZL253" s="1"/>
      <c r="IZM253" s="1"/>
      <c r="IZN253" s="1"/>
      <c r="IZO253" s="1"/>
      <c r="IZP253" s="1"/>
      <c r="IZQ253" s="1"/>
      <c r="IZR253" s="1"/>
      <c r="IZS253" s="1"/>
      <c r="IZT253" s="1"/>
      <c r="IZU253" s="1"/>
      <c r="IZV253" s="1"/>
      <c r="IZW253" s="1"/>
      <c r="IZX253" s="1"/>
      <c r="IZY253" s="1"/>
      <c r="IZZ253" s="1"/>
      <c r="JAA253" s="1"/>
      <c r="JAB253" s="1"/>
      <c r="JAC253" s="1"/>
      <c r="JAD253" s="1"/>
      <c r="JAE253" s="1"/>
      <c r="JAF253" s="1"/>
      <c r="JAG253" s="1"/>
      <c r="JAH253" s="1"/>
      <c r="JAI253" s="1"/>
      <c r="JAJ253" s="1"/>
      <c r="JAK253" s="1"/>
      <c r="JAL253" s="1"/>
      <c r="JAM253" s="1"/>
      <c r="JAN253" s="1"/>
      <c r="JAO253" s="1"/>
      <c r="JAP253" s="1"/>
      <c r="JAQ253" s="1"/>
      <c r="JAR253" s="1"/>
      <c r="JAS253" s="1"/>
      <c r="JAT253" s="1"/>
      <c r="JAU253" s="1"/>
      <c r="JAV253" s="1"/>
      <c r="JAW253" s="1"/>
      <c r="JAX253" s="1"/>
      <c r="JAY253" s="1"/>
      <c r="JAZ253" s="1"/>
      <c r="JBA253" s="1"/>
      <c r="JBB253" s="1"/>
      <c r="JBC253" s="1"/>
      <c r="JBD253" s="1"/>
      <c r="JBE253" s="1"/>
      <c r="JBF253" s="1"/>
      <c r="JBG253" s="1"/>
      <c r="JBH253" s="1"/>
      <c r="JBI253" s="1"/>
      <c r="JBJ253" s="1"/>
      <c r="JBK253" s="1"/>
      <c r="JBL253" s="1"/>
      <c r="JBM253" s="1"/>
      <c r="JBN253" s="1"/>
      <c r="JBO253" s="1"/>
      <c r="JBP253" s="1"/>
      <c r="JBQ253" s="1"/>
      <c r="JBR253" s="1"/>
      <c r="JBS253" s="1"/>
      <c r="JBT253" s="1"/>
      <c r="JBU253" s="1"/>
      <c r="JBV253" s="1"/>
      <c r="JBW253" s="1"/>
      <c r="JBX253" s="1"/>
      <c r="JBY253" s="1"/>
      <c r="JBZ253" s="1"/>
      <c r="JCA253" s="1"/>
      <c r="JCB253" s="1"/>
      <c r="JCC253" s="1"/>
      <c r="JCD253" s="1"/>
      <c r="JCE253" s="1"/>
      <c r="JCF253" s="1"/>
      <c r="JCG253" s="1"/>
      <c r="JCH253" s="1"/>
      <c r="JCI253" s="1"/>
      <c r="JCJ253" s="1"/>
      <c r="JCK253" s="1"/>
      <c r="JCL253" s="1"/>
      <c r="JCM253" s="1"/>
      <c r="JCN253" s="1"/>
      <c r="JCO253" s="1"/>
      <c r="JCP253" s="1"/>
      <c r="JCQ253" s="1"/>
      <c r="JCR253" s="1"/>
      <c r="JCS253" s="1"/>
      <c r="JCT253" s="1"/>
      <c r="JCU253" s="1"/>
      <c r="JCV253" s="1"/>
      <c r="JCW253" s="1"/>
      <c r="JCX253" s="1"/>
      <c r="JCY253" s="1"/>
      <c r="JCZ253" s="1"/>
      <c r="JDA253" s="1"/>
      <c r="JDB253" s="1"/>
      <c r="JDC253" s="1"/>
      <c r="JDD253" s="1"/>
      <c r="JDE253" s="1"/>
      <c r="JDF253" s="1"/>
      <c r="JDG253" s="1"/>
      <c r="JDH253" s="1"/>
      <c r="JDI253" s="1"/>
      <c r="JDJ253" s="1"/>
      <c r="JDK253" s="1"/>
      <c r="JDL253" s="1"/>
      <c r="JDM253" s="1"/>
      <c r="JDN253" s="1"/>
      <c r="JDO253" s="1"/>
      <c r="JDP253" s="1"/>
      <c r="JDQ253" s="1"/>
      <c r="JDR253" s="1"/>
      <c r="JDS253" s="1"/>
      <c r="JDT253" s="1"/>
      <c r="JDU253" s="1"/>
      <c r="JDV253" s="1"/>
      <c r="JDW253" s="1"/>
      <c r="JDX253" s="1"/>
      <c r="JDY253" s="1"/>
      <c r="JDZ253" s="1"/>
      <c r="JEA253" s="1"/>
      <c r="JEB253" s="1"/>
      <c r="JEC253" s="1"/>
      <c r="JED253" s="1"/>
      <c r="JEE253" s="1"/>
      <c r="JEF253" s="1"/>
      <c r="JEG253" s="1"/>
      <c r="JEH253" s="1"/>
      <c r="JEI253" s="1"/>
      <c r="JEJ253" s="1"/>
      <c r="JEK253" s="1"/>
      <c r="JEL253" s="1"/>
      <c r="JEM253" s="1"/>
      <c r="JEN253" s="1"/>
      <c r="JEO253" s="1"/>
      <c r="JEP253" s="1"/>
      <c r="JEQ253" s="1"/>
      <c r="JER253" s="1"/>
      <c r="JES253" s="1"/>
      <c r="JET253" s="1"/>
      <c r="JEU253" s="1"/>
      <c r="JEV253" s="1"/>
      <c r="JEW253" s="1"/>
      <c r="JEX253" s="1"/>
      <c r="JEY253" s="1"/>
      <c r="JEZ253" s="1"/>
      <c r="JFA253" s="1"/>
      <c r="JFB253" s="1"/>
      <c r="JFC253" s="1"/>
      <c r="JFD253" s="1"/>
      <c r="JFE253" s="1"/>
      <c r="JFF253" s="1"/>
      <c r="JFG253" s="1"/>
      <c r="JFH253" s="1"/>
      <c r="JFI253" s="1"/>
      <c r="JFJ253" s="1"/>
      <c r="JFK253" s="1"/>
      <c r="JFL253" s="1"/>
      <c r="JFM253" s="1"/>
      <c r="JFN253" s="1"/>
      <c r="JFO253" s="1"/>
      <c r="JFP253" s="1"/>
      <c r="JFQ253" s="1"/>
      <c r="JFR253" s="1"/>
      <c r="JFS253" s="1"/>
      <c r="JFT253" s="1"/>
      <c r="JFU253" s="1"/>
      <c r="JFV253" s="1"/>
      <c r="JFW253" s="1"/>
      <c r="JFX253" s="1"/>
      <c r="JFY253" s="1"/>
      <c r="JFZ253" s="1"/>
      <c r="JGA253" s="1"/>
      <c r="JGB253" s="1"/>
      <c r="JGC253" s="1"/>
      <c r="JGD253" s="1"/>
      <c r="JGE253" s="1"/>
      <c r="JGF253" s="1"/>
      <c r="JGG253" s="1"/>
      <c r="JGH253" s="1"/>
      <c r="JGI253" s="1"/>
      <c r="JGJ253" s="1"/>
      <c r="JGK253" s="1"/>
      <c r="JGL253" s="1"/>
      <c r="JGM253" s="1"/>
      <c r="JGN253" s="1"/>
      <c r="JGO253" s="1"/>
      <c r="JGP253" s="1"/>
      <c r="JGQ253" s="1"/>
      <c r="JGR253" s="1"/>
      <c r="JGS253" s="1"/>
      <c r="JGT253" s="1"/>
      <c r="JGU253" s="1"/>
      <c r="JGV253" s="1"/>
      <c r="JGW253" s="1"/>
      <c r="JGX253" s="1"/>
      <c r="JGY253" s="1"/>
      <c r="JGZ253" s="1"/>
      <c r="JHA253" s="1"/>
      <c r="JHB253" s="1"/>
      <c r="JHC253" s="1"/>
      <c r="JHD253" s="1"/>
      <c r="JHE253" s="1"/>
      <c r="JHF253" s="1"/>
      <c r="JHG253" s="1"/>
      <c r="JHH253" s="1"/>
      <c r="JHI253" s="1"/>
      <c r="JHJ253" s="1"/>
      <c r="JHK253" s="1"/>
      <c r="JHL253" s="1"/>
      <c r="JHM253" s="1"/>
      <c r="JHN253" s="1"/>
      <c r="JHO253" s="1"/>
      <c r="JHP253" s="1"/>
      <c r="JHQ253" s="1"/>
      <c r="JHR253" s="1"/>
      <c r="JHS253" s="1"/>
      <c r="JHT253" s="1"/>
      <c r="JHU253" s="1"/>
      <c r="JHV253" s="1"/>
      <c r="JHW253" s="1"/>
      <c r="JHX253" s="1"/>
      <c r="JHY253" s="1"/>
      <c r="JHZ253" s="1"/>
      <c r="JIA253" s="1"/>
      <c r="JIB253" s="1"/>
      <c r="JIC253" s="1"/>
      <c r="JID253" s="1"/>
      <c r="JIE253" s="1"/>
      <c r="JIF253" s="1"/>
      <c r="JIG253" s="1"/>
      <c r="JIH253" s="1"/>
      <c r="JII253" s="1"/>
      <c r="JIJ253" s="1"/>
      <c r="JIK253" s="1"/>
      <c r="JIL253" s="1"/>
      <c r="JIM253" s="1"/>
      <c r="JIN253" s="1"/>
      <c r="JIO253" s="1"/>
      <c r="JIP253" s="1"/>
      <c r="JIQ253" s="1"/>
      <c r="JIR253" s="1"/>
      <c r="JIS253" s="1"/>
      <c r="JIT253" s="1"/>
      <c r="JIU253" s="1"/>
      <c r="JIV253" s="1"/>
      <c r="JIW253" s="1"/>
      <c r="JIX253" s="1"/>
      <c r="JIY253" s="1"/>
      <c r="JIZ253" s="1"/>
      <c r="JJA253" s="1"/>
      <c r="JJB253" s="1"/>
      <c r="JJC253" s="1"/>
      <c r="JJD253" s="1"/>
      <c r="JJE253" s="1"/>
      <c r="JJF253" s="1"/>
      <c r="JJG253" s="1"/>
      <c r="JJH253" s="1"/>
      <c r="JJI253" s="1"/>
      <c r="JJJ253" s="1"/>
      <c r="JJK253" s="1"/>
      <c r="JJL253" s="1"/>
      <c r="JJM253" s="1"/>
      <c r="JJN253" s="1"/>
      <c r="JJO253" s="1"/>
      <c r="JJP253" s="1"/>
      <c r="JJQ253" s="1"/>
      <c r="JJR253" s="1"/>
      <c r="JJS253" s="1"/>
      <c r="JJT253" s="1"/>
      <c r="JJU253" s="1"/>
      <c r="JJV253" s="1"/>
      <c r="JJW253" s="1"/>
      <c r="JJX253" s="1"/>
      <c r="JJY253" s="1"/>
      <c r="JJZ253" s="1"/>
      <c r="JKA253" s="1"/>
      <c r="JKB253" s="1"/>
      <c r="JKC253" s="1"/>
      <c r="JKD253" s="1"/>
      <c r="JKE253" s="1"/>
      <c r="JKF253" s="1"/>
      <c r="JKG253" s="1"/>
      <c r="JKH253" s="1"/>
      <c r="JKI253" s="1"/>
      <c r="JKJ253" s="1"/>
      <c r="JKK253" s="1"/>
      <c r="JKL253" s="1"/>
      <c r="JKM253" s="1"/>
      <c r="JKN253" s="1"/>
      <c r="JKO253" s="1"/>
      <c r="JKP253" s="1"/>
      <c r="JKQ253" s="1"/>
      <c r="JKR253" s="1"/>
      <c r="JKS253" s="1"/>
      <c r="JKT253" s="1"/>
      <c r="JKU253" s="1"/>
      <c r="JKV253" s="1"/>
      <c r="JKW253" s="1"/>
      <c r="JKX253" s="1"/>
      <c r="JKY253" s="1"/>
      <c r="JKZ253" s="1"/>
      <c r="JLA253" s="1"/>
      <c r="JLB253" s="1"/>
      <c r="JLC253" s="1"/>
      <c r="JLD253" s="1"/>
      <c r="JLE253" s="1"/>
      <c r="JLF253" s="1"/>
      <c r="JLG253" s="1"/>
      <c r="JLH253" s="1"/>
      <c r="JLI253" s="1"/>
      <c r="JLJ253" s="1"/>
      <c r="JLK253" s="1"/>
      <c r="JLL253" s="1"/>
      <c r="JLM253" s="1"/>
      <c r="JLN253" s="1"/>
      <c r="JLO253" s="1"/>
      <c r="JLP253" s="1"/>
      <c r="JLQ253" s="1"/>
      <c r="JLR253" s="1"/>
      <c r="JLS253" s="1"/>
      <c r="JLT253" s="1"/>
      <c r="JLU253" s="1"/>
      <c r="JLV253" s="1"/>
      <c r="JLW253" s="1"/>
      <c r="JLX253" s="1"/>
      <c r="JLY253" s="1"/>
      <c r="JLZ253" s="1"/>
      <c r="JMA253" s="1"/>
      <c r="JMB253" s="1"/>
      <c r="JMC253" s="1"/>
      <c r="JMD253" s="1"/>
      <c r="JME253" s="1"/>
      <c r="JMF253" s="1"/>
      <c r="JMG253" s="1"/>
      <c r="JMH253" s="1"/>
      <c r="JMI253" s="1"/>
      <c r="JMJ253" s="1"/>
      <c r="JMK253" s="1"/>
      <c r="JML253" s="1"/>
      <c r="JMM253" s="1"/>
      <c r="JMN253" s="1"/>
      <c r="JMO253" s="1"/>
      <c r="JMP253" s="1"/>
      <c r="JMQ253" s="1"/>
      <c r="JMR253" s="1"/>
      <c r="JMS253" s="1"/>
      <c r="JMT253" s="1"/>
      <c r="JMU253" s="1"/>
      <c r="JMV253" s="1"/>
      <c r="JMW253" s="1"/>
      <c r="JMX253" s="1"/>
      <c r="JMY253" s="1"/>
      <c r="JMZ253" s="1"/>
      <c r="JNA253" s="1"/>
      <c r="JNB253" s="1"/>
      <c r="JNC253" s="1"/>
      <c r="JND253" s="1"/>
      <c r="JNE253" s="1"/>
      <c r="JNF253" s="1"/>
      <c r="JNG253" s="1"/>
      <c r="JNH253" s="1"/>
      <c r="JNI253" s="1"/>
      <c r="JNJ253" s="1"/>
      <c r="JNK253" s="1"/>
      <c r="JNL253" s="1"/>
      <c r="JNM253" s="1"/>
      <c r="JNN253" s="1"/>
      <c r="JNO253" s="1"/>
      <c r="JNP253" s="1"/>
      <c r="JNQ253" s="1"/>
      <c r="JNR253" s="1"/>
      <c r="JNS253" s="1"/>
      <c r="JNT253" s="1"/>
      <c r="JNU253" s="1"/>
      <c r="JNV253" s="1"/>
      <c r="JNW253" s="1"/>
      <c r="JNX253" s="1"/>
      <c r="JNY253" s="1"/>
      <c r="JNZ253" s="1"/>
      <c r="JOA253" s="1"/>
      <c r="JOB253" s="1"/>
      <c r="JOC253" s="1"/>
      <c r="JOD253" s="1"/>
      <c r="JOE253" s="1"/>
      <c r="JOF253" s="1"/>
      <c r="JOG253" s="1"/>
      <c r="JOH253" s="1"/>
      <c r="JOI253" s="1"/>
      <c r="JOJ253" s="1"/>
      <c r="JOK253" s="1"/>
      <c r="JOL253" s="1"/>
      <c r="JOM253" s="1"/>
      <c r="JON253" s="1"/>
      <c r="JOO253" s="1"/>
      <c r="JOP253" s="1"/>
      <c r="JOQ253" s="1"/>
      <c r="JOR253" s="1"/>
      <c r="JOS253" s="1"/>
      <c r="JOT253" s="1"/>
      <c r="JOU253" s="1"/>
      <c r="JOV253" s="1"/>
      <c r="JOW253" s="1"/>
      <c r="JOX253" s="1"/>
      <c r="JOY253" s="1"/>
      <c r="JOZ253" s="1"/>
      <c r="JPA253" s="1"/>
      <c r="JPB253" s="1"/>
      <c r="JPC253" s="1"/>
      <c r="JPD253" s="1"/>
      <c r="JPE253" s="1"/>
      <c r="JPF253" s="1"/>
      <c r="JPG253" s="1"/>
      <c r="JPH253" s="1"/>
      <c r="JPI253" s="1"/>
      <c r="JPJ253" s="1"/>
      <c r="JPK253" s="1"/>
      <c r="JPL253" s="1"/>
      <c r="JPM253" s="1"/>
      <c r="JPN253" s="1"/>
      <c r="JPO253" s="1"/>
      <c r="JPP253" s="1"/>
      <c r="JPQ253" s="1"/>
      <c r="JPR253" s="1"/>
      <c r="JPS253" s="1"/>
      <c r="JPT253" s="1"/>
      <c r="JPU253" s="1"/>
      <c r="JPV253" s="1"/>
      <c r="JPW253" s="1"/>
      <c r="JPX253" s="1"/>
      <c r="JPY253" s="1"/>
      <c r="JPZ253" s="1"/>
      <c r="JQA253" s="1"/>
      <c r="JQB253" s="1"/>
      <c r="JQC253" s="1"/>
      <c r="JQD253" s="1"/>
      <c r="JQE253" s="1"/>
      <c r="JQF253" s="1"/>
      <c r="JQG253" s="1"/>
      <c r="JQH253" s="1"/>
      <c r="JQI253" s="1"/>
      <c r="JQJ253" s="1"/>
      <c r="JQK253" s="1"/>
      <c r="JQL253" s="1"/>
      <c r="JQM253" s="1"/>
      <c r="JQN253" s="1"/>
      <c r="JQO253" s="1"/>
      <c r="JQP253" s="1"/>
      <c r="JQQ253" s="1"/>
      <c r="JQR253" s="1"/>
      <c r="JQS253" s="1"/>
      <c r="JQT253" s="1"/>
      <c r="JQU253" s="1"/>
      <c r="JQV253" s="1"/>
      <c r="JQW253" s="1"/>
      <c r="JQX253" s="1"/>
      <c r="JQY253" s="1"/>
      <c r="JQZ253" s="1"/>
      <c r="JRA253" s="1"/>
      <c r="JRB253" s="1"/>
      <c r="JRC253" s="1"/>
      <c r="JRD253" s="1"/>
      <c r="JRE253" s="1"/>
      <c r="JRF253" s="1"/>
      <c r="JRG253" s="1"/>
      <c r="JRH253" s="1"/>
      <c r="JRI253" s="1"/>
      <c r="JRJ253" s="1"/>
      <c r="JRK253" s="1"/>
      <c r="JRL253" s="1"/>
      <c r="JRM253" s="1"/>
      <c r="JRN253" s="1"/>
      <c r="JRO253" s="1"/>
      <c r="JRP253" s="1"/>
      <c r="JRQ253" s="1"/>
      <c r="JRR253" s="1"/>
      <c r="JRS253" s="1"/>
      <c r="JRT253" s="1"/>
      <c r="JRU253" s="1"/>
      <c r="JRV253" s="1"/>
      <c r="JRW253" s="1"/>
      <c r="JRX253" s="1"/>
      <c r="JRY253" s="1"/>
      <c r="JRZ253" s="1"/>
      <c r="JSA253" s="1"/>
      <c r="JSB253" s="1"/>
      <c r="JSC253" s="1"/>
      <c r="JSD253" s="1"/>
      <c r="JSE253" s="1"/>
      <c r="JSF253" s="1"/>
      <c r="JSG253" s="1"/>
      <c r="JSH253" s="1"/>
      <c r="JSI253" s="1"/>
      <c r="JSJ253" s="1"/>
      <c r="JSK253" s="1"/>
      <c r="JSL253" s="1"/>
      <c r="JSM253" s="1"/>
      <c r="JSN253" s="1"/>
      <c r="JSO253" s="1"/>
      <c r="JSP253" s="1"/>
      <c r="JSQ253" s="1"/>
      <c r="JSR253" s="1"/>
      <c r="JSS253" s="1"/>
      <c r="JST253" s="1"/>
      <c r="JSU253" s="1"/>
      <c r="JSV253" s="1"/>
      <c r="JSW253" s="1"/>
      <c r="JSX253" s="1"/>
      <c r="JSY253" s="1"/>
      <c r="JSZ253" s="1"/>
      <c r="JTA253" s="1"/>
      <c r="JTB253" s="1"/>
      <c r="JTC253" s="1"/>
      <c r="JTD253" s="1"/>
      <c r="JTE253" s="1"/>
      <c r="JTF253" s="1"/>
      <c r="JTG253" s="1"/>
      <c r="JTH253" s="1"/>
      <c r="JTI253" s="1"/>
      <c r="JTJ253" s="1"/>
      <c r="JTK253" s="1"/>
      <c r="JTL253" s="1"/>
      <c r="JTM253" s="1"/>
      <c r="JTN253" s="1"/>
      <c r="JTO253" s="1"/>
      <c r="JTP253" s="1"/>
      <c r="JTQ253" s="1"/>
      <c r="JTR253" s="1"/>
      <c r="JTS253" s="1"/>
      <c r="JTT253" s="1"/>
      <c r="JTU253" s="1"/>
      <c r="JTV253" s="1"/>
      <c r="JTW253" s="1"/>
      <c r="JTX253" s="1"/>
      <c r="JTY253" s="1"/>
      <c r="JTZ253" s="1"/>
      <c r="JUA253" s="1"/>
      <c r="JUB253" s="1"/>
      <c r="JUC253" s="1"/>
      <c r="JUD253" s="1"/>
      <c r="JUE253" s="1"/>
      <c r="JUF253" s="1"/>
      <c r="JUG253" s="1"/>
      <c r="JUH253" s="1"/>
      <c r="JUI253" s="1"/>
      <c r="JUJ253" s="1"/>
      <c r="JUK253" s="1"/>
      <c r="JUL253" s="1"/>
      <c r="JUM253" s="1"/>
      <c r="JUN253" s="1"/>
      <c r="JUO253" s="1"/>
      <c r="JUP253" s="1"/>
      <c r="JUQ253" s="1"/>
      <c r="JUR253" s="1"/>
      <c r="JUS253" s="1"/>
      <c r="JUT253" s="1"/>
      <c r="JUU253" s="1"/>
      <c r="JUV253" s="1"/>
      <c r="JUW253" s="1"/>
      <c r="JUX253" s="1"/>
      <c r="JUY253" s="1"/>
      <c r="JUZ253" s="1"/>
      <c r="JVA253" s="1"/>
      <c r="JVB253" s="1"/>
      <c r="JVC253" s="1"/>
      <c r="JVD253" s="1"/>
      <c r="JVE253" s="1"/>
      <c r="JVF253" s="1"/>
      <c r="JVG253" s="1"/>
      <c r="JVH253" s="1"/>
      <c r="JVI253" s="1"/>
      <c r="JVJ253" s="1"/>
      <c r="JVK253" s="1"/>
      <c r="JVL253" s="1"/>
      <c r="JVM253" s="1"/>
      <c r="JVN253" s="1"/>
      <c r="JVO253" s="1"/>
      <c r="JVP253" s="1"/>
      <c r="JVQ253" s="1"/>
      <c r="JVR253" s="1"/>
      <c r="JVS253" s="1"/>
      <c r="JVT253" s="1"/>
      <c r="JVU253" s="1"/>
      <c r="JVV253" s="1"/>
      <c r="JVW253" s="1"/>
      <c r="JVX253" s="1"/>
      <c r="JVY253" s="1"/>
      <c r="JVZ253" s="1"/>
      <c r="JWA253" s="1"/>
      <c r="JWB253" s="1"/>
      <c r="JWC253" s="1"/>
      <c r="JWD253" s="1"/>
      <c r="JWE253" s="1"/>
      <c r="JWF253" s="1"/>
      <c r="JWG253" s="1"/>
      <c r="JWH253" s="1"/>
      <c r="JWI253" s="1"/>
      <c r="JWJ253" s="1"/>
      <c r="JWK253" s="1"/>
      <c r="JWL253" s="1"/>
      <c r="JWM253" s="1"/>
      <c r="JWN253" s="1"/>
      <c r="JWO253" s="1"/>
      <c r="JWP253" s="1"/>
      <c r="JWQ253" s="1"/>
      <c r="JWR253" s="1"/>
      <c r="JWS253" s="1"/>
      <c r="JWT253" s="1"/>
      <c r="JWU253" s="1"/>
      <c r="JWV253" s="1"/>
      <c r="JWW253" s="1"/>
      <c r="JWX253" s="1"/>
      <c r="JWY253" s="1"/>
      <c r="JWZ253" s="1"/>
      <c r="JXA253" s="1"/>
      <c r="JXB253" s="1"/>
      <c r="JXC253" s="1"/>
      <c r="JXD253" s="1"/>
      <c r="JXE253" s="1"/>
      <c r="JXF253" s="1"/>
      <c r="JXG253" s="1"/>
      <c r="JXH253" s="1"/>
      <c r="JXI253" s="1"/>
      <c r="JXJ253" s="1"/>
      <c r="JXK253" s="1"/>
      <c r="JXL253" s="1"/>
      <c r="JXM253" s="1"/>
      <c r="JXN253" s="1"/>
      <c r="JXO253" s="1"/>
      <c r="JXP253" s="1"/>
      <c r="JXQ253" s="1"/>
      <c r="JXR253" s="1"/>
      <c r="JXS253" s="1"/>
      <c r="JXT253" s="1"/>
      <c r="JXU253" s="1"/>
      <c r="JXV253" s="1"/>
      <c r="JXW253" s="1"/>
      <c r="JXX253" s="1"/>
      <c r="JXY253" s="1"/>
      <c r="JXZ253" s="1"/>
      <c r="JYA253" s="1"/>
      <c r="JYB253" s="1"/>
      <c r="JYC253" s="1"/>
      <c r="JYD253" s="1"/>
      <c r="JYE253" s="1"/>
      <c r="JYF253" s="1"/>
      <c r="JYG253" s="1"/>
      <c r="JYH253" s="1"/>
      <c r="JYI253" s="1"/>
      <c r="JYJ253" s="1"/>
      <c r="JYK253" s="1"/>
      <c r="JYL253" s="1"/>
      <c r="JYM253" s="1"/>
      <c r="JYN253" s="1"/>
      <c r="JYO253" s="1"/>
      <c r="JYP253" s="1"/>
      <c r="JYQ253" s="1"/>
      <c r="JYR253" s="1"/>
      <c r="JYS253" s="1"/>
      <c r="JYT253" s="1"/>
      <c r="JYU253" s="1"/>
      <c r="JYV253" s="1"/>
      <c r="JYW253" s="1"/>
      <c r="JYX253" s="1"/>
      <c r="JYY253" s="1"/>
      <c r="JYZ253" s="1"/>
      <c r="JZA253" s="1"/>
      <c r="JZB253" s="1"/>
      <c r="JZC253" s="1"/>
      <c r="JZD253" s="1"/>
      <c r="JZE253" s="1"/>
      <c r="JZF253" s="1"/>
      <c r="JZG253" s="1"/>
      <c r="JZH253" s="1"/>
      <c r="JZI253" s="1"/>
      <c r="JZJ253" s="1"/>
      <c r="JZK253" s="1"/>
      <c r="JZL253" s="1"/>
      <c r="JZM253" s="1"/>
      <c r="JZN253" s="1"/>
      <c r="JZO253" s="1"/>
      <c r="JZP253" s="1"/>
      <c r="JZQ253" s="1"/>
      <c r="JZR253" s="1"/>
      <c r="JZS253" s="1"/>
      <c r="JZT253" s="1"/>
      <c r="JZU253" s="1"/>
      <c r="JZV253" s="1"/>
      <c r="JZW253" s="1"/>
      <c r="JZX253" s="1"/>
      <c r="JZY253" s="1"/>
      <c r="JZZ253" s="1"/>
      <c r="KAA253" s="1"/>
      <c r="KAB253" s="1"/>
      <c r="KAC253" s="1"/>
      <c r="KAD253" s="1"/>
      <c r="KAE253" s="1"/>
      <c r="KAF253" s="1"/>
      <c r="KAG253" s="1"/>
      <c r="KAH253" s="1"/>
      <c r="KAI253" s="1"/>
      <c r="KAJ253" s="1"/>
      <c r="KAK253" s="1"/>
      <c r="KAL253" s="1"/>
      <c r="KAM253" s="1"/>
      <c r="KAN253" s="1"/>
      <c r="KAO253" s="1"/>
      <c r="KAP253" s="1"/>
      <c r="KAQ253" s="1"/>
      <c r="KAR253" s="1"/>
      <c r="KAS253" s="1"/>
      <c r="KAT253" s="1"/>
      <c r="KAU253" s="1"/>
      <c r="KAV253" s="1"/>
      <c r="KAW253" s="1"/>
      <c r="KAX253" s="1"/>
      <c r="KAY253" s="1"/>
      <c r="KAZ253" s="1"/>
      <c r="KBA253" s="1"/>
      <c r="KBB253" s="1"/>
      <c r="KBC253" s="1"/>
      <c r="KBD253" s="1"/>
      <c r="KBE253" s="1"/>
      <c r="KBF253" s="1"/>
      <c r="KBG253" s="1"/>
      <c r="KBH253" s="1"/>
      <c r="KBI253" s="1"/>
      <c r="KBJ253" s="1"/>
      <c r="KBK253" s="1"/>
      <c r="KBL253" s="1"/>
      <c r="KBM253" s="1"/>
      <c r="KBN253" s="1"/>
      <c r="KBO253" s="1"/>
      <c r="KBP253" s="1"/>
      <c r="KBQ253" s="1"/>
      <c r="KBR253" s="1"/>
      <c r="KBS253" s="1"/>
      <c r="KBT253" s="1"/>
      <c r="KBU253" s="1"/>
      <c r="KBV253" s="1"/>
      <c r="KBW253" s="1"/>
      <c r="KBX253" s="1"/>
      <c r="KBY253" s="1"/>
      <c r="KBZ253" s="1"/>
      <c r="KCA253" s="1"/>
      <c r="KCB253" s="1"/>
      <c r="KCC253" s="1"/>
      <c r="KCD253" s="1"/>
      <c r="KCE253" s="1"/>
      <c r="KCF253" s="1"/>
      <c r="KCG253" s="1"/>
      <c r="KCH253" s="1"/>
      <c r="KCI253" s="1"/>
      <c r="KCJ253" s="1"/>
      <c r="KCK253" s="1"/>
      <c r="KCL253" s="1"/>
      <c r="KCM253" s="1"/>
      <c r="KCN253" s="1"/>
      <c r="KCO253" s="1"/>
      <c r="KCP253" s="1"/>
      <c r="KCQ253" s="1"/>
      <c r="KCR253" s="1"/>
      <c r="KCS253" s="1"/>
      <c r="KCT253" s="1"/>
      <c r="KCU253" s="1"/>
      <c r="KCV253" s="1"/>
      <c r="KCW253" s="1"/>
      <c r="KCX253" s="1"/>
      <c r="KCY253" s="1"/>
      <c r="KCZ253" s="1"/>
      <c r="KDA253" s="1"/>
      <c r="KDB253" s="1"/>
      <c r="KDC253" s="1"/>
      <c r="KDD253" s="1"/>
      <c r="KDE253" s="1"/>
      <c r="KDF253" s="1"/>
      <c r="KDG253" s="1"/>
      <c r="KDH253" s="1"/>
      <c r="KDI253" s="1"/>
      <c r="KDJ253" s="1"/>
      <c r="KDK253" s="1"/>
      <c r="KDL253" s="1"/>
      <c r="KDM253" s="1"/>
      <c r="KDN253" s="1"/>
      <c r="KDO253" s="1"/>
      <c r="KDP253" s="1"/>
      <c r="KDQ253" s="1"/>
      <c r="KDR253" s="1"/>
      <c r="KDS253" s="1"/>
      <c r="KDT253" s="1"/>
      <c r="KDU253" s="1"/>
      <c r="KDV253" s="1"/>
      <c r="KDW253" s="1"/>
      <c r="KDX253" s="1"/>
      <c r="KDY253" s="1"/>
      <c r="KDZ253" s="1"/>
      <c r="KEA253" s="1"/>
      <c r="KEB253" s="1"/>
      <c r="KEC253" s="1"/>
      <c r="KED253" s="1"/>
      <c r="KEE253" s="1"/>
      <c r="KEF253" s="1"/>
      <c r="KEG253" s="1"/>
      <c r="KEH253" s="1"/>
      <c r="KEI253" s="1"/>
      <c r="KEJ253" s="1"/>
      <c r="KEK253" s="1"/>
      <c r="KEL253" s="1"/>
      <c r="KEM253" s="1"/>
      <c r="KEN253" s="1"/>
      <c r="KEO253" s="1"/>
      <c r="KEP253" s="1"/>
      <c r="KEQ253" s="1"/>
      <c r="KER253" s="1"/>
      <c r="KES253" s="1"/>
      <c r="KET253" s="1"/>
      <c r="KEU253" s="1"/>
      <c r="KEV253" s="1"/>
      <c r="KEW253" s="1"/>
      <c r="KEX253" s="1"/>
      <c r="KEY253" s="1"/>
      <c r="KEZ253" s="1"/>
      <c r="KFA253" s="1"/>
      <c r="KFB253" s="1"/>
      <c r="KFC253" s="1"/>
      <c r="KFD253" s="1"/>
      <c r="KFE253" s="1"/>
      <c r="KFF253" s="1"/>
      <c r="KFG253" s="1"/>
      <c r="KFH253" s="1"/>
      <c r="KFI253" s="1"/>
      <c r="KFJ253" s="1"/>
      <c r="KFK253" s="1"/>
      <c r="KFL253" s="1"/>
      <c r="KFM253" s="1"/>
      <c r="KFN253" s="1"/>
      <c r="KFO253" s="1"/>
      <c r="KFP253" s="1"/>
      <c r="KFQ253" s="1"/>
      <c r="KFR253" s="1"/>
      <c r="KFS253" s="1"/>
      <c r="KFT253" s="1"/>
      <c r="KFU253" s="1"/>
      <c r="KFV253" s="1"/>
      <c r="KFW253" s="1"/>
      <c r="KFX253" s="1"/>
      <c r="KFY253" s="1"/>
      <c r="KFZ253" s="1"/>
      <c r="KGA253" s="1"/>
      <c r="KGB253" s="1"/>
      <c r="KGC253" s="1"/>
      <c r="KGD253" s="1"/>
      <c r="KGE253" s="1"/>
      <c r="KGF253" s="1"/>
      <c r="KGG253" s="1"/>
      <c r="KGH253" s="1"/>
      <c r="KGI253" s="1"/>
      <c r="KGJ253" s="1"/>
      <c r="KGK253" s="1"/>
      <c r="KGL253" s="1"/>
      <c r="KGM253" s="1"/>
      <c r="KGN253" s="1"/>
      <c r="KGO253" s="1"/>
      <c r="KGP253" s="1"/>
      <c r="KGQ253" s="1"/>
      <c r="KGR253" s="1"/>
      <c r="KGS253" s="1"/>
      <c r="KGT253" s="1"/>
      <c r="KGU253" s="1"/>
      <c r="KGV253" s="1"/>
      <c r="KGW253" s="1"/>
      <c r="KGX253" s="1"/>
      <c r="KGY253" s="1"/>
      <c r="KGZ253" s="1"/>
      <c r="KHA253" s="1"/>
      <c r="KHB253" s="1"/>
      <c r="KHC253" s="1"/>
      <c r="KHD253" s="1"/>
      <c r="KHE253" s="1"/>
      <c r="KHF253" s="1"/>
      <c r="KHG253" s="1"/>
      <c r="KHH253" s="1"/>
      <c r="KHI253" s="1"/>
      <c r="KHJ253" s="1"/>
      <c r="KHK253" s="1"/>
      <c r="KHL253" s="1"/>
      <c r="KHM253" s="1"/>
      <c r="KHN253" s="1"/>
      <c r="KHO253" s="1"/>
      <c r="KHP253" s="1"/>
      <c r="KHQ253" s="1"/>
      <c r="KHR253" s="1"/>
      <c r="KHS253" s="1"/>
      <c r="KHT253" s="1"/>
      <c r="KHU253" s="1"/>
      <c r="KHV253" s="1"/>
      <c r="KHW253" s="1"/>
      <c r="KHX253" s="1"/>
      <c r="KHY253" s="1"/>
      <c r="KHZ253" s="1"/>
      <c r="KIA253" s="1"/>
      <c r="KIB253" s="1"/>
      <c r="KIC253" s="1"/>
      <c r="KID253" s="1"/>
      <c r="KIE253" s="1"/>
      <c r="KIF253" s="1"/>
      <c r="KIG253" s="1"/>
      <c r="KIH253" s="1"/>
      <c r="KII253" s="1"/>
      <c r="KIJ253" s="1"/>
      <c r="KIK253" s="1"/>
      <c r="KIL253" s="1"/>
      <c r="KIM253" s="1"/>
      <c r="KIN253" s="1"/>
      <c r="KIO253" s="1"/>
      <c r="KIP253" s="1"/>
      <c r="KIQ253" s="1"/>
      <c r="KIR253" s="1"/>
      <c r="KIS253" s="1"/>
      <c r="KIT253" s="1"/>
      <c r="KIU253" s="1"/>
      <c r="KIV253" s="1"/>
      <c r="KIW253" s="1"/>
      <c r="KIX253" s="1"/>
      <c r="KIY253" s="1"/>
      <c r="KIZ253" s="1"/>
      <c r="KJA253" s="1"/>
      <c r="KJB253" s="1"/>
      <c r="KJC253" s="1"/>
      <c r="KJD253" s="1"/>
      <c r="KJE253" s="1"/>
      <c r="KJF253" s="1"/>
      <c r="KJG253" s="1"/>
      <c r="KJH253" s="1"/>
      <c r="KJI253" s="1"/>
      <c r="KJJ253" s="1"/>
      <c r="KJK253" s="1"/>
      <c r="KJL253" s="1"/>
      <c r="KJM253" s="1"/>
      <c r="KJN253" s="1"/>
      <c r="KJO253" s="1"/>
      <c r="KJP253" s="1"/>
      <c r="KJQ253" s="1"/>
      <c r="KJR253" s="1"/>
      <c r="KJS253" s="1"/>
      <c r="KJT253" s="1"/>
      <c r="KJU253" s="1"/>
      <c r="KJV253" s="1"/>
      <c r="KJW253" s="1"/>
      <c r="KJX253" s="1"/>
      <c r="KJY253" s="1"/>
      <c r="KJZ253" s="1"/>
      <c r="KKA253" s="1"/>
      <c r="KKB253" s="1"/>
      <c r="KKC253" s="1"/>
      <c r="KKD253" s="1"/>
      <c r="KKE253" s="1"/>
      <c r="KKF253" s="1"/>
      <c r="KKG253" s="1"/>
      <c r="KKH253" s="1"/>
      <c r="KKI253" s="1"/>
      <c r="KKJ253" s="1"/>
      <c r="KKK253" s="1"/>
      <c r="KKL253" s="1"/>
      <c r="KKM253" s="1"/>
      <c r="KKN253" s="1"/>
      <c r="KKO253" s="1"/>
      <c r="KKP253" s="1"/>
      <c r="KKQ253" s="1"/>
      <c r="KKR253" s="1"/>
      <c r="KKS253" s="1"/>
      <c r="KKT253" s="1"/>
      <c r="KKU253" s="1"/>
      <c r="KKV253" s="1"/>
      <c r="KKW253" s="1"/>
      <c r="KKX253" s="1"/>
      <c r="KKY253" s="1"/>
      <c r="KKZ253" s="1"/>
      <c r="KLA253" s="1"/>
      <c r="KLB253" s="1"/>
      <c r="KLC253" s="1"/>
      <c r="KLD253" s="1"/>
      <c r="KLE253" s="1"/>
      <c r="KLF253" s="1"/>
      <c r="KLG253" s="1"/>
      <c r="KLH253" s="1"/>
      <c r="KLI253" s="1"/>
      <c r="KLJ253" s="1"/>
      <c r="KLK253" s="1"/>
      <c r="KLL253" s="1"/>
      <c r="KLM253" s="1"/>
      <c r="KLN253" s="1"/>
      <c r="KLO253" s="1"/>
      <c r="KLP253" s="1"/>
      <c r="KLQ253" s="1"/>
      <c r="KLR253" s="1"/>
      <c r="KLS253" s="1"/>
      <c r="KLT253" s="1"/>
      <c r="KLU253" s="1"/>
      <c r="KLV253" s="1"/>
      <c r="KLW253" s="1"/>
      <c r="KLX253" s="1"/>
      <c r="KLY253" s="1"/>
      <c r="KLZ253" s="1"/>
      <c r="KMA253" s="1"/>
      <c r="KMB253" s="1"/>
      <c r="KMC253" s="1"/>
      <c r="KMD253" s="1"/>
      <c r="KME253" s="1"/>
      <c r="KMF253" s="1"/>
      <c r="KMG253" s="1"/>
      <c r="KMH253" s="1"/>
      <c r="KMI253" s="1"/>
      <c r="KMJ253" s="1"/>
      <c r="KMK253" s="1"/>
      <c r="KML253" s="1"/>
      <c r="KMM253" s="1"/>
      <c r="KMN253" s="1"/>
      <c r="KMO253" s="1"/>
      <c r="KMP253" s="1"/>
      <c r="KMQ253" s="1"/>
      <c r="KMR253" s="1"/>
      <c r="KMS253" s="1"/>
      <c r="KMT253" s="1"/>
      <c r="KMU253" s="1"/>
      <c r="KMV253" s="1"/>
      <c r="KMW253" s="1"/>
      <c r="KMX253" s="1"/>
      <c r="KMY253" s="1"/>
      <c r="KMZ253" s="1"/>
      <c r="KNA253" s="1"/>
      <c r="KNB253" s="1"/>
      <c r="KNC253" s="1"/>
      <c r="KND253" s="1"/>
      <c r="KNE253" s="1"/>
      <c r="KNF253" s="1"/>
      <c r="KNG253" s="1"/>
      <c r="KNH253" s="1"/>
      <c r="KNI253" s="1"/>
      <c r="KNJ253" s="1"/>
      <c r="KNK253" s="1"/>
      <c r="KNL253" s="1"/>
      <c r="KNM253" s="1"/>
      <c r="KNN253" s="1"/>
      <c r="KNO253" s="1"/>
      <c r="KNP253" s="1"/>
      <c r="KNQ253" s="1"/>
      <c r="KNR253" s="1"/>
      <c r="KNS253" s="1"/>
      <c r="KNT253" s="1"/>
      <c r="KNU253" s="1"/>
      <c r="KNV253" s="1"/>
      <c r="KNW253" s="1"/>
      <c r="KNX253" s="1"/>
      <c r="KNY253" s="1"/>
      <c r="KNZ253" s="1"/>
      <c r="KOA253" s="1"/>
      <c r="KOB253" s="1"/>
      <c r="KOC253" s="1"/>
      <c r="KOD253" s="1"/>
      <c r="KOE253" s="1"/>
      <c r="KOF253" s="1"/>
      <c r="KOG253" s="1"/>
      <c r="KOH253" s="1"/>
      <c r="KOI253" s="1"/>
      <c r="KOJ253" s="1"/>
      <c r="KOK253" s="1"/>
      <c r="KOL253" s="1"/>
      <c r="KOM253" s="1"/>
      <c r="KON253" s="1"/>
      <c r="KOO253" s="1"/>
      <c r="KOP253" s="1"/>
      <c r="KOQ253" s="1"/>
      <c r="KOR253" s="1"/>
      <c r="KOS253" s="1"/>
      <c r="KOT253" s="1"/>
      <c r="KOU253" s="1"/>
      <c r="KOV253" s="1"/>
      <c r="KOW253" s="1"/>
      <c r="KOX253" s="1"/>
      <c r="KOY253" s="1"/>
      <c r="KOZ253" s="1"/>
      <c r="KPA253" s="1"/>
      <c r="KPB253" s="1"/>
      <c r="KPC253" s="1"/>
      <c r="KPD253" s="1"/>
      <c r="KPE253" s="1"/>
      <c r="KPF253" s="1"/>
      <c r="KPG253" s="1"/>
      <c r="KPH253" s="1"/>
      <c r="KPI253" s="1"/>
      <c r="KPJ253" s="1"/>
      <c r="KPK253" s="1"/>
      <c r="KPL253" s="1"/>
      <c r="KPM253" s="1"/>
      <c r="KPN253" s="1"/>
      <c r="KPO253" s="1"/>
      <c r="KPP253" s="1"/>
      <c r="KPQ253" s="1"/>
      <c r="KPR253" s="1"/>
      <c r="KPS253" s="1"/>
      <c r="KPT253" s="1"/>
      <c r="KPU253" s="1"/>
      <c r="KPV253" s="1"/>
      <c r="KPW253" s="1"/>
      <c r="KPX253" s="1"/>
      <c r="KPY253" s="1"/>
      <c r="KPZ253" s="1"/>
      <c r="KQA253" s="1"/>
      <c r="KQB253" s="1"/>
      <c r="KQC253" s="1"/>
      <c r="KQD253" s="1"/>
      <c r="KQE253" s="1"/>
      <c r="KQF253" s="1"/>
      <c r="KQG253" s="1"/>
      <c r="KQH253" s="1"/>
      <c r="KQI253" s="1"/>
      <c r="KQJ253" s="1"/>
      <c r="KQK253" s="1"/>
      <c r="KQL253" s="1"/>
      <c r="KQM253" s="1"/>
      <c r="KQN253" s="1"/>
      <c r="KQO253" s="1"/>
      <c r="KQP253" s="1"/>
      <c r="KQQ253" s="1"/>
      <c r="KQR253" s="1"/>
      <c r="KQS253" s="1"/>
      <c r="KQT253" s="1"/>
      <c r="KQU253" s="1"/>
      <c r="KQV253" s="1"/>
      <c r="KQW253" s="1"/>
      <c r="KQX253" s="1"/>
      <c r="KQY253" s="1"/>
      <c r="KQZ253" s="1"/>
      <c r="KRA253" s="1"/>
      <c r="KRB253" s="1"/>
      <c r="KRC253" s="1"/>
      <c r="KRD253" s="1"/>
      <c r="KRE253" s="1"/>
      <c r="KRF253" s="1"/>
      <c r="KRG253" s="1"/>
      <c r="KRH253" s="1"/>
      <c r="KRI253" s="1"/>
      <c r="KRJ253" s="1"/>
      <c r="KRK253" s="1"/>
      <c r="KRL253" s="1"/>
      <c r="KRM253" s="1"/>
      <c r="KRN253" s="1"/>
      <c r="KRO253" s="1"/>
      <c r="KRP253" s="1"/>
      <c r="KRQ253" s="1"/>
      <c r="KRR253" s="1"/>
      <c r="KRS253" s="1"/>
      <c r="KRT253" s="1"/>
      <c r="KRU253" s="1"/>
      <c r="KRV253" s="1"/>
      <c r="KRW253" s="1"/>
      <c r="KRX253" s="1"/>
      <c r="KRY253" s="1"/>
      <c r="KRZ253" s="1"/>
      <c r="KSA253" s="1"/>
      <c r="KSB253" s="1"/>
      <c r="KSC253" s="1"/>
      <c r="KSD253" s="1"/>
      <c r="KSE253" s="1"/>
      <c r="KSF253" s="1"/>
      <c r="KSG253" s="1"/>
      <c r="KSH253" s="1"/>
      <c r="KSI253" s="1"/>
      <c r="KSJ253" s="1"/>
      <c r="KSK253" s="1"/>
      <c r="KSL253" s="1"/>
      <c r="KSM253" s="1"/>
      <c r="KSN253" s="1"/>
      <c r="KSO253" s="1"/>
      <c r="KSP253" s="1"/>
      <c r="KSQ253" s="1"/>
      <c r="KSR253" s="1"/>
      <c r="KSS253" s="1"/>
      <c r="KST253" s="1"/>
      <c r="KSU253" s="1"/>
      <c r="KSV253" s="1"/>
      <c r="KSW253" s="1"/>
      <c r="KSX253" s="1"/>
      <c r="KSY253" s="1"/>
      <c r="KSZ253" s="1"/>
      <c r="KTA253" s="1"/>
      <c r="KTB253" s="1"/>
      <c r="KTC253" s="1"/>
      <c r="KTD253" s="1"/>
      <c r="KTE253" s="1"/>
      <c r="KTF253" s="1"/>
      <c r="KTG253" s="1"/>
      <c r="KTH253" s="1"/>
      <c r="KTI253" s="1"/>
      <c r="KTJ253" s="1"/>
      <c r="KTK253" s="1"/>
      <c r="KTL253" s="1"/>
      <c r="KTM253" s="1"/>
      <c r="KTN253" s="1"/>
      <c r="KTO253" s="1"/>
      <c r="KTP253" s="1"/>
      <c r="KTQ253" s="1"/>
      <c r="KTR253" s="1"/>
      <c r="KTS253" s="1"/>
      <c r="KTT253" s="1"/>
      <c r="KTU253" s="1"/>
      <c r="KTV253" s="1"/>
      <c r="KTW253" s="1"/>
      <c r="KTX253" s="1"/>
      <c r="KTY253" s="1"/>
      <c r="KTZ253" s="1"/>
      <c r="KUA253" s="1"/>
      <c r="KUB253" s="1"/>
      <c r="KUC253" s="1"/>
      <c r="KUD253" s="1"/>
      <c r="KUE253" s="1"/>
      <c r="KUF253" s="1"/>
      <c r="KUG253" s="1"/>
      <c r="KUH253" s="1"/>
      <c r="KUI253" s="1"/>
      <c r="KUJ253" s="1"/>
      <c r="KUK253" s="1"/>
      <c r="KUL253" s="1"/>
      <c r="KUM253" s="1"/>
      <c r="KUN253" s="1"/>
      <c r="KUO253" s="1"/>
      <c r="KUP253" s="1"/>
      <c r="KUQ253" s="1"/>
      <c r="KUR253" s="1"/>
      <c r="KUS253" s="1"/>
      <c r="KUT253" s="1"/>
      <c r="KUU253" s="1"/>
      <c r="KUV253" s="1"/>
      <c r="KUW253" s="1"/>
      <c r="KUX253" s="1"/>
      <c r="KUY253" s="1"/>
      <c r="KUZ253" s="1"/>
      <c r="KVA253" s="1"/>
      <c r="KVB253" s="1"/>
      <c r="KVC253" s="1"/>
      <c r="KVD253" s="1"/>
      <c r="KVE253" s="1"/>
      <c r="KVF253" s="1"/>
      <c r="KVG253" s="1"/>
      <c r="KVH253" s="1"/>
      <c r="KVI253" s="1"/>
      <c r="KVJ253" s="1"/>
      <c r="KVK253" s="1"/>
      <c r="KVL253" s="1"/>
      <c r="KVM253" s="1"/>
      <c r="KVN253" s="1"/>
      <c r="KVO253" s="1"/>
      <c r="KVP253" s="1"/>
      <c r="KVQ253" s="1"/>
      <c r="KVR253" s="1"/>
      <c r="KVS253" s="1"/>
      <c r="KVT253" s="1"/>
      <c r="KVU253" s="1"/>
      <c r="KVV253" s="1"/>
      <c r="KVW253" s="1"/>
      <c r="KVX253" s="1"/>
      <c r="KVY253" s="1"/>
      <c r="KVZ253" s="1"/>
      <c r="KWA253" s="1"/>
      <c r="KWB253" s="1"/>
      <c r="KWC253" s="1"/>
      <c r="KWD253" s="1"/>
      <c r="KWE253" s="1"/>
      <c r="KWF253" s="1"/>
      <c r="KWG253" s="1"/>
      <c r="KWH253" s="1"/>
      <c r="KWI253" s="1"/>
      <c r="KWJ253" s="1"/>
      <c r="KWK253" s="1"/>
      <c r="KWL253" s="1"/>
      <c r="KWM253" s="1"/>
      <c r="KWN253" s="1"/>
      <c r="KWO253" s="1"/>
      <c r="KWP253" s="1"/>
      <c r="KWQ253" s="1"/>
      <c r="KWR253" s="1"/>
      <c r="KWS253" s="1"/>
      <c r="KWT253" s="1"/>
      <c r="KWU253" s="1"/>
      <c r="KWV253" s="1"/>
      <c r="KWW253" s="1"/>
      <c r="KWX253" s="1"/>
      <c r="KWY253" s="1"/>
      <c r="KWZ253" s="1"/>
      <c r="KXA253" s="1"/>
      <c r="KXB253" s="1"/>
      <c r="KXC253" s="1"/>
      <c r="KXD253" s="1"/>
      <c r="KXE253" s="1"/>
      <c r="KXF253" s="1"/>
      <c r="KXG253" s="1"/>
      <c r="KXH253" s="1"/>
      <c r="KXI253" s="1"/>
      <c r="KXJ253" s="1"/>
      <c r="KXK253" s="1"/>
      <c r="KXL253" s="1"/>
      <c r="KXM253" s="1"/>
      <c r="KXN253" s="1"/>
      <c r="KXO253" s="1"/>
      <c r="KXP253" s="1"/>
      <c r="KXQ253" s="1"/>
      <c r="KXR253" s="1"/>
      <c r="KXS253" s="1"/>
      <c r="KXT253" s="1"/>
      <c r="KXU253" s="1"/>
      <c r="KXV253" s="1"/>
      <c r="KXW253" s="1"/>
      <c r="KXX253" s="1"/>
      <c r="KXY253" s="1"/>
      <c r="KXZ253" s="1"/>
      <c r="KYA253" s="1"/>
      <c r="KYB253" s="1"/>
      <c r="KYC253" s="1"/>
      <c r="KYD253" s="1"/>
      <c r="KYE253" s="1"/>
      <c r="KYF253" s="1"/>
      <c r="KYG253" s="1"/>
      <c r="KYH253" s="1"/>
      <c r="KYI253" s="1"/>
      <c r="KYJ253" s="1"/>
      <c r="KYK253" s="1"/>
      <c r="KYL253" s="1"/>
      <c r="KYM253" s="1"/>
      <c r="KYN253" s="1"/>
      <c r="KYO253" s="1"/>
      <c r="KYP253" s="1"/>
      <c r="KYQ253" s="1"/>
      <c r="KYR253" s="1"/>
      <c r="KYS253" s="1"/>
      <c r="KYT253" s="1"/>
      <c r="KYU253" s="1"/>
      <c r="KYV253" s="1"/>
      <c r="KYW253" s="1"/>
      <c r="KYX253" s="1"/>
      <c r="KYY253" s="1"/>
      <c r="KYZ253" s="1"/>
      <c r="KZA253" s="1"/>
      <c r="KZB253" s="1"/>
      <c r="KZC253" s="1"/>
      <c r="KZD253" s="1"/>
      <c r="KZE253" s="1"/>
      <c r="KZF253" s="1"/>
      <c r="KZG253" s="1"/>
      <c r="KZH253" s="1"/>
      <c r="KZI253" s="1"/>
      <c r="KZJ253" s="1"/>
      <c r="KZK253" s="1"/>
      <c r="KZL253" s="1"/>
      <c r="KZM253" s="1"/>
      <c r="KZN253" s="1"/>
      <c r="KZO253" s="1"/>
      <c r="KZP253" s="1"/>
      <c r="KZQ253" s="1"/>
      <c r="KZR253" s="1"/>
      <c r="KZS253" s="1"/>
      <c r="KZT253" s="1"/>
      <c r="KZU253" s="1"/>
      <c r="KZV253" s="1"/>
      <c r="KZW253" s="1"/>
      <c r="KZX253" s="1"/>
      <c r="KZY253" s="1"/>
      <c r="KZZ253" s="1"/>
      <c r="LAA253" s="1"/>
      <c r="LAB253" s="1"/>
      <c r="LAC253" s="1"/>
      <c r="LAD253" s="1"/>
      <c r="LAE253" s="1"/>
      <c r="LAF253" s="1"/>
      <c r="LAG253" s="1"/>
      <c r="LAH253" s="1"/>
      <c r="LAI253" s="1"/>
      <c r="LAJ253" s="1"/>
      <c r="LAK253" s="1"/>
      <c r="LAL253" s="1"/>
      <c r="LAM253" s="1"/>
      <c r="LAN253" s="1"/>
      <c r="LAO253" s="1"/>
      <c r="LAP253" s="1"/>
      <c r="LAQ253" s="1"/>
      <c r="LAR253" s="1"/>
      <c r="LAS253" s="1"/>
      <c r="LAT253" s="1"/>
      <c r="LAU253" s="1"/>
      <c r="LAV253" s="1"/>
      <c r="LAW253" s="1"/>
      <c r="LAX253" s="1"/>
      <c r="LAY253" s="1"/>
      <c r="LAZ253" s="1"/>
      <c r="LBA253" s="1"/>
      <c r="LBB253" s="1"/>
      <c r="LBC253" s="1"/>
      <c r="LBD253" s="1"/>
      <c r="LBE253" s="1"/>
      <c r="LBF253" s="1"/>
      <c r="LBG253" s="1"/>
      <c r="LBH253" s="1"/>
      <c r="LBI253" s="1"/>
      <c r="LBJ253" s="1"/>
      <c r="LBK253" s="1"/>
      <c r="LBL253" s="1"/>
      <c r="LBM253" s="1"/>
      <c r="LBN253" s="1"/>
      <c r="LBO253" s="1"/>
      <c r="LBP253" s="1"/>
      <c r="LBQ253" s="1"/>
      <c r="LBR253" s="1"/>
      <c r="LBS253" s="1"/>
      <c r="LBT253" s="1"/>
      <c r="LBU253" s="1"/>
      <c r="LBV253" s="1"/>
      <c r="LBW253" s="1"/>
      <c r="LBX253" s="1"/>
      <c r="LBY253" s="1"/>
      <c r="LBZ253" s="1"/>
      <c r="LCA253" s="1"/>
      <c r="LCB253" s="1"/>
      <c r="LCC253" s="1"/>
      <c r="LCD253" s="1"/>
      <c r="LCE253" s="1"/>
      <c r="LCF253" s="1"/>
      <c r="LCG253" s="1"/>
      <c r="LCH253" s="1"/>
      <c r="LCI253" s="1"/>
      <c r="LCJ253" s="1"/>
      <c r="LCK253" s="1"/>
      <c r="LCL253" s="1"/>
      <c r="LCM253" s="1"/>
      <c r="LCN253" s="1"/>
      <c r="LCO253" s="1"/>
      <c r="LCP253" s="1"/>
      <c r="LCQ253" s="1"/>
      <c r="LCR253" s="1"/>
      <c r="LCS253" s="1"/>
      <c r="LCT253" s="1"/>
      <c r="LCU253" s="1"/>
      <c r="LCV253" s="1"/>
      <c r="LCW253" s="1"/>
      <c r="LCX253" s="1"/>
      <c r="LCY253" s="1"/>
      <c r="LCZ253" s="1"/>
      <c r="LDA253" s="1"/>
      <c r="LDB253" s="1"/>
      <c r="LDC253" s="1"/>
      <c r="LDD253" s="1"/>
      <c r="LDE253" s="1"/>
      <c r="LDF253" s="1"/>
      <c r="LDG253" s="1"/>
      <c r="LDH253" s="1"/>
      <c r="LDI253" s="1"/>
      <c r="LDJ253" s="1"/>
      <c r="LDK253" s="1"/>
      <c r="LDL253" s="1"/>
      <c r="LDM253" s="1"/>
      <c r="LDN253" s="1"/>
      <c r="LDO253" s="1"/>
      <c r="LDP253" s="1"/>
      <c r="LDQ253" s="1"/>
      <c r="LDR253" s="1"/>
      <c r="LDS253" s="1"/>
      <c r="LDT253" s="1"/>
      <c r="LDU253" s="1"/>
      <c r="LDV253" s="1"/>
      <c r="LDW253" s="1"/>
      <c r="LDX253" s="1"/>
      <c r="LDY253" s="1"/>
      <c r="LDZ253" s="1"/>
      <c r="LEA253" s="1"/>
      <c r="LEB253" s="1"/>
      <c r="LEC253" s="1"/>
      <c r="LED253" s="1"/>
      <c r="LEE253" s="1"/>
      <c r="LEF253" s="1"/>
      <c r="LEG253" s="1"/>
      <c r="LEH253" s="1"/>
      <c r="LEI253" s="1"/>
      <c r="LEJ253" s="1"/>
      <c r="LEK253" s="1"/>
      <c r="LEL253" s="1"/>
      <c r="LEM253" s="1"/>
      <c r="LEN253" s="1"/>
      <c r="LEO253" s="1"/>
      <c r="LEP253" s="1"/>
      <c r="LEQ253" s="1"/>
      <c r="LER253" s="1"/>
      <c r="LES253" s="1"/>
      <c r="LET253" s="1"/>
      <c r="LEU253" s="1"/>
      <c r="LEV253" s="1"/>
      <c r="LEW253" s="1"/>
      <c r="LEX253" s="1"/>
      <c r="LEY253" s="1"/>
      <c r="LEZ253" s="1"/>
      <c r="LFA253" s="1"/>
      <c r="LFB253" s="1"/>
      <c r="LFC253" s="1"/>
      <c r="LFD253" s="1"/>
      <c r="LFE253" s="1"/>
      <c r="LFF253" s="1"/>
      <c r="LFG253" s="1"/>
      <c r="LFH253" s="1"/>
      <c r="LFI253" s="1"/>
      <c r="LFJ253" s="1"/>
      <c r="LFK253" s="1"/>
      <c r="LFL253" s="1"/>
      <c r="LFM253" s="1"/>
      <c r="LFN253" s="1"/>
      <c r="LFO253" s="1"/>
      <c r="LFP253" s="1"/>
      <c r="LFQ253" s="1"/>
      <c r="LFR253" s="1"/>
      <c r="LFS253" s="1"/>
      <c r="LFT253" s="1"/>
      <c r="LFU253" s="1"/>
      <c r="LFV253" s="1"/>
      <c r="LFW253" s="1"/>
      <c r="LFX253" s="1"/>
      <c r="LFY253" s="1"/>
      <c r="LFZ253" s="1"/>
      <c r="LGA253" s="1"/>
      <c r="LGB253" s="1"/>
      <c r="LGC253" s="1"/>
      <c r="LGD253" s="1"/>
      <c r="LGE253" s="1"/>
      <c r="LGF253" s="1"/>
      <c r="LGG253" s="1"/>
      <c r="LGH253" s="1"/>
      <c r="LGI253" s="1"/>
      <c r="LGJ253" s="1"/>
      <c r="LGK253" s="1"/>
      <c r="LGL253" s="1"/>
      <c r="LGM253" s="1"/>
      <c r="LGN253" s="1"/>
      <c r="LGO253" s="1"/>
      <c r="LGP253" s="1"/>
      <c r="LGQ253" s="1"/>
      <c r="LGR253" s="1"/>
      <c r="LGS253" s="1"/>
      <c r="LGT253" s="1"/>
      <c r="LGU253" s="1"/>
      <c r="LGV253" s="1"/>
      <c r="LGW253" s="1"/>
      <c r="LGX253" s="1"/>
      <c r="LGY253" s="1"/>
      <c r="LGZ253" s="1"/>
      <c r="LHA253" s="1"/>
      <c r="LHB253" s="1"/>
      <c r="LHC253" s="1"/>
      <c r="LHD253" s="1"/>
      <c r="LHE253" s="1"/>
      <c r="LHF253" s="1"/>
      <c r="LHG253" s="1"/>
      <c r="LHH253" s="1"/>
      <c r="LHI253" s="1"/>
      <c r="LHJ253" s="1"/>
      <c r="LHK253" s="1"/>
      <c r="LHL253" s="1"/>
      <c r="LHM253" s="1"/>
      <c r="LHN253" s="1"/>
      <c r="LHO253" s="1"/>
      <c r="LHP253" s="1"/>
      <c r="LHQ253" s="1"/>
      <c r="LHR253" s="1"/>
      <c r="LHS253" s="1"/>
      <c r="LHT253" s="1"/>
      <c r="LHU253" s="1"/>
      <c r="LHV253" s="1"/>
      <c r="LHW253" s="1"/>
      <c r="LHX253" s="1"/>
      <c r="LHY253" s="1"/>
      <c r="LHZ253" s="1"/>
      <c r="LIA253" s="1"/>
      <c r="LIB253" s="1"/>
      <c r="LIC253" s="1"/>
      <c r="LID253" s="1"/>
      <c r="LIE253" s="1"/>
      <c r="LIF253" s="1"/>
      <c r="LIG253" s="1"/>
      <c r="LIH253" s="1"/>
      <c r="LII253" s="1"/>
      <c r="LIJ253" s="1"/>
      <c r="LIK253" s="1"/>
      <c r="LIL253" s="1"/>
      <c r="LIM253" s="1"/>
      <c r="LIN253" s="1"/>
      <c r="LIO253" s="1"/>
      <c r="LIP253" s="1"/>
      <c r="LIQ253" s="1"/>
      <c r="LIR253" s="1"/>
      <c r="LIS253" s="1"/>
      <c r="LIT253" s="1"/>
      <c r="LIU253" s="1"/>
      <c r="LIV253" s="1"/>
      <c r="LIW253" s="1"/>
      <c r="LIX253" s="1"/>
      <c r="LIY253" s="1"/>
      <c r="LIZ253" s="1"/>
      <c r="LJA253" s="1"/>
      <c r="LJB253" s="1"/>
      <c r="LJC253" s="1"/>
      <c r="LJD253" s="1"/>
      <c r="LJE253" s="1"/>
      <c r="LJF253" s="1"/>
      <c r="LJG253" s="1"/>
      <c r="LJH253" s="1"/>
      <c r="LJI253" s="1"/>
      <c r="LJJ253" s="1"/>
      <c r="LJK253" s="1"/>
      <c r="LJL253" s="1"/>
      <c r="LJM253" s="1"/>
      <c r="LJN253" s="1"/>
      <c r="LJO253" s="1"/>
      <c r="LJP253" s="1"/>
      <c r="LJQ253" s="1"/>
      <c r="LJR253" s="1"/>
      <c r="LJS253" s="1"/>
      <c r="LJT253" s="1"/>
      <c r="LJU253" s="1"/>
      <c r="LJV253" s="1"/>
      <c r="LJW253" s="1"/>
      <c r="LJX253" s="1"/>
      <c r="LJY253" s="1"/>
      <c r="LJZ253" s="1"/>
      <c r="LKA253" s="1"/>
      <c r="LKB253" s="1"/>
      <c r="LKC253" s="1"/>
      <c r="LKD253" s="1"/>
      <c r="LKE253" s="1"/>
      <c r="LKF253" s="1"/>
      <c r="LKG253" s="1"/>
      <c r="LKH253" s="1"/>
      <c r="LKI253" s="1"/>
      <c r="LKJ253" s="1"/>
      <c r="LKK253" s="1"/>
      <c r="LKL253" s="1"/>
      <c r="LKM253" s="1"/>
      <c r="LKN253" s="1"/>
      <c r="LKO253" s="1"/>
      <c r="LKP253" s="1"/>
      <c r="LKQ253" s="1"/>
      <c r="LKR253" s="1"/>
      <c r="LKS253" s="1"/>
      <c r="LKT253" s="1"/>
      <c r="LKU253" s="1"/>
      <c r="LKV253" s="1"/>
      <c r="LKW253" s="1"/>
      <c r="LKX253" s="1"/>
      <c r="LKY253" s="1"/>
      <c r="LKZ253" s="1"/>
      <c r="LLA253" s="1"/>
      <c r="LLB253" s="1"/>
      <c r="LLC253" s="1"/>
      <c r="LLD253" s="1"/>
      <c r="LLE253" s="1"/>
      <c r="LLF253" s="1"/>
      <c r="LLG253" s="1"/>
      <c r="LLH253" s="1"/>
      <c r="LLI253" s="1"/>
      <c r="LLJ253" s="1"/>
      <c r="LLK253" s="1"/>
      <c r="LLL253" s="1"/>
      <c r="LLM253" s="1"/>
      <c r="LLN253" s="1"/>
      <c r="LLO253" s="1"/>
      <c r="LLP253" s="1"/>
      <c r="LLQ253" s="1"/>
      <c r="LLR253" s="1"/>
      <c r="LLS253" s="1"/>
      <c r="LLT253" s="1"/>
      <c r="LLU253" s="1"/>
      <c r="LLV253" s="1"/>
      <c r="LLW253" s="1"/>
      <c r="LLX253" s="1"/>
      <c r="LLY253" s="1"/>
      <c r="LLZ253" s="1"/>
      <c r="LMA253" s="1"/>
      <c r="LMB253" s="1"/>
      <c r="LMC253" s="1"/>
      <c r="LMD253" s="1"/>
      <c r="LME253" s="1"/>
      <c r="LMF253" s="1"/>
      <c r="LMG253" s="1"/>
      <c r="LMH253" s="1"/>
      <c r="LMI253" s="1"/>
      <c r="LMJ253" s="1"/>
      <c r="LMK253" s="1"/>
      <c r="LML253" s="1"/>
      <c r="LMM253" s="1"/>
      <c r="LMN253" s="1"/>
      <c r="LMO253" s="1"/>
      <c r="LMP253" s="1"/>
      <c r="LMQ253" s="1"/>
      <c r="LMR253" s="1"/>
      <c r="LMS253" s="1"/>
      <c r="LMT253" s="1"/>
      <c r="LMU253" s="1"/>
      <c r="LMV253" s="1"/>
      <c r="LMW253" s="1"/>
      <c r="LMX253" s="1"/>
      <c r="LMY253" s="1"/>
      <c r="LMZ253" s="1"/>
      <c r="LNA253" s="1"/>
      <c r="LNB253" s="1"/>
      <c r="LNC253" s="1"/>
      <c r="LND253" s="1"/>
      <c r="LNE253" s="1"/>
      <c r="LNF253" s="1"/>
      <c r="LNG253" s="1"/>
      <c r="LNH253" s="1"/>
      <c r="LNI253" s="1"/>
      <c r="LNJ253" s="1"/>
      <c r="LNK253" s="1"/>
      <c r="LNL253" s="1"/>
      <c r="LNM253" s="1"/>
      <c r="LNN253" s="1"/>
      <c r="LNO253" s="1"/>
      <c r="LNP253" s="1"/>
      <c r="LNQ253" s="1"/>
      <c r="LNR253" s="1"/>
      <c r="LNS253" s="1"/>
      <c r="LNT253" s="1"/>
      <c r="LNU253" s="1"/>
      <c r="LNV253" s="1"/>
      <c r="LNW253" s="1"/>
      <c r="LNX253" s="1"/>
      <c r="LNY253" s="1"/>
      <c r="LNZ253" s="1"/>
      <c r="LOA253" s="1"/>
      <c r="LOB253" s="1"/>
      <c r="LOC253" s="1"/>
      <c r="LOD253" s="1"/>
      <c r="LOE253" s="1"/>
      <c r="LOF253" s="1"/>
      <c r="LOG253" s="1"/>
      <c r="LOH253" s="1"/>
      <c r="LOI253" s="1"/>
      <c r="LOJ253" s="1"/>
      <c r="LOK253" s="1"/>
      <c r="LOL253" s="1"/>
      <c r="LOM253" s="1"/>
      <c r="LON253" s="1"/>
      <c r="LOO253" s="1"/>
      <c r="LOP253" s="1"/>
      <c r="LOQ253" s="1"/>
      <c r="LOR253" s="1"/>
      <c r="LOS253" s="1"/>
      <c r="LOT253" s="1"/>
      <c r="LOU253" s="1"/>
      <c r="LOV253" s="1"/>
      <c r="LOW253" s="1"/>
      <c r="LOX253" s="1"/>
      <c r="LOY253" s="1"/>
      <c r="LOZ253" s="1"/>
      <c r="LPA253" s="1"/>
      <c r="LPB253" s="1"/>
      <c r="LPC253" s="1"/>
      <c r="LPD253" s="1"/>
      <c r="LPE253" s="1"/>
      <c r="LPF253" s="1"/>
      <c r="LPG253" s="1"/>
      <c r="LPH253" s="1"/>
      <c r="LPI253" s="1"/>
      <c r="LPJ253" s="1"/>
      <c r="LPK253" s="1"/>
      <c r="LPL253" s="1"/>
      <c r="LPM253" s="1"/>
      <c r="LPN253" s="1"/>
      <c r="LPO253" s="1"/>
      <c r="LPP253" s="1"/>
      <c r="LPQ253" s="1"/>
      <c r="LPR253" s="1"/>
      <c r="LPS253" s="1"/>
      <c r="LPT253" s="1"/>
      <c r="LPU253" s="1"/>
      <c r="LPV253" s="1"/>
      <c r="LPW253" s="1"/>
      <c r="LPX253" s="1"/>
      <c r="LPY253" s="1"/>
      <c r="LPZ253" s="1"/>
      <c r="LQA253" s="1"/>
      <c r="LQB253" s="1"/>
      <c r="LQC253" s="1"/>
      <c r="LQD253" s="1"/>
      <c r="LQE253" s="1"/>
      <c r="LQF253" s="1"/>
      <c r="LQG253" s="1"/>
      <c r="LQH253" s="1"/>
      <c r="LQI253" s="1"/>
      <c r="LQJ253" s="1"/>
      <c r="LQK253" s="1"/>
      <c r="LQL253" s="1"/>
      <c r="LQM253" s="1"/>
      <c r="LQN253" s="1"/>
      <c r="LQO253" s="1"/>
      <c r="LQP253" s="1"/>
      <c r="LQQ253" s="1"/>
      <c r="LQR253" s="1"/>
      <c r="LQS253" s="1"/>
      <c r="LQT253" s="1"/>
      <c r="LQU253" s="1"/>
      <c r="LQV253" s="1"/>
      <c r="LQW253" s="1"/>
      <c r="LQX253" s="1"/>
      <c r="LQY253" s="1"/>
      <c r="LQZ253" s="1"/>
      <c r="LRA253" s="1"/>
      <c r="LRB253" s="1"/>
      <c r="LRC253" s="1"/>
      <c r="LRD253" s="1"/>
      <c r="LRE253" s="1"/>
      <c r="LRF253" s="1"/>
      <c r="LRG253" s="1"/>
      <c r="LRH253" s="1"/>
      <c r="LRI253" s="1"/>
      <c r="LRJ253" s="1"/>
      <c r="LRK253" s="1"/>
      <c r="LRL253" s="1"/>
      <c r="LRM253" s="1"/>
      <c r="LRN253" s="1"/>
      <c r="LRO253" s="1"/>
      <c r="LRP253" s="1"/>
      <c r="LRQ253" s="1"/>
      <c r="LRR253" s="1"/>
      <c r="LRS253" s="1"/>
      <c r="LRT253" s="1"/>
      <c r="LRU253" s="1"/>
      <c r="LRV253" s="1"/>
      <c r="LRW253" s="1"/>
      <c r="LRX253" s="1"/>
      <c r="LRY253" s="1"/>
      <c r="LRZ253" s="1"/>
      <c r="LSA253" s="1"/>
      <c r="LSB253" s="1"/>
      <c r="LSC253" s="1"/>
      <c r="LSD253" s="1"/>
      <c r="LSE253" s="1"/>
      <c r="LSF253" s="1"/>
      <c r="LSG253" s="1"/>
      <c r="LSH253" s="1"/>
      <c r="LSI253" s="1"/>
      <c r="LSJ253" s="1"/>
      <c r="LSK253" s="1"/>
      <c r="LSL253" s="1"/>
      <c r="LSM253" s="1"/>
      <c r="LSN253" s="1"/>
      <c r="LSO253" s="1"/>
      <c r="LSP253" s="1"/>
      <c r="LSQ253" s="1"/>
      <c r="LSR253" s="1"/>
      <c r="LSS253" s="1"/>
      <c r="LST253" s="1"/>
      <c r="LSU253" s="1"/>
      <c r="LSV253" s="1"/>
      <c r="LSW253" s="1"/>
      <c r="LSX253" s="1"/>
      <c r="LSY253" s="1"/>
      <c r="LSZ253" s="1"/>
      <c r="LTA253" s="1"/>
      <c r="LTB253" s="1"/>
      <c r="LTC253" s="1"/>
      <c r="LTD253" s="1"/>
      <c r="LTE253" s="1"/>
      <c r="LTF253" s="1"/>
      <c r="LTG253" s="1"/>
      <c r="LTH253" s="1"/>
      <c r="LTI253" s="1"/>
      <c r="LTJ253" s="1"/>
      <c r="LTK253" s="1"/>
      <c r="LTL253" s="1"/>
      <c r="LTM253" s="1"/>
      <c r="LTN253" s="1"/>
      <c r="LTO253" s="1"/>
      <c r="LTP253" s="1"/>
      <c r="LTQ253" s="1"/>
      <c r="LTR253" s="1"/>
      <c r="LTS253" s="1"/>
      <c r="LTT253" s="1"/>
      <c r="LTU253" s="1"/>
      <c r="LTV253" s="1"/>
      <c r="LTW253" s="1"/>
      <c r="LTX253" s="1"/>
      <c r="LTY253" s="1"/>
      <c r="LTZ253" s="1"/>
      <c r="LUA253" s="1"/>
      <c r="LUB253" s="1"/>
      <c r="LUC253" s="1"/>
      <c r="LUD253" s="1"/>
      <c r="LUE253" s="1"/>
      <c r="LUF253" s="1"/>
      <c r="LUG253" s="1"/>
      <c r="LUH253" s="1"/>
      <c r="LUI253" s="1"/>
      <c r="LUJ253" s="1"/>
      <c r="LUK253" s="1"/>
      <c r="LUL253" s="1"/>
      <c r="LUM253" s="1"/>
      <c r="LUN253" s="1"/>
      <c r="LUO253" s="1"/>
      <c r="LUP253" s="1"/>
      <c r="LUQ253" s="1"/>
      <c r="LUR253" s="1"/>
      <c r="LUS253" s="1"/>
      <c r="LUT253" s="1"/>
      <c r="LUU253" s="1"/>
      <c r="LUV253" s="1"/>
      <c r="LUW253" s="1"/>
      <c r="LUX253" s="1"/>
      <c r="LUY253" s="1"/>
      <c r="LUZ253" s="1"/>
      <c r="LVA253" s="1"/>
      <c r="LVB253" s="1"/>
      <c r="LVC253" s="1"/>
      <c r="LVD253" s="1"/>
      <c r="LVE253" s="1"/>
      <c r="LVF253" s="1"/>
      <c r="LVG253" s="1"/>
      <c r="LVH253" s="1"/>
      <c r="LVI253" s="1"/>
      <c r="LVJ253" s="1"/>
      <c r="LVK253" s="1"/>
      <c r="LVL253" s="1"/>
      <c r="LVM253" s="1"/>
      <c r="LVN253" s="1"/>
      <c r="LVO253" s="1"/>
      <c r="LVP253" s="1"/>
      <c r="LVQ253" s="1"/>
      <c r="LVR253" s="1"/>
      <c r="LVS253" s="1"/>
      <c r="LVT253" s="1"/>
      <c r="LVU253" s="1"/>
      <c r="LVV253" s="1"/>
      <c r="LVW253" s="1"/>
      <c r="LVX253" s="1"/>
      <c r="LVY253" s="1"/>
      <c r="LVZ253" s="1"/>
      <c r="LWA253" s="1"/>
      <c r="LWB253" s="1"/>
      <c r="LWC253" s="1"/>
      <c r="LWD253" s="1"/>
      <c r="LWE253" s="1"/>
      <c r="LWF253" s="1"/>
      <c r="LWG253" s="1"/>
      <c r="LWH253" s="1"/>
      <c r="LWI253" s="1"/>
      <c r="LWJ253" s="1"/>
      <c r="LWK253" s="1"/>
      <c r="LWL253" s="1"/>
      <c r="LWM253" s="1"/>
      <c r="LWN253" s="1"/>
      <c r="LWO253" s="1"/>
      <c r="LWP253" s="1"/>
      <c r="LWQ253" s="1"/>
      <c r="LWR253" s="1"/>
      <c r="LWS253" s="1"/>
      <c r="LWT253" s="1"/>
      <c r="LWU253" s="1"/>
      <c r="LWV253" s="1"/>
      <c r="LWW253" s="1"/>
      <c r="LWX253" s="1"/>
      <c r="LWY253" s="1"/>
      <c r="LWZ253" s="1"/>
      <c r="LXA253" s="1"/>
      <c r="LXB253" s="1"/>
      <c r="LXC253" s="1"/>
      <c r="LXD253" s="1"/>
      <c r="LXE253" s="1"/>
      <c r="LXF253" s="1"/>
      <c r="LXG253" s="1"/>
      <c r="LXH253" s="1"/>
      <c r="LXI253" s="1"/>
      <c r="LXJ253" s="1"/>
      <c r="LXK253" s="1"/>
      <c r="LXL253" s="1"/>
      <c r="LXM253" s="1"/>
      <c r="LXN253" s="1"/>
      <c r="LXO253" s="1"/>
      <c r="LXP253" s="1"/>
      <c r="LXQ253" s="1"/>
      <c r="LXR253" s="1"/>
      <c r="LXS253" s="1"/>
      <c r="LXT253" s="1"/>
      <c r="LXU253" s="1"/>
      <c r="LXV253" s="1"/>
      <c r="LXW253" s="1"/>
      <c r="LXX253" s="1"/>
      <c r="LXY253" s="1"/>
      <c r="LXZ253" s="1"/>
      <c r="LYA253" s="1"/>
      <c r="LYB253" s="1"/>
      <c r="LYC253" s="1"/>
      <c r="LYD253" s="1"/>
      <c r="LYE253" s="1"/>
      <c r="LYF253" s="1"/>
      <c r="LYG253" s="1"/>
      <c r="LYH253" s="1"/>
      <c r="LYI253" s="1"/>
      <c r="LYJ253" s="1"/>
      <c r="LYK253" s="1"/>
      <c r="LYL253" s="1"/>
      <c r="LYM253" s="1"/>
      <c r="LYN253" s="1"/>
      <c r="LYO253" s="1"/>
      <c r="LYP253" s="1"/>
      <c r="LYQ253" s="1"/>
      <c r="LYR253" s="1"/>
      <c r="LYS253" s="1"/>
      <c r="LYT253" s="1"/>
      <c r="LYU253" s="1"/>
      <c r="LYV253" s="1"/>
      <c r="LYW253" s="1"/>
      <c r="LYX253" s="1"/>
      <c r="LYY253" s="1"/>
      <c r="LYZ253" s="1"/>
      <c r="LZA253" s="1"/>
      <c r="LZB253" s="1"/>
      <c r="LZC253" s="1"/>
      <c r="LZD253" s="1"/>
      <c r="LZE253" s="1"/>
      <c r="LZF253" s="1"/>
      <c r="LZG253" s="1"/>
      <c r="LZH253" s="1"/>
      <c r="LZI253" s="1"/>
      <c r="LZJ253" s="1"/>
      <c r="LZK253" s="1"/>
      <c r="LZL253" s="1"/>
      <c r="LZM253" s="1"/>
      <c r="LZN253" s="1"/>
      <c r="LZO253" s="1"/>
      <c r="LZP253" s="1"/>
      <c r="LZQ253" s="1"/>
      <c r="LZR253" s="1"/>
      <c r="LZS253" s="1"/>
      <c r="LZT253" s="1"/>
      <c r="LZU253" s="1"/>
      <c r="LZV253" s="1"/>
      <c r="LZW253" s="1"/>
      <c r="LZX253" s="1"/>
      <c r="LZY253" s="1"/>
      <c r="LZZ253" s="1"/>
      <c r="MAA253" s="1"/>
      <c r="MAB253" s="1"/>
      <c r="MAC253" s="1"/>
      <c r="MAD253" s="1"/>
      <c r="MAE253" s="1"/>
      <c r="MAF253" s="1"/>
      <c r="MAG253" s="1"/>
      <c r="MAH253" s="1"/>
      <c r="MAI253" s="1"/>
      <c r="MAJ253" s="1"/>
      <c r="MAK253" s="1"/>
      <c r="MAL253" s="1"/>
      <c r="MAM253" s="1"/>
      <c r="MAN253" s="1"/>
      <c r="MAO253" s="1"/>
      <c r="MAP253" s="1"/>
      <c r="MAQ253" s="1"/>
      <c r="MAR253" s="1"/>
      <c r="MAS253" s="1"/>
      <c r="MAT253" s="1"/>
      <c r="MAU253" s="1"/>
      <c r="MAV253" s="1"/>
      <c r="MAW253" s="1"/>
      <c r="MAX253" s="1"/>
      <c r="MAY253" s="1"/>
      <c r="MAZ253" s="1"/>
      <c r="MBA253" s="1"/>
      <c r="MBB253" s="1"/>
      <c r="MBC253" s="1"/>
      <c r="MBD253" s="1"/>
      <c r="MBE253" s="1"/>
      <c r="MBF253" s="1"/>
      <c r="MBG253" s="1"/>
      <c r="MBH253" s="1"/>
      <c r="MBI253" s="1"/>
      <c r="MBJ253" s="1"/>
      <c r="MBK253" s="1"/>
      <c r="MBL253" s="1"/>
      <c r="MBM253" s="1"/>
      <c r="MBN253" s="1"/>
      <c r="MBO253" s="1"/>
      <c r="MBP253" s="1"/>
      <c r="MBQ253" s="1"/>
      <c r="MBR253" s="1"/>
      <c r="MBS253" s="1"/>
      <c r="MBT253" s="1"/>
      <c r="MBU253" s="1"/>
      <c r="MBV253" s="1"/>
      <c r="MBW253" s="1"/>
      <c r="MBX253" s="1"/>
      <c r="MBY253" s="1"/>
      <c r="MBZ253" s="1"/>
      <c r="MCA253" s="1"/>
      <c r="MCB253" s="1"/>
      <c r="MCC253" s="1"/>
      <c r="MCD253" s="1"/>
      <c r="MCE253" s="1"/>
      <c r="MCF253" s="1"/>
      <c r="MCG253" s="1"/>
      <c r="MCH253" s="1"/>
      <c r="MCI253" s="1"/>
      <c r="MCJ253" s="1"/>
      <c r="MCK253" s="1"/>
      <c r="MCL253" s="1"/>
      <c r="MCM253" s="1"/>
      <c r="MCN253" s="1"/>
      <c r="MCO253" s="1"/>
      <c r="MCP253" s="1"/>
      <c r="MCQ253" s="1"/>
      <c r="MCR253" s="1"/>
      <c r="MCS253" s="1"/>
      <c r="MCT253" s="1"/>
      <c r="MCU253" s="1"/>
      <c r="MCV253" s="1"/>
      <c r="MCW253" s="1"/>
      <c r="MCX253" s="1"/>
      <c r="MCY253" s="1"/>
      <c r="MCZ253" s="1"/>
      <c r="MDA253" s="1"/>
      <c r="MDB253" s="1"/>
      <c r="MDC253" s="1"/>
      <c r="MDD253" s="1"/>
      <c r="MDE253" s="1"/>
      <c r="MDF253" s="1"/>
      <c r="MDG253" s="1"/>
      <c r="MDH253" s="1"/>
      <c r="MDI253" s="1"/>
      <c r="MDJ253" s="1"/>
      <c r="MDK253" s="1"/>
      <c r="MDL253" s="1"/>
      <c r="MDM253" s="1"/>
      <c r="MDN253" s="1"/>
      <c r="MDO253" s="1"/>
      <c r="MDP253" s="1"/>
      <c r="MDQ253" s="1"/>
      <c r="MDR253" s="1"/>
      <c r="MDS253" s="1"/>
      <c r="MDT253" s="1"/>
      <c r="MDU253" s="1"/>
      <c r="MDV253" s="1"/>
      <c r="MDW253" s="1"/>
      <c r="MDX253" s="1"/>
      <c r="MDY253" s="1"/>
      <c r="MDZ253" s="1"/>
      <c r="MEA253" s="1"/>
      <c r="MEB253" s="1"/>
      <c r="MEC253" s="1"/>
      <c r="MED253" s="1"/>
      <c r="MEE253" s="1"/>
      <c r="MEF253" s="1"/>
      <c r="MEG253" s="1"/>
      <c r="MEH253" s="1"/>
      <c r="MEI253" s="1"/>
      <c r="MEJ253" s="1"/>
      <c r="MEK253" s="1"/>
      <c r="MEL253" s="1"/>
      <c r="MEM253" s="1"/>
      <c r="MEN253" s="1"/>
      <c r="MEO253" s="1"/>
      <c r="MEP253" s="1"/>
      <c r="MEQ253" s="1"/>
      <c r="MER253" s="1"/>
      <c r="MES253" s="1"/>
      <c r="MET253" s="1"/>
      <c r="MEU253" s="1"/>
      <c r="MEV253" s="1"/>
      <c r="MEW253" s="1"/>
      <c r="MEX253" s="1"/>
      <c r="MEY253" s="1"/>
      <c r="MEZ253" s="1"/>
      <c r="MFA253" s="1"/>
      <c r="MFB253" s="1"/>
      <c r="MFC253" s="1"/>
      <c r="MFD253" s="1"/>
      <c r="MFE253" s="1"/>
      <c r="MFF253" s="1"/>
      <c r="MFG253" s="1"/>
      <c r="MFH253" s="1"/>
      <c r="MFI253" s="1"/>
      <c r="MFJ253" s="1"/>
      <c r="MFK253" s="1"/>
      <c r="MFL253" s="1"/>
      <c r="MFM253" s="1"/>
      <c r="MFN253" s="1"/>
      <c r="MFO253" s="1"/>
      <c r="MFP253" s="1"/>
      <c r="MFQ253" s="1"/>
      <c r="MFR253" s="1"/>
      <c r="MFS253" s="1"/>
      <c r="MFT253" s="1"/>
      <c r="MFU253" s="1"/>
      <c r="MFV253" s="1"/>
      <c r="MFW253" s="1"/>
      <c r="MFX253" s="1"/>
      <c r="MFY253" s="1"/>
      <c r="MFZ253" s="1"/>
      <c r="MGA253" s="1"/>
      <c r="MGB253" s="1"/>
      <c r="MGC253" s="1"/>
      <c r="MGD253" s="1"/>
      <c r="MGE253" s="1"/>
      <c r="MGF253" s="1"/>
      <c r="MGG253" s="1"/>
      <c r="MGH253" s="1"/>
      <c r="MGI253" s="1"/>
      <c r="MGJ253" s="1"/>
      <c r="MGK253" s="1"/>
      <c r="MGL253" s="1"/>
      <c r="MGM253" s="1"/>
      <c r="MGN253" s="1"/>
      <c r="MGO253" s="1"/>
      <c r="MGP253" s="1"/>
      <c r="MGQ253" s="1"/>
      <c r="MGR253" s="1"/>
      <c r="MGS253" s="1"/>
      <c r="MGT253" s="1"/>
      <c r="MGU253" s="1"/>
      <c r="MGV253" s="1"/>
      <c r="MGW253" s="1"/>
      <c r="MGX253" s="1"/>
      <c r="MGY253" s="1"/>
      <c r="MGZ253" s="1"/>
      <c r="MHA253" s="1"/>
      <c r="MHB253" s="1"/>
      <c r="MHC253" s="1"/>
      <c r="MHD253" s="1"/>
      <c r="MHE253" s="1"/>
      <c r="MHF253" s="1"/>
      <c r="MHG253" s="1"/>
      <c r="MHH253" s="1"/>
      <c r="MHI253" s="1"/>
      <c r="MHJ253" s="1"/>
      <c r="MHK253" s="1"/>
      <c r="MHL253" s="1"/>
      <c r="MHM253" s="1"/>
      <c r="MHN253" s="1"/>
      <c r="MHO253" s="1"/>
      <c r="MHP253" s="1"/>
      <c r="MHQ253" s="1"/>
      <c r="MHR253" s="1"/>
      <c r="MHS253" s="1"/>
      <c r="MHT253" s="1"/>
      <c r="MHU253" s="1"/>
      <c r="MHV253" s="1"/>
      <c r="MHW253" s="1"/>
      <c r="MHX253" s="1"/>
      <c r="MHY253" s="1"/>
      <c r="MHZ253" s="1"/>
      <c r="MIA253" s="1"/>
      <c r="MIB253" s="1"/>
      <c r="MIC253" s="1"/>
      <c r="MID253" s="1"/>
      <c r="MIE253" s="1"/>
      <c r="MIF253" s="1"/>
      <c r="MIG253" s="1"/>
      <c r="MIH253" s="1"/>
      <c r="MII253" s="1"/>
      <c r="MIJ253" s="1"/>
      <c r="MIK253" s="1"/>
      <c r="MIL253" s="1"/>
      <c r="MIM253" s="1"/>
      <c r="MIN253" s="1"/>
      <c r="MIO253" s="1"/>
      <c r="MIP253" s="1"/>
      <c r="MIQ253" s="1"/>
      <c r="MIR253" s="1"/>
      <c r="MIS253" s="1"/>
      <c r="MIT253" s="1"/>
      <c r="MIU253" s="1"/>
      <c r="MIV253" s="1"/>
      <c r="MIW253" s="1"/>
      <c r="MIX253" s="1"/>
      <c r="MIY253" s="1"/>
      <c r="MIZ253" s="1"/>
      <c r="MJA253" s="1"/>
      <c r="MJB253" s="1"/>
      <c r="MJC253" s="1"/>
      <c r="MJD253" s="1"/>
      <c r="MJE253" s="1"/>
      <c r="MJF253" s="1"/>
      <c r="MJG253" s="1"/>
      <c r="MJH253" s="1"/>
      <c r="MJI253" s="1"/>
      <c r="MJJ253" s="1"/>
      <c r="MJK253" s="1"/>
      <c r="MJL253" s="1"/>
      <c r="MJM253" s="1"/>
      <c r="MJN253" s="1"/>
      <c r="MJO253" s="1"/>
      <c r="MJP253" s="1"/>
      <c r="MJQ253" s="1"/>
      <c r="MJR253" s="1"/>
      <c r="MJS253" s="1"/>
      <c r="MJT253" s="1"/>
      <c r="MJU253" s="1"/>
      <c r="MJV253" s="1"/>
      <c r="MJW253" s="1"/>
      <c r="MJX253" s="1"/>
      <c r="MJY253" s="1"/>
      <c r="MJZ253" s="1"/>
      <c r="MKA253" s="1"/>
      <c r="MKB253" s="1"/>
      <c r="MKC253" s="1"/>
      <c r="MKD253" s="1"/>
      <c r="MKE253" s="1"/>
      <c r="MKF253" s="1"/>
      <c r="MKG253" s="1"/>
      <c r="MKH253" s="1"/>
      <c r="MKI253" s="1"/>
      <c r="MKJ253" s="1"/>
      <c r="MKK253" s="1"/>
      <c r="MKL253" s="1"/>
      <c r="MKM253" s="1"/>
      <c r="MKN253" s="1"/>
      <c r="MKO253" s="1"/>
      <c r="MKP253" s="1"/>
      <c r="MKQ253" s="1"/>
      <c r="MKR253" s="1"/>
      <c r="MKS253" s="1"/>
      <c r="MKT253" s="1"/>
      <c r="MKU253" s="1"/>
      <c r="MKV253" s="1"/>
      <c r="MKW253" s="1"/>
      <c r="MKX253" s="1"/>
      <c r="MKY253" s="1"/>
      <c r="MKZ253" s="1"/>
      <c r="MLA253" s="1"/>
      <c r="MLB253" s="1"/>
      <c r="MLC253" s="1"/>
      <c r="MLD253" s="1"/>
      <c r="MLE253" s="1"/>
      <c r="MLF253" s="1"/>
      <c r="MLG253" s="1"/>
      <c r="MLH253" s="1"/>
      <c r="MLI253" s="1"/>
      <c r="MLJ253" s="1"/>
      <c r="MLK253" s="1"/>
      <c r="MLL253" s="1"/>
      <c r="MLM253" s="1"/>
      <c r="MLN253" s="1"/>
      <c r="MLO253" s="1"/>
      <c r="MLP253" s="1"/>
      <c r="MLQ253" s="1"/>
      <c r="MLR253" s="1"/>
      <c r="MLS253" s="1"/>
      <c r="MLT253" s="1"/>
      <c r="MLU253" s="1"/>
      <c r="MLV253" s="1"/>
      <c r="MLW253" s="1"/>
      <c r="MLX253" s="1"/>
      <c r="MLY253" s="1"/>
      <c r="MLZ253" s="1"/>
      <c r="MMA253" s="1"/>
      <c r="MMB253" s="1"/>
      <c r="MMC253" s="1"/>
      <c r="MMD253" s="1"/>
      <c r="MME253" s="1"/>
      <c r="MMF253" s="1"/>
      <c r="MMG253" s="1"/>
      <c r="MMH253" s="1"/>
      <c r="MMI253" s="1"/>
      <c r="MMJ253" s="1"/>
      <c r="MMK253" s="1"/>
      <c r="MML253" s="1"/>
      <c r="MMM253" s="1"/>
      <c r="MMN253" s="1"/>
      <c r="MMO253" s="1"/>
      <c r="MMP253" s="1"/>
      <c r="MMQ253" s="1"/>
      <c r="MMR253" s="1"/>
      <c r="MMS253" s="1"/>
      <c r="MMT253" s="1"/>
      <c r="MMU253" s="1"/>
      <c r="MMV253" s="1"/>
      <c r="MMW253" s="1"/>
      <c r="MMX253" s="1"/>
      <c r="MMY253" s="1"/>
      <c r="MMZ253" s="1"/>
      <c r="MNA253" s="1"/>
      <c r="MNB253" s="1"/>
      <c r="MNC253" s="1"/>
      <c r="MND253" s="1"/>
      <c r="MNE253" s="1"/>
      <c r="MNF253" s="1"/>
      <c r="MNG253" s="1"/>
      <c r="MNH253" s="1"/>
      <c r="MNI253" s="1"/>
      <c r="MNJ253" s="1"/>
      <c r="MNK253" s="1"/>
      <c r="MNL253" s="1"/>
      <c r="MNM253" s="1"/>
      <c r="MNN253" s="1"/>
      <c r="MNO253" s="1"/>
      <c r="MNP253" s="1"/>
      <c r="MNQ253" s="1"/>
      <c r="MNR253" s="1"/>
      <c r="MNS253" s="1"/>
      <c r="MNT253" s="1"/>
      <c r="MNU253" s="1"/>
      <c r="MNV253" s="1"/>
      <c r="MNW253" s="1"/>
      <c r="MNX253" s="1"/>
      <c r="MNY253" s="1"/>
      <c r="MNZ253" s="1"/>
      <c r="MOA253" s="1"/>
      <c r="MOB253" s="1"/>
      <c r="MOC253" s="1"/>
      <c r="MOD253" s="1"/>
      <c r="MOE253" s="1"/>
      <c r="MOF253" s="1"/>
      <c r="MOG253" s="1"/>
      <c r="MOH253" s="1"/>
      <c r="MOI253" s="1"/>
      <c r="MOJ253" s="1"/>
      <c r="MOK253" s="1"/>
      <c r="MOL253" s="1"/>
      <c r="MOM253" s="1"/>
      <c r="MON253" s="1"/>
      <c r="MOO253" s="1"/>
      <c r="MOP253" s="1"/>
      <c r="MOQ253" s="1"/>
      <c r="MOR253" s="1"/>
      <c r="MOS253" s="1"/>
      <c r="MOT253" s="1"/>
      <c r="MOU253" s="1"/>
      <c r="MOV253" s="1"/>
      <c r="MOW253" s="1"/>
      <c r="MOX253" s="1"/>
      <c r="MOY253" s="1"/>
      <c r="MOZ253" s="1"/>
      <c r="MPA253" s="1"/>
      <c r="MPB253" s="1"/>
      <c r="MPC253" s="1"/>
      <c r="MPD253" s="1"/>
      <c r="MPE253" s="1"/>
      <c r="MPF253" s="1"/>
      <c r="MPG253" s="1"/>
      <c r="MPH253" s="1"/>
      <c r="MPI253" s="1"/>
      <c r="MPJ253" s="1"/>
      <c r="MPK253" s="1"/>
      <c r="MPL253" s="1"/>
      <c r="MPM253" s="1"/>
      <c r="MPN253" s="1"/>
      <c r="MPO253" s="1"/>
      <c r="MPP253" s="1"/>
      <c r="MPQ253" s="1"/>
      <c r="MPR253" s="1"/>
      <c r="MPS253" s="1"/>
      <c r="MPT253" s="1"/>
      <c r="MPU253" s="1"/>
      <c r="MPV253" s="1"/>
      <c r="MPW253" s="1"/>
      <c r="MPX253" s="1"/>
      <c r="MPY253" s="1"/>
      <c r="MPZ253" s="1"/>
      <c r="MQA253" s="1"/>
      <c r="MQB253" s="1"/>
      <c r="MQC253" s="1"/>
      <c r="MQD253" s="1"/>
      <c r="MQE253" s="1"/>
      <c r="MQF253" s="1"/>
      <c r="MQG253" s="1"/>
      <c r="MQH253" s="1"/>
      <c r="MQI253" s="1"/>
      <c r="MQJ253" s="1"/>
      <c r="MQK253" s="1"/>
      <c r="MQL253" s="1"/>
      <c r="MQM253" s="1"/>
      <c r="MQN253" s="1"/>
      <c r="MQO253" s="1"/>
      <c r="MQP253" s="1"/>
      <c r="MQQ253" s="1"/>
      <c r="MQR253" s="1"/>
      <c r="MQS253" s="1"/>
      <c r="MQT253" s="1"/>
      <c r="MQU253" s="1"/>
      <c r="MQV253" s="1"/>
      <c r="MQW253" s="1"/>
      <c r="MQX253" s="1"/>
      <c r="MQY253" s="1"/>
      <c r="MQZ253" s="1"/>
      <c r="MRA253" s="1"/>
      <c r="MRB253" s="1"/>
      <c r="MRC253" s="1"/>
      <c r="MRD253" s="1"/>
      <c r="MRE253" s="1"/>
      <c r="MRF253" s="1"/>
      <c r="MRG253" s="1"/>
      <c r="MRH253" s="1"/>
      <c r="MRI253" s="1"/>
      <c r="MRJ253" s="1"/>
      <c r="MRK253" s="1"/>
      <c r="MRL253" s="1"/>
      <c r="MRM253" s="1"/>
      <c r="MRN253" s="1"/>
      <c r="MRO253" s="1"/>
      <c r="MRP253" s="1"/>
      <c r="MRQ253" s="1"/>
      <c r="MRR253" s="1"/>
      <c r="MRS253" s="1"/>
      <c r="MRT253" s="1"/>
      <c r="MRU253" s="1"/>
      <c r="MRV253" s="1"/>
      <c r="MRW253" s="1"/>
      <c r="MRX253" s="1"/>
      <c r="MRY253" s="1"/>
      <c r="MRZ253" s="1"/>
      <c r="MSA253" s="1"/>
      <c r="MSB253" s="1"/>
      <c r="MSC253" s="1"/>
      <c r="MSD253" s="1"/>
      <c r="MSE253" s="1"/>
      <c r="MSF253" s="1"/>
      <c r="MSG253" s="1"/>
      <c r="MSH253" s="1"/>
      <c r="MSI253" s="1"/>
      <c r="MSJ253" s="1"/>
      <c r="MSK253" s="1"/>
      <c r="MSL253" s="1"/>
      <c r="MSM253" s="1"/>
      <c r="MSN253" s="1"/>
      <c r="MSO253" s="1"/>
      <c r="MSP253" s="1"/>
      <c r="MSQ253" s="1"/>
      <c r="MSR253" s="1"/>
      <c r="MSS253" s="1"/>
      <c r="MST253" s="1"/>
      <c r="MSU253" s="1"/>
      <c r="MSV253" s="1"/>
      <c r="MSW253" s="1"/>
      <c r="MSX253" s="1"/>
      <c r="MSY253" s="1"/>
      <c r="MSZ253" s="1"/>
      <c r="MTA253" s="1"/>
      <c r="MTB253" s="1"/>
      <c r="MTC253" s="1"/>
      <c r="MTD253" s="1"/>
      <c r="MTE253" s="1"/>
      <c r="MTF253" s="1"/>
      <c r="MTG253" s="1"/>
      <c r="MTH253" s="1"/>
      <c r="MTI253" s="1"/>
      <c r="MTJ253" s="1"/>
      <c r="MTK253" s="1"/>
      <c r="MTL253" s="1"/>
      <c r="MTM253" s="1"/>
      <c r="MTN253" s="1"/>
      <c r="MTO253" s="1"/>
      <c r="MTP253" s="1"/>
      <c r="MTQ253" s="1"/>
      <c r="MTR253" s="1"/>
      <c r="MTS253" s="1"/>
      <c r="MTT253" s="1"/>
      <c r="MTU253" s="1"/>
      <c r="MTV253" s="1"/>
      <c r="MTW253" s="1"/>
      <c r="MTX253" s="1"/>
      <c r="MTY253" s="1"/>
      <c r="MTZ253" s="1"/>
      <c r="MUA253" s="1"/>
      <c r="MUB253" s="1"/>
      <c r="MUC253" s="1"/>
      <c r="MUD253" s="1"/>
      <c r="MUE253" s="1"/>
      <c r="MUF253" s="1"/>
      <c r="MUG253" s="1"/>
      <c r="MUH253" s="1"/>
      <c r="MUI253" s="1"/>
      <c r="MUJ253" s="1"/>
      <c r="MUK253" s="1"/>
      <c r="MUL253" s="1"/>
      <c r="MUM253" s="1"/>
      <c r="MUN253" s="1"/>
      <c r="MUO253" s="1"/>
      <c r="MUP253" s="1"/>
      <c r="MUQ253" s="1"/>
      <c r="MUR253" s="1"/>
      <c r="MUS253" s="1"/>
      <c r="MUT253" s="1"/>
      <c r="MUU253" s="1"/>
      <c r="MUV253" s="1"/>
      <c r="MUW253" s="1"/>
      <c r="MUX253" s="1"/>
      <c r="MUY253" s="1"/>
      <c r="MUZ253" s="1"/>
      <c r="MVA253" s="1"/>
      <c r="MVB253" s="1"/>
      <c r="MVC253" s="1"/>
      <c r="MVD253" s="1"/>
      <c r="MVE253" s="1"/>
      <c r="MVF253" s="1"/>
      <c r="MVG253" s="1"/>
      <c r="MVH253" s="1"/>
      <c r="MVI253" s="1"/>
      <c r="MVJ253" s="1"/>
      <c r="MVK253" s="1"/>
      <c r="MVL253" s="1"/>
      <c r="MVM253" s="1"/>
      <c r="MVN253" s="1"/>
      <c r="MVO253" s="1"/>
      <c r="MVP253" s="1"/>
      <c r="MVQ253" s="1"/>
      <c r="MVR253" s="1"/>
      <c r="MVS253" s="1"/>
      <c r="MVT253" s="1"/>
      <c r="MVU253" s="1"/>
      <c r="MVV253" s="1"/>
      <c r="MVW253" s="1"/>
      <c r="MVX253" s="1"/>
      <c r="MVY253" s="1"/>
      <c r="MVZ253" s="1"/>
      <c r="MWA253" s="1"/>
      <c r="MWB253" s="1"/>
      <c r="MWC253" s="1"/>
      <c r="MWD253" s="1"/>
      <c r="MWE253" s="1"/>
      <c r="MWF253" s="1"/>
      <c r="MWG253" s="1"/>
      <c r="MWH253" s="1"/>
      <c r="MWI253" s="1"/>
      <c r="MWJ253" s="1"/>
      <c r="MWK253" s="1"/>
      <c r="MWL253" s="1"/>
      <c r="MWM253" s="1"/>
      <c r="MWN253" s="1"/>
      <c r="MWO253" s="1"/>
      <c r="MWP253" s="1"/>
      <c r="MWQ253" s="1"/>
      <c r="MWR253" s="1"/>
      <c r="MWS253" s="1"/>
      <c r="MWT253" s="1"/>
      <c r="MWU253" s="1"/>
      <c r="MWV253" s="1"/>
      <c r="MWW253" s="1"/>
      <c r="MWX253" s="1"/>
      <c r="MWY253" s="1"/>
      <c r="MWZ253" s="1"/>
      <c r="MXA253" s="1"/>
      <c r="MXB253" s="1"/>
      <c r="MXC253" s="1"/>
      <c r="MXD253" s="1"/>
      <c r="MXE253" s="1"/>
      <c r="MXF253" s="1"/>
      <c r="MXG253" s="1"/>
      <c r="MXH253" s="1"/>
      <c r="MXI253" s="1"/>
      <c r="MXJ253" s="1"/>
      <c r="MXK253" s="1"/>
      <c r="MXL253" s="1"/>
      <c r="MXM253" s="1"/>
      <c r="MXN253" s="1"/>
      <c r="MXO253" s="1"/>
      <c r="MXP253" s="1"/>
      <c r="MXQ253" s="1"/>
      <c r="MXR253" s="1"/>
      <c r="MXS253" s="1"/>
      <c r="MXT253" s="1"/>
      <c r="MXU253" s="1"/>
      <c r="MXV253" s="1"/>
      <c r="MXW253" s="1"/>
      <c r="MXX253" s="1"/>
      <c r="MXY253" s="1"/>
      <c r="MXZ253" s="1"/>
      <c r="MYA253" s="1"/>
      <c r="MYB253" s="1"/>
      <c r="MYC253" s="1"/>
      <c r="MYD253" s="1"/>
      <c r="MYE253" s="1"/>
      <c r="MYF253" s="1"/>
      <c r="MYG253" s="1"/>
      <c r="MYH253" s="1"/>
      <c r="MYI253" s="1"/>
      <c r="MYJ253" s="1"/>
      <c r="MYK253" s="1"/>
      <c r="MYL253" s="1"/>
      <c r="MYM253" s="1"/>
      <c r="MYN253" s="1"/>
      <c r="MYO253" s="1"/>
      <c r="MYP253" s="1"/>
      <c r="MYQ253" s="1"/>
      <c r="MYR253" s="1"/>
      <c r="MYS253" s="1"/>
      <c r="MYT253" s="1"/>
      <c r="MYU253" s="1"/>
      <c r="MYV253" s="1"/>
      <c r="MYW253" s="1"/>
      <c r="MYX253" s="1"/>
      <c r="MYY253" s="1"/>
      <c r="MYZ253" s="1"/>
      <c r="MZA253" s="1"/>
      <c r="MZB253" s="1"/>
      <c r="MZC253" s="1"/>
      <c r="MZD253" s="1"/>
      <c r="MZE253" s="1"/>
      <c r="MZF253" s="1"/>
      <c r="MZG253" s="1"/>
      <c r="MZH253" s="1"/>
      <c r="MZI253" s="1"/>
      <c r="MZJ253" s="1"/>
      <c r="MZK253" s="1"/>
      <c r="MZL253" s="1"/>
      <c r="MZM253" s="1"/>
      <c r="MZN253" s="1"/>
      <c r="MZO253" s="1"/>
      <c r="MZP253" s="1"/>
      <c r="MZQ253" s="1"/>
      <c r="MZR253" s="1"/>
      <c r="MZS253" s="1"/>
      <c r="MZT253" s="1"/>
      <c r="MZU253" s="1"/>
      <c r="MZV253" s="1"/>
      <c r="MZW253" s="1"/>
      <c r="MZX253" s="1"/>
      <c r="MZY253" s="1"/>
      <c r="MZZ253" s="1"/>
      <c r="NAA253" s="1"/>
      <c r="NAB253" s="1"/>
      <c r="NAC253" s="1"/>
      <c r="NAD253" s="1"/>
      <c r="NAE253" s="1"/>
      <c r="NAF253" s="1"/>
      <c r="NAG253" s="1"/>
      <c r="NAH253" s="1"/>
      <c r="NAI253" s="1"/>
      <c r="NAJ253" s="1"/>
      <c r="NAK253" s="1"/>
      <c r="NAL253" s="1"/>
      <c r="NAM253" s="1"/>
      <c r="NAN253" s="1"/>
      <c r="NAO253" s="1"/>
      <c r="NAP253" s="1"/>
      <c r="NAQ253" s="1"/>
      <c r="NAR253" s="1"/>
      <c r="NAS253" s="1"/>
      <c r="NAT253" s="1"/>
      <c r="NAU253" s="1"/>
      <c r="NAV253" s="1"/>
      <c r="NAW253" s="1"/>
      <c r="NAX253" s="1"/>
      <c r="NAY253" s="1"/>
      <c r="NAZ253" s="1"/>
      <c r="NBA253" s="1"/>
      <c r="NBB253" s="1"/>
      <c r="NBC253" s="1"/>
      <c r="NBD253" s="1"/>
      <c r="NBE253" s="1"/>
      <c r="NBF253" s="1"/>
      <c r="NBG253" s="1"/>
      <c r="NBH253" s="1"/>
      <c r="NBI253" s="1"/>
      <c r="NBJ253" s="1"/>
      <c r="NBK253" s="1"/>
      <c r="NBL253" s="1"/>
      <c r="NBM253" s="1"/>
      <c r="NBN253" s="1"/>
      <c r="NBO253" s="1"/>
      <c r="NBP253" s="1"/>
      <c r="NBQ253" s="1"/>
      <c r="NBR253" s="1"/>
      <c r="NBS253" s="1"/>
      <c r="NBT253" s="1"/>
      <c r="NBU253" s="1"/>
      <c r="NBV253" s="1"/>
      <c r="NBW253" s="1"/>
      <c r="NBX253" s="1"/>
      <c r="NBY253" s="1"/>
      <c r="NBZ253" s="1"/>
      <c r="NCA253" s="1"/>
      <c r="NCB253" s="1"/>
      <c r="NCC253" s="1"/>
      <c r="NCD253" s="1"/>
      <c r="NCE253" s="1"/>
      <c r="NCF253" s="1"/>
      <c r="NCG253" s="1"/>
      <c r="NCH253" s="1"/>
      <c r="NCI253" s="1"/>
      <c r="NCJ253" s="1"/>
      <c r="NCK253" s="1"/>
      <c r="NCL253" s="1"/>
      <c r="NCM253" s="1"/>
      <c r="NCN253" s="1"/>
      <c r="NCO253" s="1"/>
      <c r="NCP253" s="1"/>
      <c r="NCQ253" s="1"/>
      <c r="NCR253" s="1"/>
      <c r="NCS253" s="1"/>
      <c r="NCT253" s="1"/>
      <c r="NCU253" s="1"/>
      <c r="NCV253" s="1"/>
      <c r="NCW253" s="1"/>
      <c r="NCX253" s="1"/>
      <c r="NCY253" s="1"/>
      <c r="NCZ253" s="1"/>
      <c r="NDA253" s="1"/>
      <c r="NDB253" s="1"/>
      <c r="NDC253" s="1"/>
      <c r="NDD253" s="1"/>
      <c r="NDE253" s="1"/>
      <c r="NDF253" s="1"/>
      <c r="NDG253" s="1"/>
      <c r="NDH253" s="1"/>
      <c r="NDI253" s="1"/>
      <c r="NDJ253" s="1"/>
      <c r="NDK253" s="1"/>
      <c r="NDL253" s="1"/>
      <c r="NDM253" s="1"/>
      <c r="NDN253" s="1"/>
      <c r="NDO253" s="1"/>
      <c r="NDP253" s="1"/>
      <c r="NDQ253" s="1"/>
      <c r="NDR253" s="1"/>
      <c r="NDS253" s="1"/>
      <c r="NDT253" s="1"/>
      <c r="NDU253" s="1"/>
      <c r="NDV253" s="1"/>
      <c r="NDW253" s="1"/>
      <c r="NDX253" s="1"/>
      <c r="NDY253" s="1"/>
      <c r="NDZ253" s="1"/>
      <c r="NEA253" s="1"/>
      <c r="NEB253" s="1"/>
      <c r="NEC253" s="1"/>
      <c r="NED253" s="1"/>
      <c r="NEE253" s="1"/>
      <c r="NEF253" s="1"/>
      <c r="NEG253" s="1"/>
      <c r="NEH253" s="1"/>
      <c r="NEI253" s="1"/>
      <c r="NEJ253" s="1"/>
      <c r="NEK253" s="1"/>
      <c r="NEL253" s="1"/>
      <c r="NEM253" s="1"/>
      <c r="NEN253" s="1"/>
      <c r="NEO253" s="1"/>
      <c r="NEP253" s="1"/>
      <c r="NEQ253" s="1"/>
      <c r="NER253" s="1"/>
      <c r="NES253" s="1"/>
      <c r="NET253" s="1"/>
      <c r="NEU253" s="1"/>
      <c r="NEV253" s="1"/>
      <c r="NEW253" s="1"/>
      <c r="NEX253" s="1"/>
      <c r="NEY253" s="1"/>
      <c r="NEZ253" s="1"/>
      <c r="NFA253" s="1"/>
      <c r="NFB253" s="1"/>
      <c r="NFC253" s="1"/>
      <c r="NFD253" s="1"/>
      <c r="NFE253" s="1"/>
      <c r="NFF253" s="1"/>
      <c r="NFG253" s="1"/>
      <c r="NFH253" s="1"/>
      <c r="NFI253" s="1"/>
      <c r="NFJ253" s="1"/>
      <c r="NFK253" s="1"/>
      <c r="NFL253" s="1"/>
      <c r="NFM253" s="1"/>
      <c r="NFN253" s="1"/>
      <c r="NFO253" s="1"/>
      <c r="NFP253" s="1"/>
      <c r="NFQ253" s="1"/>
      <c r="NFR253" s="1"/>
      <c r="NFS253" s="1"/>
      <c r="NFT253" s="1"/>
      <c r="NFU253" s="1"/>
      <c r="NFV253" s="1"/>
      <c r="NFW253" s="1"/>
      <c r="NFX253" s="1"/>
      <c r="NFY253" s="1"/>
      <c r="NFZ253" s="1"/>
      <c r="NGA253" s="1"/>
      <c r="NGB253" s="1"/>
      <c r="NGC253" s="1"/>
      <c r="NGD253" s="1"/>
      <c r="NGE253" s="1"/>
      <c r="NGF253" s="1"/>
      <c r="NGG253" s="1"/>
      <c r="NGH253" s="1"/>
      <c r="NGI253" s="1"/>
      <c r="NGJ253" s="1"/>
      <c r="NGK253" s="1"/>
      <c r="NGL253" s="1"/>
      <c r="NGM253" s="1"/>
      <c r="NGN253" s="1"/>
      <c r="NGO253" s="1"/>
      <c r="NGP253" s="1"/>
      <c r="NGQ253" s="1"/>
      <c r="NGR253" s="1"/>
      <c r="NGS253" s="1"/>
      <c r="NGT253" s="1"/>
      <c r="NGU253" s="1"/>
      <c r="NGV253" s="1"/>
      <c r="NGW253" s="1"/>
      <c r="NGX253" s="1"/>
      <c r="NGY253" s="1"/>
      <c r="NGZ253" s="1"/>
      <c r="NHA253" s="1"/>
      <c r="NHB253" s="1"/>
      <c r="NHC253" s="1"/>
      <c r="NHD253" s="1"/>
      <c r="NHE253" s="1"/>
      <c r="NHF253" s="1"/>
      <c r="NHG253" s="1"/>
      <c r="NHH253" s="1"/>
      <c r="NHI253" s="1"/>
      <c r="NHJ253" s="1"/>
      <c r="NHK253" s="1"/>
      <c r="NHL253" s="1"/>
      <c r="NHM253" s="1"/>
      <c r="NHN253" s="1"/>
      <c r="NHO253" s="1"/>
      <c r="NHP253" s="1"/>
      <c r="NHQ253" s="1"/>
      <c r="NHR253" s="1"/>
      <c r="NHS253" s="1"/>
      <c r="NHT253" s="1"/>
      <c r="NHU253" s="1"/>
      <c r="NHV253" s="1"/>
      <c r="NHW253" s="1"/>
      <c r="NHX253" s="1"/>
      <c r="NHY253" s="1"/>
      <c r="NHZ253" s="1"/>
      <c r="NIA253" s="1"/>
      <c r="NIB253" s="1"/>
      <c r="NIC253" s="1"/>
      <c r="NID253" s="1"/>
      <c r="NIE253" s="1"/>
      <c r="NIF253" s="1"/>
      <c r="NIG253" s="1"/>
      <c r="NIH253" s="1"/>
      <c r="NII253" s="1"/>
      <c r="NIJ253" s="1"/>
      <c r="NIK253" s="1"/>
      <c r="NIL253" s="1"/>
      <c r="NIM253" s="1"/>
      <c r="NIN253" s="1"/>
      <c r="NIO253" s="1"/>
      <c r="NIP253" s="1"/>
      <c r="NIQ253" s="1"/>
      <c r="NIR253" s="1"/>
      <c r="NIS253" s="1"/>
      <c r="NIT253" s="1"/>
      <c r="NIU253" s="1"/>
      <c r="NIV253" s="1"/>
      <c r="NIW253" s="1"/>
      <c r="NIX253" s="1"/>
      <c r="NIY253" s="1"/>
      <c r="NIZ253" s="1"/>
      <c r="NJA253" s="1"/>
      <c r="NJB253" s="1"/>
      <c r="NJC253" s="1"/>
      <c r="NJD253" s="1"/>
      <c r="NJE253" s="1"/>
      <c r="NJF253" s="1"/>
      <c r="NJG253" s="1"/>
      <c r="NJH253" s="1"/>
      <c r="NJI253" s="1"/>
      <c r="NJJ253" s="1"/>
      <c r="NJK253" s="1"/>
      <c r="NJL253" s="1"/>
      <c r="NJM253" s="1"/>
      <c r="NJN253" s="1"/>
      <c r="NJO253" s="1"/>
      <c r="NJP253" s="1"/>
      <c r="NJQ253" s="1"/>
      <c r="NJR253" s="1"/>
      <c r="NJS253" s="1"/>
      <c r="NJT253" s="1"/>
      <c r="NJU253" s="1"/>
      <c r="NJV253" s="1"/>
      <c r="NJW253" s="1"/>
      <c r="NJX253" s="1"/>
      <c r="NJY253" s="1"/>
      <c r="NJZ253" s="1"/>
      <c r="NKA253" s="1"/>
      <c r="NKB253" s="1"/>
      <c r="NKC253" s="1"/>
      <c r="NKD253" s="1"/>
      <c r="NKE253" s="1"/>
      <c r="NKF253" s="1"/>
      <c r="NKG253" s="1"/>
      <c r="NKH253" s="1"/>
      <c r="NKI253" s="1"/>
      <c r="NKJ253" s="1"/>
      <c r="NKK253" s="1"/>
      <c r="NKL253" s="1"/>
      <c r="NKM253" s="1"/>
      <c r="NKN253" s="1"/>
      <c r="NKO253" s="1"/>
      <c r="NKP253" s="1"/>
      <c r="NKQ253" s="1"/>
      <c r="NKR253" s="1"/>
      <c r="NKS253" s="1"/>
      <c r="NKT253" s="1"/>
      <c r="NKU253" s="1"/>
      <c r="NKV253" s="1"/>
      <c r="NKW253" s="1"/>
      <c r="NKX253" s="1"/>
      <c r="NKY253" s="1"/>
      <c r="NKZ253" s="1"/>
      <c r="NLA253" s="1"/>
      <c r="NLB253" s="1"/>
      <c r="NLC253" s="1"/>
      <c r="NLD253" s="1"/>
      <c r="NLE253" s="1"/>
      <c r="NLF253" s="1"/>
      <c r="NLG253" s="1"/>
      <c r="NLH253" s="1"/>
      <c r="NLI253" s="1"/>
      <c r="NLJ253" s="1"/>
      <c r="NLK253" s="1"/>
      <c r="NLL253" s="1"/>
      <c r="NLM253" s="1"/>
      <c r="NLN253" s="1"/>
      <c r="NLO253" s="1"/>
      <c r="NLP253" s="1"/>
      <c r="NLQ253" s="1"/>
      <c r="NLR253" s="1"/>
      <c r="NLS253" s="1"/>
      <c r="NLT253" s="1"/>
      <c r="NLU253" s="1"/>
      <c r="NLV253" s="1"/>
      <c r="NLW253" s="1"/>
      <c r="NLX253" s="1"/>
      <c r="NLY253" s="1"/>
      <c r="NLZ253" s="1"/>
      <c r="NMA253" s="1"/>
      <c r="NMB253" s="1"/>
      <c r="NMC253" s="1"/>
      <c r="NMD253" s="1"/>
      <c r="NME253" s="1"/>
      <c r="NMF253" s="1"/>
      <c r="NMG253" s="1"/>
      <c r="NMH253" s="1"/>
      <c r="NMI253" s="1"/>
      <c r="NMJ253" s="1"/>
      <c r="NMK253" s="1"/>
      <c r="NML253" s="1"/>
      <c r="NMM253" s="1"/>
      <c r="NMN253" s="1"/>
      <c r="NMO253" s="1"/>
      <c r="NMP253" s="1"/>
      <c r="NMQ253" s="1"/>
      <c r="NMR253" s="1"/>
      <c r="NMS253" s="1"/>
      <c r="NMT253" s="1"/>
      <c r="NMU253" s="1"/>
      <c r="NMV253" s="1"/>
      <c r="NMW253" s="1"/>
      <c r="NMX253" s="1"/>
      <c r="NMY253" s="1"/>
      <c r="NMZ253" s="1"/>
      <c r="NNA253" s="1"/>
      <c r="NNB253" s="1"/>
      <c r="NNC253" s="1"/>
      <c r="NND253" s="1"/>
      <c r="NNE253" s="1"/>
      <c r="NNF253" s="1"/>
      <c r="NNG253" s="1"/>
      <c r="NNH253" s="1"/>
      <c r="NNI253" s="1"/>
      <c r="NNJ253" s="1"/>
      <c r="NNK253" s="1"/>
      <c r="NNL253" s="1"/>
      <c r="NNM253" s="1"/>
      <c r="NNN253" s="1"/>
      <c r="NNO253" s="1"/>
      <c r="NNP253" s="1"/>
      <c r="NNQ253" s="1"/>
      <c r="NNR253" s="1"/>
      <c r="NNS253" s="1"/>
      <c r="NNT253" s="1"/>
      <c r="NNU253" s="1"/>
      <c r="NNV253" s="1"/>
      <c r="NNW253" s="1"/>
      <c r="NNX253" s="1"/>
      <c r="NNY253" s="1"/>
      <c r="NNZ253" s="1"/>
      <c r="NOA253" s="1"/>
      <c r="NOB253" s="1"/>
      <c r="NOC253" s="1"/>
      <c r="NOD253" s="1"/>
      <c r="NOE253" s="1"/>
      <c r="NOF253" s="1"/>
      <c r="NOG253" s="1"/>
      <c r="NOH253" s="1"/>
      <c r="NOI253" s="1"/>
      <c r="NOJ253" s="1"/>
      <c r="NOK253" s="1"/>
      <c r="NOL253" s="1"/>
      <c r="NOM253" s="1"/>
      <c r="NON253" s="1"/>
      <c r="NOO253" s="1"/>
      <c r="NOP253" s="1"/>
      <c r="NOQ253" s="1"/>
      <c r="NOR253" s="1"/>
      <c r="NOS253" s="1"/>
      <c r="NOT253" s="1"/>
      <c r="NOU253" s="1"/>
      <c r="NOV253" s="1"/>
      <c r="NOW253" s="1"/>
      <c r="NOX253" s="1"/>
      <c r="NOY253" s="1"/>
      <c r="NOZ253" s="1"/>
      <c r="NPA253" s="1"/>
      <c r="NPB253" s="1"/>
      <c r="NPC253" s="1"/>
      <c r="NPD253" s="1"/>
      <c r="NPE253" s="1"/>
      <c r="NPF253" s="1"/>
      <c r="NPG253" s="1"/>
      <c r="NPH253" s="1"/>
      <c r="NPI253" s="1"/>
      <c r="NPJ253" s="1"/>
      <c r="NPK253" s="1"/>
      <c r="NPL253" s="1"/>
      <c r="NPM253" s="1"/>
      <c r="NPN253" s="1"/>
      <c r="NPO253" s="1"/>
      <c r="NPP253" s="1"/>
      <c r="NPQ253" s="1"/>
      <c r="NPR253" s="1"/>
      <c r="NPS253" s="1"/>
      <c r="NPT253" s="1"/>
      <c r="NPU253" s="1"/>
      <c r="NPV253" s="1"/>
      <c r="NPW253" s="1"/>
      <c r="NPX253" s="1"/>
      <c r="NPY253" s="1"/>
      <c r="NPZ253" s="1"/>
      <c r="NQA253" s="1"/>
      <c r="NQB253" s="1"/>
      <c r="NQC253" s="1"/>
      <c r="NQD253" s="1"/>
      <c r="NQE253" s="1"/>
      <c r="NQF253" s="1"/>
      <c r="NQG253" s="1"/>
      <c r="NQH253" s="1"/>
      <c r="NQI253" s="1"/>
      <c r="NQJ253" s="1"/>
      <c r="NQK253" s="1"/>
      <c r="NQL253" s="1"/>
      <c r="NQM253" s="1"/>
      <c r="NQN253" s="1"/>
      <c r="NQO253" s="1"/>
      <c r="NQP253" s="1"/>
      <c r="NQQ253" s="1"/>
      <c r="NQR253" s="1"/>
      <c r="NQS253" s="1"/>
      <c r="NQT253" s="1"/>
      <c r="NQU253" s="1"/>
      <c r="NQV253" s="1"/>
      <c r="NQW253" s="1"/>
      <c r="NQX253" s="1"/>
      <c r="NQY253" s="1"/>
      <c r="NQZ253" s="1"/>
      <c r="NRA253" s="1"/>
      <c r="NRB253" s="1"/>
      <c r="NRC253" s="1"/>
      <c r="NRD253" s="1"/>
      <c r="NRE253" s="1"/>
      <c r="NRF253" s="1"/>
      <c r="NRG253" s="1"/>
      <c r="NRH253" s="1"/>
      <c r="NRI253" s="1"/>
      <c r="NRJ253" s="1"/>
      <c r="NRK253" s="1"/>
      <c r="NRL253" s="1"/>
      <c r="NRM253" s="1"/>
      <c r="NRN253" s="1"/>
      <c r="NRO253" s="1"/>
      <c r="NRP253" s="1"/>
      <c r="NRQ253" s="1"/>
      <c r="NRR253" s="1"/>
      <c r="NRS253" s="1"/>
      <c r="NRT253" s="1"/>
      <c r="NRU253" s="1"/>
      <c r="NRV253" s="1"/>
      <c r="NRW253" s="1"/>
      <c r="NRX253" s="1"/>
      <c r="NRY253" s="1"/>
      <c r="NRZ253" s="1"/>
      <c r="NSA253" s="1"/>
      <c r="NSB253" s="1"/>
      <c r="NSC253" s="1"/>
      <c r="NSD253" s="1"/>
      <c r="NSE253" s="1"/>
      <c r="NSF253" s="1"/>
      <c r="NSG253" s="1"/>
      <c r="NSH253" s="1"/>
      <c r="NSI253" s="1"/>
      <c r="NSJ253" s="1"/>
      <c r="NSK253" s="1"/>
      <c r="NSL253" s="1"/>
      <c r="NSM253" s="1"/>
      <c r="NSN253" s="1"/>
      <c r="NSO253" s="1"/>
      <c r="NSP253" s="1"/>
      <c r="NSQ253" s="1"/>
      <c r="NSR253" s="1"/>
      <c r="NSS253" s="1"/>
      <c r="NST253" s="1"/>
      <c r="NSU253" s="1"/>
      <c r="NSV253" s="1"/>
      <c r="NSW253" s="1"/>
      <c r="NSX253" s="1"/>
      <c r="NSY253" s="1"/>
      <c r="NSZ253" s="1"/>
      <c r="NTA253" s="1"/>
      <c r="NTB253" s="1"/>
      <c r="NTC253" s="1"/>
      <c r="NTD253" s="1"/>
      <c r="NTE253" s="1"/>
      <c r="NTF253" s="1"/>
      <c r="NTG253" s="1"/>
      <c r="NTH253" s="1"/>
      <c r="NTI253" s="1"/>
      <c r="NTJ253" s="1"/>
      <c r="NTK253" s="1"/>
      <c r="NTL253" s="1"/>
      <c r="NTM253" s="1"/>
      <c r="NTN253" s="1"/>
      <c r="NTO253" s="1"/>
      <c r="NTP253" s="1"/>
      <c r="NTQ253" s="1"/>
      <c r="NTR253" s="1"/>
      <c r="NTS253" s="1"/>
      <c r="NTT253" s="1"/>
      <c r="NTU253" s="1"/>
      <c r="NTV253" s="1"/>
      <c r="NTW253" s="1"/>
      <c r="NTX253" s="1"/>
      <c r="NTY253" s="1"/>
      <c r="NTZ253" s="1"/>
      <c r="NUA253" s="1"/>
      <c r="NUB253" s="1"/>
      <c r="NUC253" s="1"/>
      <c r="NUD253" s="1"/>
      <c r="NUE253" s="1"/>
      <c r="NUF253" s="1"/>
      <c r="NUG253" s="1"/>
      <c r="NUH253" s="1"/>
      <c r="NUI253" s="1"/>
      <c r="NUJ253" s="1"/>
      <c r="NUK253" s="1"/>
      <c r="NUL253" s="1"/>
      <c r="NUM253" s="1"/>
      <c r="NUN253" s="1"/>
      <c r="NUO253" s="1"/>
      <c r="NUP253" s="1"/>
      <c r="NUQ253" s="1"/>
      <c r="NUR253" s="1"/>
      <c r="NUS253" s="1"/>
      <c r="NUT253" s="1"/>
      <c r="NUU253" s="1"/>
      <c r="NUV253" s="1"/>
      <c r="NUW253" s="1"/>
      <c r="NUX253" s="1"/>
      <c r="NUY253" s="1"/>
      <c r="NUZ253" s="1"/>
      <c r="NVA253" s="1"/>
      <c r="NVB253" s="1"/>
      <c r="NVC253" s="1"/>
      <c r="NVD253" s="1"/>
      <c r="NVE253" s="1"/>
      <c r="NVF253" s="1"/>
      <c r="NVG253" s="1"/>
      <c r="NVH253" s="1"/>
      <c r="NVI253" s="1"/>
      <c r="NVJ253" s="1"/>
      <c r="NVK253" s="1"/>
      <c r="NVL253" s="1"/>
      <c r="NVM253" s="1"/>
      <c r="NVN253" s="1"/>
      <c r="NVO253" s="1"/>
      <c r="NVP253" s="1"/>
      <c r="NVQ253" s="1"/>
      <c r="NVR253" s="1"/>
      <c r="NVS253" s="1"/>
      <c r="NVT253" s="1"/>
      <c r="NVU253" s="1"/>
      <c r="NVV253" s="1"/>
      <c r="NVW253" s="1"/>
      <c r="NVX253" s="1"/>
      <c r="NVY253" s="1"/>
      <c r="NVZ253" s="1"/>
      <c r="NWA253" s="1"/>
      <c r="NWB253" s="1"/>
      <c r="NWC253" s="1"/>
      <c r="NWD253" s="1"/>
      <c r="NWE253" s="1"/>
      <c r="NWF253" s="1"/>
      <c r="NWG253" s="1"/>
      <c r="NWH253" s="1"/>
      <c r="NWI253" s="1"/>
      <c r="NWJ253" s="1"/>
      <c r="NWK253" s="1"/>
      <c r="NWL253" s="1"/>
      <c r="NWM253" s="1"/>
      <c r="NWN253" s="1"/>
      <c r="NWO253" s="1"/>
      <c r="NWP253" s="1"/>
      <c r="NWQ253" s="1"/>
      <c r="NWR253" s="1"/>
      <c r="NWS253" s="1"/>
      <c r="NWT253" s="1"/>
      <c r="NWU253" s="1"/>
      <c r="NWV253" s="1"/>
      <c r="NWW253" s="1"/>
      <c r="NWX253" s="1"/>
      <c r="NWY253" s="1"/>
      <c r="NWZ253" s="1"/>
      <c r="NXA253" s="1"/>
      <c r="NXB253" s="1"/>
      <c r="NXC253" s="1"/>
      <c r="NXD253" s="1"/>
      <c r="NXE253" s="1"/>
      <c r="NXF253" s="1"/>
      <c r="NXG253" s="1"/>
      <c r="NXH253" s="1"/>
      <c r="NXI253" s="1"/>
      <c r="NXJ253" s="1"/>
      <c r="NXK253" s="1"/>
      <c r="NXL253" s="1"/>
      <c r="NXM253" s="1"/>
      <c r="NXN253" s="1"/>
      <c r="NXO253" s="1"/>
      <c r="NXP253" s="1"/>
      <c r="NXQ253" s="1"/>
      <c r="NXR253" s="1"/>
      <c r="NXS253" s="1"/>
      <c r="NXT253" s="1"/>
      <c r="NXU253" s="1"/>
      <c r="NXV253" s="1"/>
      <c r="NXW253" s="1"/>
      <c r="NXX253" s="1"/>
      <c r="NXY253" s="1"/>
      <c r="NXZ253" s="1"/>
      <c r="NYA253" s="1"/>
      <c r="NYB253" s="1"/>
      <c r="NYC253" s="1"/>
      <c r="NYD253" s="1"/>
      <c r="NYE253" s="1"/>
      <c r="NYF253" s="1"/>
      <c r="NYG253" s="1"/>
      <c r="NYH253" s="1"/>
      <c r="NYI253" s="1"/>
      <c r="NYJ253" s="1"/>
      <c r="NYK253" s="1"/>
      <c r="NYL253" s="1"/>
      <c r="NYM253" s="1"/>
      <c r="NYN253" s="1"/>
      <c r="NYO253" s="1"/>
      <c r="NYP253" s="1"/>
      <c r="NYQ253" s="1"/>
      <c r="NYR253" s="1"/>
      <c r="NYS253" s="1"/>
      <c r="NYT253" s="1"/>
      <c r="NYU253" s="1"/>
      <c r="NYV253" s="1"/>
      <c r="NYW253" s="1"/>
      <c r="NYX253" s="1"/>
      <c r="NYY253" s="1"/>
      <c r="NYZ253" s="1"/>
      <c r="NZA253" s="1"/>
      <c r="NZB253" s="1"/>
      <c r="NZC253" s="1"/>
      <c r="NZD253" s="1"/>
      <c r="NZE253" s="1"/>
      <c r="NZF253" s="1"/>
      <c r="NZG253" s="1"/>
      <c r="NZH253" s="1"/>
      <c r="NZI253" s="1"/>
      <c r="NZJ253" s="1"/>
      <c r="NZK253" s="1"/>
      <c r="NZL253" s="1"/>
      <c r="NZM253" s="1"/>
      <c r="NZN253" s="1"/>
      <c r="NZO253" s="1"/>
      <c r="NZP253" s="1"/>
      <c r="NZQ253" s="1"/>
      <c r="NZR253" s="1"/>
      <c r="NZS253" s="1"/>
      <c r="NZT253" s="1"/>
      <c r="NZU253" s="1"/>
      <c r="NZV253" s="1"/>
      <c r="NZW253" s="1"/>
      <c r="NZX253" s="1"/>
      <c r="NZY253" s="1"/>
      <c r="NZZ253" s="1"/>
      <c r="OAA253" s="1"/>
      <c r="OAB253" s="1"/>
      <c r="OAC253" s="1"/>
      <c r="OAD253" s="1"/>
      <c r="OAE253" s="1"/>
      <c r="OAF253" s="1"/>
      <c r="OAG253" s="1"/>
      <c r="OAH253" s="1"/>
      <c r="OAI253" s="1"/>
      <c r="OAJ253" s="1"/>
      <c r="OAK253" s="1"/>
      <c r="OAL253" s="1"/>
      <c r="OAM253" s="1"/>
      <c r="OAN253" s="1"/>
      <c r="OAO253" s="1"/>
      <c r="OAP253" s="1"/>
      <c r="OAQ253" s="1"/>
      <c r="OAR253" s="1"/>
      <c r="OAS253" s="1"/>
      <c r="OAT253" s="1"/>
      <c r="OAU253" s="1"/>
      <c r="OAV253" s="1"/>
      <c r="OAW253" s="1"/>
      <c r="OAX253" s="1"/>
      <c r="OAY253" s="1"/>
      <c r="OAZ253" s="1"/>
      <c r="OBA253" s="1"/>
      <c r="OBB253" s="1"/>
      <c r="OBC253" s="1"/>
      <c r="OBD253" s="1"/>
      <c r="OBE253" s="1"/>
      <c r="OBF253" s="1"/>
      <c r="OBG253" s="1"/>
      <c r="OBH253" s="1"/>
      <c r="OBI253" s="1"/>
      <c r="OBJ253" s="1"/>
      <c r="OBK253" s="1"/>
      <c r="OBL253" s="1"/>
      <c r="OBM253" s="1"/>
      <c r="OBN253" s="1"/>
      <c r="OBO253" s="1"/>
      <c r="OBP253" s="1"/>
      <c r="OBQ253" s="1"/>
      <c r="OBR253" s="1"/>
      <c r="OBS253" s="1"/>
      <c r="OBT253" s="1"/>
      <c r="OBU253" s="1"/>
      <c r="OBV253" s="1"/>
      <c r="OBW253" s="1"/>
      <c r="OBX253" s="1"/>
      <c r="OBY253" s="1"/>
      <c r="OBZ253" s="1"/>
      <c r="OCA253" s="1"/>
      <c r="OCB253" s="1"/>
      <c r="OCC253" s="1"/>
      <c r="OCD253" s="1"/>
      <c r="OCE253" s="1"/>
      <c r="OCF253" s="1"/>
      <c r="OCG253" s="1"/>
      <c r="OCH253" s="1"/>
      <c r="OCI253" s="1"/>
      <c r="OCJ253" s="1"/>
      <c r="OCK253" s="1"/>
      <c r="OCL253" s="1"/>
      <c r="OCM253" s="1"/>
      <c r="OCN253" s="1"/>
      <c r="OCO253" s="1"/>
      <c r="OCP253" s="1"/>
      <c r="OCQ253" s="1"/>
      <c r="OCR253" s="1"/>
      <c r="OCS253" s="1"/>
      <c r="OCT253" s="1"/>
      <c r="OCU253" s="1"/>
      <c r="OCV253" s="1"/>
      <c r="OCW253" s="1"/>
      <c r="OCX253" s="1"/>
      <c r="OCY253" s="1"/>
      <c r="OCZ253" s="1"/>
      <c r="ODA253" s="1"/>
      <c r="ODB253" s="1"/>
      <c r="ODC253" s="1"/>
      <c r="ODD253" s="1"/>
      <c r="ODE253" s="1"/>
      <c r="ODF253" s="1"/>
      <c r="ODG253" s="1"/>
      <c r="ODH253" s="1"/>
      <c r="ODI253" s="1"/>
      <c r="ODJ253" s="1"/>
      <c r="ODK253" s="1"/>
      <c r="ODL253" s="1"/>
      <c r="ODM253" s="1"/>
      <c r="ODN253" s="1"/>
      <c r="ODO253" s="1"/>
      <c r="ODP253" s="1"/>
      <c r="ODQ253" s="1"/>
      <c r="ODR253" s="1"/>
      <c r="ODS253" s="1"/>
      <c r="ODT253" s="1"/>
      <c r="ODU253" s="1"/>
      <c r="ODV253" s="1"/>
      <c r="ODW253" s="1"/>
      <c r="ODX253" s="1"/>
      <c r="ODY253" s="1"/>
      <c r="ODZ253" s="1"/>
      <c r="OEA253" s="1"/>
      <c r="OEB253" s="1"/>
      <c r="OEC253" s="1"/>
      <c r="OED253" s="1"/>
      <c r="OEE253" s="1"/>
      <c r="OEF253" s="1"/>
      <c r="OEG253" s="1"/>
      <c r="OEH253" s="1"/>
      <c r="OEI253" s="1"/>
      <c r="OEJ253" s="1"/>
      <c r="OEK253" s="1"/>
      <c r="OEL253" s="1"/>
      <c r="OEM253" s="1"/>
      <c r="OEN253" s="1"/>
      <c r="OEO253" s="1"/>
      <c r="OEP253" s="1"/>
      <c r="OEQ253" s="1"/>
      <c r="OER253" s="1"/>
      <c r="OES253" s="1"/>
      <c r="OET253" s="1"/>
      <c r="OEU253" s="1"/>
      <c r="OEV253" s="1"/>
      <c r="OEW253" s="1"/>
      <c r="OEX253" s="1"/>
      <c r="OEY253" s="1"/>
      <c r="OEZ253" s="1"/>
      <c r="OFA253" s="1"/>
      <c r="OFB253" s="1"/>
      <c r="OFC253" s="1"/>
      <c r="OFD253" s="1"/>
      <c r="OFE253" s="1"/>
      <c r="OFF253" s="1"/>
      <c r="OFG253" s="1"/>
      <c r="OFH253" s="1"/>
      <c r="OFI253" s="1"/>
      <c r="OFJ253" s="1"/>
      <c r="OFK253" s="1"/>
      <c r="OFL253" s="1"/>
      <c r="OFM253" s="1"/>
      <c r="OFN253" s="1"/>
      <c r="OFO253" s="1"/>
      <c r="OFP253" s="1"/>
      <c r="OFQ253" s="1"/>
      <c r="OFR253" s="1"/>
      <c r="OFS253" s="1"/>
      <c r="OFT253" s="1"/>
      <c r="OFU253" s="1"/>
      <c r="OFV253" s="1"/>
      <c r="OFW253" s="1"/>
      <c r="OFX253" s="1"/>
      <c r="OFY253" s="1"/>
      <c r="OFZ253" s="1"/>
      <c r="OGA253" s="1"/>
      <c r="OGB253" s="1"/>
      <c r="OGC253" s="1"/>
      <c r="OGD253" s="1"/>
      <c r="OGE253" s="1"/>
      <c r="OGF253" s="1"/>
      <c r="OGG253" s="1"/>
      <c r="OGH253" s="1"/>
      <c r="OGI253" s="1"/>
      <c r="OGJ253" s="1"/>
      <c r="OGK253" s="1"/>
      <c r="OGL253" s="1"/>
      <c r="OGM253" s="1"/>
      <c r="OGN253" s="1"/>
      <c r="OGO253" s="1"/>
      <c r="OGP253" s="1"/>
      <c r="OGQ253" s="1"/>
      <c r="OGR253" s="1"/>
      <c r="OGS253" s="1"/>
      <c r="OGT253" s="1"/>
      <c r="OGU253" s="1"/>
      <c r="OGV253" s="1"/>
      <c r="OGW253" s="1"/>
      <c r="OGX253" s="1"/>
      <c r="OGY253" s="1"/>
      <c r="OGZ253" s="1"/>
      <c r="OHA253" s="1"/>
      <c r="OHB253" s="1"/>
      <c r="OHC253" s="1"/>
      <c r="OHD253" s="1"/>
      <c r="OHE253" s="1"/>
      <c r="OHF253" s="1"/>
      <c r="OHG253" s="1"/>
      <c r="OHH253" s="1"/>
      <c r="OHI253" s="1"/>
      <c r="OHJ253" s="1"/>
      <c r="OHK253" s="1"/>
      <c r="OHL253" s="1"/>
      <c r="OHM253" s="1"/>
      <c r="OHN253" s="1"/>
      <c r="OHO253" s="1"/>
      <c r="OHP253" s="1"/>
      <c r="OHQ253" s="1"/>
      <c r="OHR253" s="1"/>
      <c r="OHS253" s="1"/>
      <c r="OHT253" s="1"/>
      <c r="OHU253" s="1"/>
      <c r="OHV253" s="1"/>
      <c r="OHW253" s="1"/>
      <c r="OHX253" s="1"/>
      <c r="OHY253" s="1"/>
      <c r="OHZ253" s="1"/>
      <c r="OIA253" s="1"/>
      <c r="OIB253" s="1"/>
      <c r="OIC253" s="1"/>
      <c r="OID253" s="1"/>
      <c r="OIE253" s="1"/>
      <c r="OIF253" s="1"/>
      <c r="OIG253" s="1"/>
      <c r="OIH253" s="1"/>
      <c r="OII253" s="1"/>
      <c r="OIJ253" s="1"/>
      <c r="OIK253" s="1"/>
      <c r="OIL253" s="1"/>
      <c r="OIM253" s="1"/>
      <c r="OIN253" s="1"/>
      <c r="OIO253" s="1"/>
      <c r="OIP253" s="1"/>
      <c r="OIQ253" s="1"/>
      <c r="OIR253" s="1"/>
      <c r="OIS253" s="1"/>
      <c r="OIT253" s="1"/>
      <c r="OIU253" s="1"/>
      <c r="OIV253" s="1"/>
      <c r="OIW253" s="1"/>
      <c r="OIX253" s="1"/>
      <c r="OIY253" s="1"/>
      <c r="OIZ253" s="1"/>
      <c r="OJA253" s="1"/>
      <c r="OJB253" s="1"/>
      <c r="OJC253" s="1"/>
      <c r="OJD253" s="1"/>
      <c r="OJE253" s="1"/>
      <c r="OJF253" s="1"/>
      <c r="OJG253" s="1"/>
      <c r="OJH253" s="1"/>
      <c r="OJI253" s="1"/>
      <c r="OJJ253" s="1"/>
      <c r="OJK253" s="1"/>
      <c r="OJL253" s="1"/>
      <c r="OJM253" s="1"/>
      <c r="OJN253" s="1"/>
      <c r="OJO253" s="1"/>
      <c r="OJP253" s="1"/>
      <c r="OJQ253" s="1"/>
      <c r="OJR253" s="1"/>
      <c r="OJS253" s="1"/>
      <c r="OJT253" s="1"/>
      <c r="OJU253" s="1"/>
      <c r="OJV253" s="1"/>
      <c r="OJW253" s="1"/>
      <c r="OJX253" s="1"/>
      <c r="OJY253" s="1"/>
      <c r="OJZ253" s="1"/>
      <c r="OKA253" s="1"/>
      <c r="OKB253" s="1"/>
      <c r="OKC253" s="1"/>
      <c r="OKD253" s="1"/>
      <c r="OKE253" s="1"/>
      <c r="OKF253" s="1"/>
      <c r="OKG253" s="1"/>
      <c r="OKH253" s="1"/>
      <c r="OKI253" s="1"/>
      <c r="OKJ253" s="1"/>
      <c r="OKK253" s="1"/>
      <c r="OKL253" s="1"/>
      <c r="OKM253" s="1"/>
      <c r="OKN253" s="1"/>
      <c r="OKO253" s="1"/>
      <c r="OKP253" s="1"/>
      <c r="OKQ253" s="1"/>
      <c r="OKR253" s="1"/>
      <c r="OKS253" s="1"/>
      <c r="OKT253" s="1"/>
      <c r="OKU253" s="1"/>
      <c r="OKV253" s="1"/>
      <c r="OKW253" s="1"/>
      <c r="OKX253" s="1"/>
      <c r="OKY253" s="1"/>
      <c r="OKZ253" s="1"/>
      <c r="OLA253" s="1"/>
      <c r="OLB253" s="1"/>
      <c r="OLC253" s="1"/>
      <c r="OLD253" s="1"/>
      <c r="OLE253" s="1"/>
      <c r="OLF253" s="1"/>
      <c r="OLG253" s="1"/>
      <c r="OLH253" s="1"/>
      <c r="OLI253" s="1"/>
      <c r="OLJ253" s="1"/>
      <c r="OLK253" s="1"/>
      <c r="OLL253" s="1"/>
      <c r="OLM253" s="1"/>
      <c r="OLN253" s="1"/>
      <c r="OLO253" s="1"/>
      <c r="OLP253" s="1"/>
      <c r="OLQ253" s="1"/>
      <c r="OLR253" s="1"/>
      <c r="OLS253" s="1"/>
      <c r="OLT253" s="1"/>
      <c r="OLU253" s="1"/>
      <c r="OLV253" s="1"/>
      <c r="OLW253" s="1"/>
      <c r="OLX253" s="1"/>
      <c r="OLY253" s="1"/>
      <c r="OLZ253" s="1"/>
      <c r="OMA253" s="1"/>
      <c r="OMB253" s="1"/>
      <c r="OMC253" s="1"/>
      <c r="OMD253" s="1"/>
      <c r="OME253" s="1"/>
      <c r="OMF253" s="1"/>
      <c r="OMG253" s="1"/>
      <c r="OMH253" s="1"/>
      <c r="OMI253" s="1"/>
      <c r="OMJ253" s="1"/>
      <c r="OMK253" s="1"/>
      <c r="OML253" s="1"/>
      <c r="OMM253" s="1"/>
      <c r="OMN253" s="1"/>
      <c r="OMO253" s="1"/>
      <c r="OMP253" s="1"/>
      <c r="OMQ253" s="1"/>
      <c r="OMR253" s="1"/>
      <c r="OMS253" s="1"/>
      <c r="OMT253" s="1"/>
      <c r="OMU253" s="1"/>
      <c r="OMV253" s="1"/>
      <c r="OMW253" s="1"/>
      <c r="OMX253" s="1"/>
      <c r="OMY253" s="1"/>
      <c r="OMZ253" s="1"/>
      <c r="ONA253" s="1"/>
      <c r="ONB253" s="1"/>
      <c r="ONC253" s="1"/>
      <c r="OND253" s="1"/>
      <c r="ONE253" s="1"/>
      <c r="ONF253" s="1"/>
      <c r="ONG253" s="1"/>
      <c r="ONH253" s="1"/>
      <c r="ONI253" s="1"/>
      <c r="ONJ253" s="1"/>
      <c r="ONK253" s="1"/>
      <c r="ONL253" s="1"/>
      <c r="ONM253" s="1"/>
      <c r="ONN253" s="1"/>
      <c r="ONO253" s="1"/>
      <c r="ONP253" s="1"/>
      <c r="ONQ253" s="1"/>
      <c r="ONR253" s="1"/>
      <c r="ONS253" s="1"/>
      <c r="ONT253" s="1"/>
      <c r="ONU253" s="1"/>
      <c r="ONV253" s="1"/>
      <c r="ONW253" s="1"/>
      <c r="ONX253" s="1"/>
      <c r="ONY253" s="1"/>
      <c r="ONZ253" s="1"/>
      <c r="OOA253" s="1"/>
      <c r="OOB253" s="1"/>
      <c r="OOC253" s="1"/>
      <c r="OOD253" s="1"/>
      <c r="OOE253" s="1"/>
      <c r="OOF253" s="1"/>
      <c r="OOG253" s="1"/>
      <c r="OOH253" s="1"/>
      <c r="OOI253" s="1"/>
      <c r="OOJ253" s="1"/>
      <c r="OOK253" s="1"/>
      <c r="OOL253" s="1"/>
      <c r="OOM253" s="1"/>
      <c r="OON253" s="1"/>
      <c r="OOO253" s="1"/>
      <c r="OOP253" s="1"/>
      <c r="OOQ253" s="1"/>
      <c r="OOR253" s="1"/>
      <c r="OOS253" s="1"/>
      <c r="OOT253" s="1"/>
      <c r="OOU253" s="1"/>
      <c r="OOV253" s="1"/>
      <c r="OOW253" s="1"/>
      <c r="OOX253" s="1"/>
      <c r="OOY253" s="1"/>
      <c r="OOZ253" s="1"/>
      <c r="OPA253" s="1"/>
      <c r="OPB253" s="1"/>
      <c r="OPC253" s="1"/>
      <c r="OPD253" s="1"/>
      <c r="OPE253" s="1"/>
      <c r="OPF253" s="1"/>
      <c r="OPG253" s="1"/>
      <c r="OPH253" s="1"/>
      <c r="OPI253" s="1"/>
      <c r="OPJ253" s="1"/>
      <c r="OPK253" s="1"/>
      <c r="OPL253" s="1"/>
      <c r="OPM253" s="1"/>
      <c r="OPN253" s="1"/>
      <c r="OPO253" s="1"/>
      <c r="OPP253" s="1"/>
      <c r="OPQ253" s="1"/>
      <c r="OPR253" s="1"/>
      <c r="OPS253" s="1"/>
      <c r="OPT253" s="1"/>
      <c r="OPU253" s="1"/>
      <c r="OPV253" s="1"/>
      <c r="OPW253" s="1"/>
      <c r="OPX253" s="1"/>
      <c r="OPY253" s="1"/>
      <c r="OPZ253" s="1"/>
      <c r="OQA253" s="1"/>
      <c r="OQB253" s="1"/>
      <c r="OQC253" s="1"/>
      <c r="OQD253" s="1"/>
      <c r="OQE253" s="1"/>
      <c r="OQF253" s="1"/>
      <c r="OQG253" s="1"/>
      <c r="OQH253" s="1"/>
      <c r="OQI253" s="1"/>
      <c r="OQJ253" s="1"/>
      <c r="OQK253" s="1"/>
      <c r="OQL253" s="1"/>
      <c r="OQM253" s="1"/>
      <c r="OQN253" s="1"/>
      <c r="OQO253" s="1"/>
      <c r="OQP253" s="1"/>
      <c r="OQQ253" s="1"/>
      <c r="OQR253" s="1"/>
      <c r="OQS253" s="1"/>
      <c r="OQT253" s="1"/>
      <c r="OQU253" s="1"/>
      <c r="OQV253" s="1"/>
      <c r="OQW253" s="1"/>
      <c r="OQX253" s="1"/>
      <c r="OQY253" s="1"/>
      <c r="OQZ253" s="1"/>
      <c r="ORA253" s="1"/>
      <c r="ORB253" s="1"/>
      <c r="ORC253" s="1"/>
      <c r="ORD253" s="1"/>
      <c r="ORE253" s="1"/>
      <c r="ORF253" s="1"/>
      <c r="ORG253" s="1"/>
      <c r="ORH253" s="1"/>
      <c r="ORI253" s="1"/>
      <c r="ORJ253" s="1"/>
      <c r="ORK253" s="1"/>
      <c r="ORL253" s="1"/>
      <c r="ORM253" s="1"/>
      <c r="ORN253" s="1"/>
      <c r="ORO253" s="1"/>
      <c r="ORP253" s="1"/>
      <c r="ORQ253" s="1"/>
      <c r="ORR253" s="1"/>
      <c r="ORS253" s="1"/>
      <c r="ORT253" s="1"/>
      <c r="ORU253" s="1"/>
      <c r="ORV253" s="1"/>
      <c r="ORW253" s="1"/>
      <c r="ORX253" s="1"/>
      <c r="ORY253" s="1"/>
      <c r="ORZ253" s="1"/>
      <c r="OSA253" s="1"/>
      <c r="OSB253" s="1"/>
      <c r="OSC253" s="1"/>
      <c r="OSD253" s="1"/>
      <c r="OSE253" s="1"/>
      <c r="OSF253" s="1"/>
      <c r="OSG253" s="1"/>
      <c r="OSH253" s="1"/>
      <c r="OSI253" s="1"/>
      <c r="OSJ253" s="1"/>
      <c r="OSK253" s="1"/>
      <c r="OSL253" s="1"/>
      <c r="OSM253" s="1"/>
      <c r="OSN253" s="1"/>
      <c r="OSO253" s="1"/>
      <c r="OSP253" s="1"/>
      <c r="OSQ253" s="1"/>
      <c r="OSR253" s="1"/>
      <c r="OSS253" s="1"/>
      <c r="OST253" s="1"/>
      <c r="OSU253" s="1"/>
      <c r="OSV253" s="1"/>
      <c r="OSW253" s="1"/>
      <c r="OSX253" s="1"/>
      <c r="OSY253" s="1"/>
      <c r="OSZ253" s="1"/>
      <c r="OTA253" s="1"/>
      <c r="OTB253" s="1"/>
      <c r="OTC253" s="1"/>
      <c r="OTD253" s="1"/>
      <c r="OTE253" s="1"/>
      <c r="OTF253" s="1"/>
      <c r="OTG253" s="1"/>
      <c r="OTH253" s="1"/>
      <c r="OTI253" s="1"/>
      <c r="OTJ253" s="1"/>
      <c r="OTK253" s="1"/>
      <c r="OTL253" s="1"/>
      <c r="OTM253" s="1"/>
      <c r="OTN253" s="1"/>
      <c r="OTO253" s="1"/>
      <c r="OTP253" s="1"/>
      <c r="OTQ253" s="1"/>
      <c r="OTR253" s="1"/>
      <c r="OTS253" s="1"/>
      <c r="OTT253" s="1"/>
      <c r="OTU253" s="1"/>
      <c r="OTV253" s="1"/>
      <c r="OTW253" s="1"/>
      <c r="OTX253" s="1"/>
      <c r="OTY253" s="1"/>
      <c r="OTZ253" s="1"/>
      <c r="OUA253" s="1"/>
      <c r="OUB253" s="1"/>
      <c r="OUC253" s="1"/>
      <c r="OUD253" s="1"/>
      <c r="OUE253" s="1"/>
      <c r="OUF253" s="1"/>
      <c r="OUG253" s="1"/>
      <c r="OUH253" s="1"/>
      <c r="OUI253" s="1"/>
      <c r="OUJ253" s="1"/>
      <c r="OUK253" s="1"/>
      <c r="OUL253" s="1"/>
      <c r="OUM253" s="1"/>
      <c r="OUN253" s="1"/>
      <c r="OUO253" s="1"/>
      <c r="OUP253" s="1"/>
      <c r="OUQ253" s="1"/>
      <c r="OUR253" s="1"/>
      <c r="OUS253" s="1"/>
      <c r="OUT253" s="1"/>
      <c r="OUU253" s="1"/>
      <c r="OUV253" s="1"/>
      <c r="OUW253" s="1"/>
      <c r="OUX253" s="1"/>
      <c r="OUY253" s="1"/>
      <c r="OUZ253" s="1"/>
      <c r="OVA253" s="1"/>
      <c r="OVB253" s="1"/>
      <c r="OVC253" s="1"/>
      <c r="OVD253" s="1"/>
      <c r="OVE253" s="1"/>
      <c r="OVF253" s="1"/>
      <c r="OVG253" s="1"/>
      <c r="OVH253" s="1"/>
      <c r="OVI253" s="1"/>
      <c r="OVJ253" s="1"/>
      <c r="OVK253" s="1"/>
      <c r="OVL253" s="1"/>
      <c r="OVM253" s="1"/>
      <c r="OVN253" s="1"/>
      <c r="OVO253" s="1"/>
      <c r="OVP253" s="1"/>
      <c r="OVQ253" s="1"/>
      <c r="OVR253" s="1"/>
      <c r="OVS253" s="1"/>
      <c r="OVT253" s="1"/>
      <c r="OVU253" s="1"/>
      <c r="OVV253" s="1"/>
      <c r="OVW253" s="1"/>
      <c r="OVX253" s="1"/>
      <c r="OVY253" s="1"/>
      <c r="OVZ253" s="1"/>
      <c r="OWA253" s="1"/>
      <c r="OWB253" s="1"/>
      <c r="OWC253" s="1"/>
      <c r="OWD253" s="1"/>
      <c r="OWE253" s="1"/>
      <c r="OWF253" s="1"/>
      <c r="OWG253" s="1"/>
      <c r="OWH253" s="1"/>
      <c r="OWI253" s="1"/>
      <c r="OWJ253" s="1"/>
      <c r="OWK253" s="1"/>
      <c r="OWL253" s="1"/>
      <c r="OWM253" s="1"/>
      <c r="OWN253" s="1"/>
      <c r="OWO253" s="1"/>
      <c r="OWP253" s="1"/>
      <c r="OWQ253" s="1"/>
      <c r="OWR253" s="1"/>
      <c r="OWS253" s="1"/>
      <c r="OWT253" s="1"/>
      <c r="OWU253" s="1"/>
      <c r="OWV253" s="1"/>
      <c r="OWW253" s="1"/>
      <c r="OWX253" s="1"/>
      <c r="OWY253" s="1"/>
      <c r="OWZ253" s="1"/>
      <c r="OXA253" s="1"/>
      <c r="OXB253" s="1"/>
      <c r="OXC253" s="1"/>
      <c r="OXD253" s="1"/>
      <c r="OXE253" s="1"/>
      <c r="OXF253" s="1"/>
      <c r="OXG253" s="1"/>
      <c r="OXH253" s="1"/>
      <c r="OXI253" s="1"/>
      <c r="OXJ253" s="1"/>
      <c r="OXK253" s="1"/>
      <c r="OXL253" s="1"/>
      <c r="OXM253" s="1"/>
      <c r="OXN253" s="1"/>
      <c r="OXO253" s="1"/>
      <c r="OXP253" s="1"/>
      <c r="OXQ253" s="1"/>
      <c r="OXR253" s="1"/>
      <c r="OXS253" s="1"/>
      <c r="OXT253" s="1"/>
      <c r="OXU253" s="1"/>
      <c r="OXV253" s="1"/>
      <c r="OXW253" s="1"/>
      <c r="OXX253" s="1"/>
      <c r="OXY253" s="1"/>
      <c r="OXZ253" s="1"/>
      <c r="OYA253" s="1"/>
      <c r="OYB253" s="1"/>
      <c r="OYC253" s="1"/>
      <c r="OYD253" s="1"/>
      <c r="OYE253" s="1"/>
      <c r="OYF253" s="1"/>
      <c r="OYG253" s="1"/>
      <c r="OYH253" s="1"/>
      <c r="OYI253" s="1"/>
      <c r="OYJ253" s="1"/>
      <c r="OYK253" s="1"/>
      <c r="OYL253" s="1"/>
      <c r="OYM253" s="1"/>
      <c r="OYN253" s="1"/>
      <c r="OYO253" s="1"/>
      <c r="OYP253" s="1"/>
      <c r="OYQ253" s="1"/>
      <c r="OYR253" s="1"/>
      <c r="OYS253" s="1"/>
      <c r="OYT253" s="1"/>
      <c r="OYU253" s="1"/>
      <c r="OYV253" s="1"/>
      <c r="OYW253" s="1"/>
      <c r="OYX253" s="1"/>
      <c r="OYY253" s="1"/>
      <c r="OYZ253" s="1"/>
      <c r="OZA253" s="1"/>
      <c r="OZB253" s="1"/>
      <c r="OZC253" s="1"/>
      <c r="OZD253" s="1"/>
      <c r="OZE253" s="1"/>
      <c r="OZF253" s="1"/>
      <c r="OZG253" s="1"/>
      <c r="OZH253" s="1"/>
      <c r="OZI253" s="1"/>
      <c r="OZJ253" s="1"/>
      <c r="OZK253" s="1"/>
      <c r="OZL253" s="1"/>
      <c r="OZM253" s="1"/>
      <c r="OZN253" s="1"/>
      <c r="OZO253" s="1"/>
      <c r="OZP253" s="1"/>
      <c r="OZQ253" s="1"/>
      <c r="OZR253" s="1"/>
      <c r="OZS253" s="1"/>
      <c r="OZT253" s="1"/>
      <c r="OZU253" s="1"/>
      <c r="OZV253" s="1"/>
      <c r="OZW253" s="1"/>
      <c r="OZX253" s="1"/>
      <c r="OZY253" s="1"/>
      <c r="OZZ253" s="1"/>
      <c r="PAA253" s="1"/>
      <c r="PAB253" s="1"/>
      <c r="PAC253" s="1"/>
      <c r="PAD253" s="1"/>
      <c r="PAE253" s="1"/>
      <c r="PAF253" s="1"/>
      <c r="PAG253" s="1"/>
      <c r="PAH253" s="1"/>
      <c r="PAI253" s="1"/>
      <c r="PAJ253" s="1"/>
      <c r="PAK253" s="1"/>
      <c r="PAL253" s="1"/>
      <c r="PAM253" s="1"/>
      <c r="PAN253" s="1"/>
      <c r="PAO253" s="1"/>
      <c r="PAP253" s="1"/>
      <c r="PAQ253" s="1"/>
      <c r="PAR253" s="1"/>
      <c r="PAS253" s="1"/>
      <c r="PAT253" s="1"/>
      <c r="PAU253" s="1"/>
      <c r="PAV253" s="1"/>
      <c r="PAW253" s="1"/>
      <c r="PAX253" s="1"/>
      <c r="PAY253" s="1"/>
      <c r="PAZ253" s="1"/>
      <c r="PBA253" s="1"/>
      <c r="PBB253" s="1"/>
      <c r="PBC253" s="1"/>
      <c r="PBD253" s="1"/>
      <c r="PBE253" s="1"/>
      <c r="PBF253" s="1"/>
      <c r="PBG253" s="1"/>
      <c r="PBH253" s="1"/>
      <c r="PBI253" s="1"/>
      <c r="PBJ253" s="1"/>
      <c r="PBK253" s="1"/>
      <c r="PBL253" s="1"/>
      <c r="PBM253" s="1"/>
      <c r="PBN253" s="1"/>
      <c r="PBO253" s="1"/>
      <c r="PBP253" s="1"/>
      <c r="PBQ253" s="1"/>
      <c r="PBR253" s="1"/>
      <c r="PBS253" s="1"/>
      <c r="PBT253" s="1"/>
      <c r="PBU253" s="1"/>
      <c r="PBV253" s="1"/>
      <c r="PBW253" s="1"/>
      <c r="PBX253" s="1"/>
      <c r="PBY253" s="1"/>
      <c r="PBZ253" s="1"/>
      <c r="PCA253" s="1"/>
      <c r="PCB253" s="1"/>
      <c r="PCC253" s="1"/>
      <c r="PCD253" s="1"/>
      <c r="PCE253" s="1"/>
      <c r="PCF253" s="1"/>
      <c r="PCG253" s="1"/>
      <c r="PCH253" s="1"/>
      <c r="PCI253" s="1"/>
      <c r="PCJ253" s="1"/>
      <c r="PCK253" s="1"/>
      <c r="PCL253" s="1"/>
      <c r="PCM253" s="1"/>
      <c r="PCN253" s="1"/>
      <c r="PCO253" s="1"/>
      <c r="PCP253" s="1"/>
      <c r="PCQ253" s="1"/>
      <c r="PCR253" s="1"/>
      <c r="PCS253" s="1"/>
      <c r="PCT253" s="1"/>
      <c r="PCU253" s="1"/>
      <c r="PCV253" s="1"/>
      <c r="PCW253" s="1"/>
      <c r="PCX253" s="1"/>
      <c r="PCY253" s="1"/>
      <c r="PCZ253" s="1"/>
      <c r="PDA253" s="1"/>
      <c r="PDB253" s="1"/>
      <c r="PDC253" s="1"/>
      <c r="PDD253" s="1"/>
      <c r="PDE253" s="1"/>
      <c r="PDF253" s="1"/>
      <c r="PDG253" s="1"/>
      <c r="PDH253" s="1"/>
      <c r="PDI253" s="1"/>
      <c r="PDJ253" s="1"/>
      <c r="PDK253" s="1"/>
      <c r="PDL253" s="1"/>
      <c r="PDM253" s="1"/>
      <c r="PDN253" s="1"/>
      <c r="PDO253" s="1"/>
      <c r="PDP253" s="1"/>
      <c r="PDQ253" s="1"/>
      <c r="PDR253" s="1"/>
      <c r="PDS253" s="1"/>
      <c r="PDT253" s="1"/>
      <c r="PDU253" s="1"/>
      <c r="PDV253" s="1"/>
      <c r="PDW253" s="1"/>
      <c r="PDX253" s="1"/>
      <c r="PDY253" s="1"/>
      <c r="PDZ253" s="1"/>
      <c r="PEA253" s="1"/>
      <c r="PEB253" s="1"/>
      <c r="PEC253" s="1"/>
      <c r="PED253" s="1"/>
      <c r="PEE253" s="1"/>
      <c r="PEF253" s="1"/>
      <c r="PEG253" s="1"/>
      <c r="PEH253" s="1"/>
      <c r="PEI253" s="1"/>
      <c r="PEJ253" s="1"/>
      <c r="PEK253" s="1"/>
      <c r="PEL253" s="1"/>
      <c r="PEM253" s="1"/>
      <c r="PEN253" s="1"/>
      <c r="PEO253" s="1"/>
      <c r="PEP253" s="1"/>
      <c r="PEQ253" s="1"/>
      <c r="PER253" s="1"/>
      <c r="PES253" s="1"/>
      <c r="PET253" s="1"/>
      <c r="PEU253" s="1"/>
      <c r="PEV253" s="1"/>
      <c r="PEW253" s="1"/>
      <c r="PEX253" s="1"/>
      <c r="PEY253" s="1"/>
      <c r="PEZ253" s="1"/>
      <c r="PFA253" s="1"/>
      <c r="PFB253" s="1"/>
      <c r="PFC253" s="1"/>
      <c r="PFD253" s="1"/>
      <c r="PFE253" s="1"/>
      <c r="PFF253" s="1"/>
      <c r="PFG253" s="1"/>
      <c r="PFH253" s="1"/>
      <c r="PFI253" s="1"/>
      <c r="PFJ253" s="1"/>
      <c r="PFK253" s="1"/>
      <c r="PFL253" s="1"/>
      <c r="PFM253" s="1"/>
      <c r="PFN253" s="1"/>
      <c r="PFO253" s="1"/>
      <c r="PFP253" s="1"/>
      <c r="PFQ253" s="1"/>
      <c r="PFR253" s="1"/>
      <c r="PFS253" s="1"/>
      <c r="PFT253" s="1"/>
      <c r="PFU253" s="1"/>
      <c r="PFV253" s="1"/>
      <c r="PFW253" s="1"/>
      <c r="PFX253" s="1"/>
      <c r="PFY253" s="1"/>
      <c r="PFZ253" s="1"/>
      <c r="PGA253" s="1"/>
      <c r="PGB253" s="1"/>
      <c r="PGC253" s="1"/>
      <c r="PGD253" s="1"/>
      <c r="PGE253" s="1"/>
      <c r="PGF253" s="1"/>
      <c r="PGG253" s="1"/>
      <c r="PGH253" s="1"/>
      <c r="PGI253" s="1"/>
      <c r="PGJ253" s="1"/>
      <c r="PGK253" s="1"/>
      <c r="PGL253" s="1"/>
      <c r="PGM253" s="1"/>
      <c r="PGN253" s="1"/>
      <c r="PGO253" s="1"/>
      <c r="PGP253" s="1"/>
      <c r="PGQ253" s="1"/>
      <c r="PGR253" s="1"/>
      <c r="PGS253" s="1"/>
      <c r="PGT253" s="1"/>
      <c r="PGU253" s="1"/>
      <c r="PGV253" s="1"/>
      <c r="PGW253" s="1"/>
      <c r="PGX253" s="1"/>
      <c r="PGY253" s="1"/>
      <c r="PGZ253" s="1"/>
      <c r="PHA253" s="1"/>
      <c r="PHB253" s="1"/>
      <c r="PHC253" s="1"/>
      <c r="PHD253" s="1"/>
      <c r="PHE253" s="1"/>
      <c r="PHF253" s="1"/>
      <c r="PHG253" s="1"/>
      <c r="PHH253" s="1"/>
      <c r="PHI253" s="1"/>
      <c r="PHJ253" s="1"/>
      <c r="PHK253" s="1"/>
      <c r="PHL253" s="1"/>
      <c r="PHM253" s="1"/>
      <c r="PHN253" s="1"/>
      <c r="PHO253" s="1"/>
      <c r="PHP253" s="1"/>
      <c r="PHQ253" s="1"/>
      <c r="PHR253" s="1"/>
      <c r="PHS253" s="1"/>
      <c r="PHT253" s="1"/>
      <c r="PHU253" s="1"/>
      <c r="PHV253" s="1"/>
      <c r="PHW253" s="1"/>
      <c r="PHX253" s="1"/>
      <c r="PHY253" s="1"/>
      <c r="PHZ253" s="1"/>
      <c r="PIA253" s="1"/>
      <c r="PIB253" s="1"/>
      <c r="PIC253" s="1"/>
      <c r="PID253" s="1"/>
      <c r="PIE253" s="1"/>
      <c r="PIF253" s="1"/>
      <c r="PIG253" s="1"/>
      <c r="PIH253" s="1"/>
      <c r="PII253" s="1"/>
      <c r="PIJ253" s="1"/>
      <c r="PIK253" s="1"/>
      <c r="PIL253" s="1"/>
      <c r="PIM253" s="1"/>
      <c r="PIN253" s="1"/>
      <c r="PIO253" s="1"/>
      <c r="PIP253" s="1"/>
      <c r="PIQ253" s="1"/>
      <c r="PIR253" s="1"/>
      <c r="PIS253" s="1"/>
      <c r="PIT253" s="1"/>
      <c r="PIU253" s="1"/>
      <c r="PIV253" s="1"/>
      <c r="PIW253" s="1"/>
      <c r="PIX253" s="1"/>
      <c r="PIY253" s="1"/>
      <c r="PIZ253" s="1"/>
      <c r="PJA253" s="1"/>
      <c r="PJB253" s="1"/>
      <c r="PJC253" s="1"/>
      <c r="PJD253" s="1"/>
      <c r="PJE253" s="1"/>
      <c r="PJF253" s="1"/>
      <c r="PJG253" s="1"/>
      <c r="PJH253" s="1"/>
      <c r="PJI253" s="1"/>
      <c r="PJJ253" s="1"/>
      <c r="PJK253" s="1"/>
      <c r="PJL253" s="1"/>
      <c r="PJM253" s="1"/>
      <c r="PJN253" s="1"/>
      <c r="PJO253" s="1"/>
      <c r="PJP253" s="1"/>
      <c r="PJQ253" s="1"/>
      <c r="PJR253" s="1"/>
      <c r="PJS253" s="1"/>
      <c r="PJT253" s="1"/>
      <c r="PJU253" s="1"/>
      <c r="PJV253" s="1"/>
      <c r="PJW253" s="1"/>
      <c r="PJX253" s="1"/>
      <c r="PJY253" s="1"/>
      <c r="PJZ253" s="1"/>
      <c r="PKA253" s="1"/>
      <c r="PKB253" s="1"/>
      <c r="PKC253" s="1"/>
      <c r="PKD253" s="1"/>
      <c r="PKE253" s="1"/>
      <c r="PKF253" s="1"/>
      <c r="PKG253" s="1"/>
      <c r="PKH253" s="1"/>
      <c r="PKI253" s="1"/>
      <c r="PKJ253" s="1"/>
      <c r="PKK253" s="1"/>
      <c r="PKL253" s="1"/>
      <c r="PKM253" s="1"/>
      <c r="PKN253" s="1"/>
      <c r="PKO253" s="1"/>
      <c r="PKP253" s="1"/>
      <c r="PKQ253" s="1"/>
      <c r="PKR253" s="1"/>
      <c r="PKS253" s="1"/>
      <c r="PKT253" s="1"/>
      <c r="PKU253" s="1"/>
      <c r="PKV253" s="1"/>
      <c r="PKW253" s="1"/>
      <c r="PKX253" s="1"/>
      <c r="PKY253" s="1"/>
      <c r="PKZ253" s="1"/>
      <c r="PLA253" s="1"/>
      <c r="PLB253" s="1"/>
      <c r="PLC253" s="1"/>
      <c r="PLD253" s="1"/>
      <c r="PLE253" s="1"/>
      <c r="PLF253" s="1"/>
      <c r="PLG253" s="1"/>
      <c r="PLH253" s="1"/>
      <c r="PLI253" s="1"/>
      <c r="PLJ253" s="1"/>
      <c r="PLK253" s="1"/>
      <c r="PLL253" s="1"/>
      <c r="PLM253" s="1"/>
      <c r="PLN253" s="1"/>
      <c r="PLO253" s="1"/>
      <c r="PLP253" s="1"/>
      <c r="PLQ253" s="1"/>
      <c r="PLR253" s="1"/>
      <c r="PLS253" s="1"/>
      <c r="PLT253" s="1"/>
      <c r="PLU253" s="1"/>
      <c r="PLV253" s="1"/>
      <c r="PLW253" s="1"/>
      <c r="PLX253" s="1"/>
      <c r="PLY253" s="1"/>
      <c r="PLZ253" s="1"/>
      <c r="PMA253" s="1"/>
      <c r="PMB253" s="1"/>
      <c r="PMC253" s="1"/>
      <c r="PMD253" s="1"/>
      <c r="PME253" s="1"/>
      <c r="PMF253" s="1"/>
      <c r="PMG253" s="1"/>
      <c r="PMH253" s="1"/>
      <c r="PMI253" s="1"/>
      <c r="PMJ253" s="1"/>
      <c r="PMK253" s="1"/>
      <c r="PML253" s="1"/>
      <c r="PMM253" s="1"/>
      <c r="PMN253" s="1"/>
      <c r="PMO253" s="1"/>
      <c r="PMP253" s="1"/>
      <c r="PMQ253" s="1"/>
      <c r="PMR253" s="1"/>
      <c r="PMS253" s="1"/>
      <c r="PMT253" s="1"/>
      <c r="PMU253" s="1"/>
      <c r="PMV253" s="1"/>
      <c r="PMW253" s="1"/>
      <c r="PMX253" s="1"/>
      <c r="PMY253" s="1"/>
      <c r="PMZ253" s="1"/>
      <c r="PNA253" s="1"/>
      <c r="PNB253" s="1"/>
      <c r="PNC253" s="1"/>
      <c r="PND253" s="1"/>
      <c r="PNE253" s="1"/>
      <c r="PNF253" s="1"/>
      <c r="PNG253" s="1"/>
      <c r="PNH253" s="1"/>
      <c r="PNI253" s="1"/>
      <c r="PNJ253" s="1"/>
      <c r="PNK253" s="1"/>
      <c r="PNL253" s="1"/>
      <c r="PNM253" s="1"/>
      <c r="PNN253" s="1"/>
      <c r="PNO253" s="1"/>
      <c r="PNP253" s="1"/>
      <c r="PNQ253" s="1"/>
      <c r="PNR253" s="1"/>
      <c r="PNS253" s="1"/>
      <c r="PNT253" s="1"/>
      <c r="PNU253" s="1"/>
      <c r="PNV253" s="1"/>
      <c r="PNW253" s="1"/>
      <c r="PNX253" s="1"/>
      <c r="PNY253" s="1"/>
      <c r="PNZ253" s="1"/>
      <c r="POA253" s="1"/>
      <c r="POB253" s="1"/>
      <c r="POC253" s="1"/>
      <c r="POD253" s="1"/>
      <c r="POE253" s="1"/>
      <c r="POF253" s="1"/>
      <c r="POG253" s="1"/>
      <c r="POH253" s="1"/>
      <c r="POI253" s="1"/>
      <c r="POJ253" s="1"/>
      <c r="POK253" s="1"/>
      <c r="POL253" s="1"/>
      <c r="POM253" s="1"/>
      <c r="PON253" s="1"/>
      <c r="POO253" s="1"/>
      <c r="POP253" s="1"/>
      <c r="POQ253" s="1"/>
      <c r="POR253" s="1"/>
      <c r="POS253" s="1"/>
      <c r="POT253" s="1"/>
      <c r="POU253" s="1"/>
      <c r="POV253" s="1"/>
      <c r="POW253" s="1"/>
      <c r="POX253" s="1"/>
      <c r="POY253" s="1"/>
      <c r="POZ253" s="1"/>
      <c r="PPA253" s="1"/>
      <c r="PPB253" s="1"/>
      <c r="PPC253" s="1"/>
      <c r="PPD253" s="1"/>
      <c r="PPE253" s="1"/>
      <c r="PPF253" s="1"/>
      <c r="PPG253" s="1"/>
      <c r="PPH253" s="1"/>
      <c r="PPI253" s="1"/>
      <c r="PPJ253" s="1"/>
      <c r="PPK253" s="1"/>
      <c r="PPL253" s="1"/>
      <c r="PPM253" s="1"/>
      <c r="PPN253" s="1"/>
      <c r="PPO253" s="1"/>
      <c r="PPP253" s="1"/>
      <c r="PPQ253" s="1"/>
      <c r="PPR253" s="1"/>
      <c r="PPS253" s="1"/>
      <c r="PPT253" s="1"/>
      <c r="PPU253" s="1"/>
      <c r="PPV253" s="1"/>
      <c r="PPW253" s="1"/>
      <c r="PPX253" s="1"/>
      <c r="PPY253" s="1"/>
      <c r="PPZ253" s="1"/>
      <c r="PQA253" s="1"/>
      <c r="PQB253" s="1"/>
      <c r="PQC253" s="1"/>
      <c r="PQD253" s="1"/>
      <c r="PQE253" s="1"/>
      <c r="PQF253" s="1"/>
      <c r="PQG253" s="1"/>
      <c r="PQH253" s="1"/>
      <c r="PQI253" s="1"/>
      <c r="PQJ253" s="1"/>
      <c r="PQK253" s="1"/>
      <c r="PQL253" s="1"/>
      <c r="PQM253" s="1"/>
      <c r="PQN253" s="1"/>
      <c r="PQO253" s="1"/>
      <c r="PQP253" s="1"/>
      <c r="PQQ253" s="1"/>
      <c r="PQR253" s="1"/>
      <c r="PQS253" s="1"/>
      <c r="PQT253" s="1"/>
      <c r="PQU253" s="1"/>
      <c r="PQV253" s="1"/>
      <c r="PQW253" s="1"/>
      <c r="PQX253" s="1"/>
      <c r="PQY253" s="1"/>
      <c r="PQZ253" s="1"/>
      <c r="PRA253" s="1"/>
      <c r="PRB253" s="1"/>
      <c r="PRC253" s="1"/>
      <c r="PRD253" s="1"/>
      <c r="PRE253" s="1"/>
      <c r="PRF253" s="1"/>
      <c r="PRG253" s="1"/>
      <c r="PRH253" s="1"/>
      <c r="PRI253" s="1"/>
      <c r="PRJ253" s="1"/>
      <c r="PRK253" s="1"/>
      <c r="PRL253" s="1"/>
      <c r="PRM253" s="1"/>
      <c r="PRN253" s="1"/>
      <c r="PRO253" s="1"/>
      <c r="PRP253" s="1"/>
      <c r="PRQ253" s="1"/>
      <c r="PRR253" s="1"/>
      <c r="PRS253" s="1"/>
      <c r="PRT253" s="1"/>
      <c r="PRU253" s="1"/>
      <c r="PRV253" s="1"/>
      <c r="PRW253" s="1"/>
      <c r="PRX253" s="1"/>
      <c r="PRY253" s="1"/>
      <c r="PRZ253" s="1"/>
      <c r="PSA253" s="1"/>
      <c r="PSB253" s="1"/>
      <c r="PSC253" s="1"/>
      <c r="PSD253" s="1"/>
      <c r="PSE253" s="1"/>
      <c r="PSF253" s="1"/>
      <c r="PSG253" s="1"/>
      <c r="PSH253" s="1"/>
      <c r="PSI253" s="1"/>
      <c r="PSJ253" s="1"/>
      <c r="PSK253" s="1"/>
      <c r="PSL253" s="1"/>
      <c r="PSM253" s="1"/>
      <c r="PSN253" s="1"/>
      <c r="PSO253" s="1"/>
      <c r="PSP253" s="1"/>
      <c r="PSQ253" s="1"/>
      <c r="PSR253" s="1"/>
      <c r="PSS253" s="1"/>
      <c r="PST253" s="1"/>
      <c r="PSU253" s="1"/>
      <c r="PSV253" s="1"/>
      <c r="PSW253" s="1"/>
      <c r="PSX253" s="1"/>
      <c r="PSY253" s="1"/>
      <c r="PSZ253" s="1"/>
      <c r="PTA253" s="1"/>
      <c r="PTB253" s="1"/>
      <c r="PTC253" s="1"/>
      <c r="PTD253" s="1"/>
      <c r="PTE253" s="1"/>
      <c r="PTF253" s="1"/>
      <c r="PTG253" s="1"/>
      <c r="PTH253" s="1"/>
      <c r="PTI253" s="1"/>
      <c r="PTJ253" s="1"/>
      <c r="PTK253" s="1"/>
      <c r="PTL253" s="1"/>
      <c r="PTM253" s="1"/>
      <c r="PTN253" s="1"/>
      <c r="PTO253" s="1"/>
      <c r="PTP253" s="1"/>
      <c r="PTQ253" s="1"/>
      <c r="PTR253" s="1"/>
      <c r="PTS253" s="1"/>
      <c r="PTT253" s="1"/>
      <c r="PTU253" s="1"/>
      <c r="PTV253" s="1"/>
      <c r="PTW253" s="1"/>
      <c r="PTX253" s="1"/>
      <c r="PTY253" s="1"/>
      <c r="PTZ253" s="1"/>
      <c r="PUA253" s="1"/>
      <c r="PUB253" s="1"/>
      <c r="PUC253" s="1"/>
      <c r="PUD253" s="1"/>
      <c r="PUE253" s="1"/>
      <c r="PUF253" s="1"/>
      <c r="PUG253" s="1"/>
      <c r="PUH253" s="1"/>
      <c r="PUI253" s="1"/>
      <c r="PUJ253" s="1"/>
      <c r="PUK253" s="1"/>
      <c r="PUL253" s="1"/>
      <c r="PUM253" s="1"/>
      <c r="PUN253" s="1"/>
      <c r="PUO253" s="1"/>
      <c r="PUP253" s="1"/>
      <c r="PUQ253" s="1"/>
      <c r="PUR253" s="1"/>
      <c r="PUS253" s="1"/>
      <c r="PUT253" s="1"/>
      <c r="PUU253" s="1"/>
      <c r="PUV253" s="1"/>
      <c r="PUW253" s="1"/>
      <c r="PUX253" s="1"/>
      <c r="PUY253" s="1"/>
      <c r="PUZ253" s="1"/>
      <c r="PVA253" s="1"/>
      <c r="PVB253" s="1"/>
      <c r="PVC253" s="1"/>
      <c r="PVD253" s="1"/>
      <c r="PVE253" s="1"/>
      <c r="PVF253" s="1"/>
      <c r="PVG253" s="1"/>
      <c r="PVH253" s="1"/>
      <c r="PVI253" s="1"/>
      <c r="PVJ253" s="1"/>
      <c r="PVK253" s="1"/>
      <c r="PVL253" s="1"/>
      <c r="PVM253" s="1"/>
      <c r="PVN253" s="1"/>
      <c r="PVO253" s="1"/>
      <c r="PVP253" s="1"/>
      <c r="PVQ253" s="1"/>
      <c r="PVR253" s="1"/>
      <c r="PVS253" s="1"/>
      <c r="PVT253" s="1"/>
      <c r="PVU253" s="1"/>
      <c r="PVV253" s="1"/>
      <c r="PVW253" s="1"/>
      <c r="PVX253" s="1"/>
      <c r="PVY253" s="1"/>
      <c r="PVZ253" s="1"/>
      <c r="PWA253" s="1"/>
      <c r="PWB253" s="1"/>
      <c r="PWC253" s="1"/>
      <c r="PWD253" s="1"/>
      <c r="PWE253" s="1"/>
      <c r="PWF253" s="1"/>
      <c r="PWG253" s="1"/>
      <c r="PWH253" s="1"/>
      <c r="PWI253" s="1"/>
      <c r="PWJ253" s="1"/>
      <c r="PWK253" s="1"/>
      <c r="PWL253" s="1"/>
      <c r="PWM253" s="1"/>
      <c r="PWN253" s="1"/>
      <c r="PWO253" s="1"/>
      <c r="PWP253" s="1"/>
      <c r="PWQ253" s="1"/>
      <c r="PWR253" s="1"/>
      <c r="PWS253" s="1"/>
      <c r="PWT253" s="1"/>
      <c r="PWU253" s="1"/>
      <c r="PWV253" s="1"/>
      <c r="PWW253" s="1"/>
      <c r="PWX253" s="1"/>
      <c r="PWY253" s="1"/>
      <c r="PWZ253" s="1"/>
      <c r="PXA253" s="1"/>
      <c r="PXB253" s="1"/>
      <c r="PXC253" s="1"/>
      <c r="PXD253" s="1"/>
      <c r="PXE253" s="1"/>
      <c r="PXF253" s="1"/>
      <c r="PXG253" s="1"/>
      <c r="PXH253" s="1"/>
      <c r="PXI253" s="1"/>
      <c r="PXJ253" s="1"/>
      <c r="PXK253" s="1"/>
      <c r="PXL253" s="1"/>
      <c r="PXM253" s="1"/>
      <c r="PXN253" s="1"/>
      <c r="PXO253" s="1"/>
      <c r="PXP253" s="1"/>
      <c r="PXQ253" s="1"/>
      <c r="PXR253" s="1"/>
      <c r="PXS253" s="1"/>
      <c r="PXT253" s="1"/>
      <c r="PXU253" s="1"/>
      <c r="PXV253" s="1"/>
      <c r="PXW253" s="1"/>
      <c r="PXX253" s="1"/>
      <c r="PXY253" s="1"/>
      <c r="PXZ253" s="1"/>
      <c r="PYA253" s="1"/>
      <c r="PYB253" s="1"/>
      <c r="PYC253" s="1"/>
      <c r="PYD253" s="1"/>
      <c r="PYE253" s="1"/>
      <c r="PYF253" s="1"/>
      <c r="PYG253" s="1"/>
      <c r="PYH253" s="1"/>
      <c r="PYI253" s="1"/>
      <c r="PYJ253" s="1"/>
      <c r="PYK253" s="1"/>
      <c r="PYL253" s="1"/>
      <c r="PYM253" s="1"/>
      <c r="PYN253" s="1"/>
      <c r="PYO253" s="1"/>
      <c r="PYP253" s="1"/>
      <c r="PYQ253" s="1"/>
      <c r="PYR253" s="1"/>
      <c r="PYS253" s="1"/>
      <c r="PYT253" s="1"/>
      <c r="PYU253" s="1"/>
      <c r="PYV253" s="1"/>
      <c r="PYW253" s="1"/>
      <c r="PYX253" s="1"/>
      <c r="PYY253" s="1"/>
      <c r="PYZ253" s="1"/>
      <c r="PZA253" s="1"/>
      <c r="PZB253" s="1"/>
      <c r="PZC253" s="1"/>
      <c r="PZD253" s="1"/>
      <c r="PZE253" s="1"/>
      <c r="PZF253" s="1"/>
      <c r="PZG253" s="1"/>
      <c r="PZH253" s="1"/>
      <c r="PZI253" s="1"/>
      <c r="PZJ253" s="1"/>
      <c r="PZK253" s="1"/>
      <c r="PZL253" s="1"/>
      <c r="PZM253" s="1"/>
      <c r="PZN253" s="1"/>
      <c r="PZO253" s="1"/>
      <c r="PZP253" s="1"/>
      <c r="PZQ253" s="1"/>
      <c r="PZR253" s="1"/>
      <c r="PZS253" s="1"/>
      <c r="PZT253" s="1"/>
      <c r="PZU253" s="1"/>
      <c r="PZV253" s="1"/>
      <c r="PZW253" s="1"/>
      <c r="PZX253" s="1"/>
      <c r="PZY253" s="1"/>
      <c r="PZZ253" s="1"/>
      <c r="QAA253" s="1"/>
      <c r="QAB253" s="1"/>
      <c r="QAC253" s="1"/>
      <c r="QAD253" s="1"/>
      <c r="QAE253" s="1"/>
      <c r="QAF253" s="1"/>
      <c r="QAG253" s="1"/>
      <c r="QAH253" s="1"/>
      <c r="QAI253" s="1"/>
      <c r="QAJ253" s="1"/>
      <c r="QAK253" s="1"/>
      <c r="QAL253" s="1"/>
      <c r="QAM253" s="1"/>
      <c r="QAN253" s="1"/>
      <c r="QAO253" s="1"/>
      <c r="QAP253" s="1"/>
      <c r="QAQ253" s="1"/>
      <c r="QAR253" s="1"/>
      <c r="QAS253" s="1"/>
      <c r="QAT253" s="1"/>
      <c r="QAU253" s="1"/>
      <c r="QAV253" s="1"/>
      <c r="QAW253" s="1"/>
      <c r="QAX253" s="1"/>
      <c r="QAY253" s="1"/>
      <c r="QAZ253" s="1"/>
      <c r="QBA253" s="1"/>
      <c r="QBB253" s="1"/>
      <c r="QBC253" s="1"/>
      <c r="QBD253" s="1"/>
      <c r="QBE253" s="1"/>
      <c r="QBF253" s="1"/>
      <c r="QBG253" s="1"/>
      <c r="QBH253" s="1"/>
      <c r="QBI253" s="1"/>
      <c r="QBJ253" s="1"/>
      <c r="QBK253" s="1"/>
      <c r="QBL253" s="1"/>
      <c r="QBM253" s="1"/>
      <c r="QBN253" s="1"/>
      <c r="QBO253" s="1"/>
      <c r="QBP253" s="1"/>
      <c r="QBQ253" s="1"/>
      <c r="QBR253" s="1"/>
      <c r="QBS253" s="1"/>
      <c r="QBT253" s="1"/>
      <c r="QBU253" s="1"/>
      <c r="QBV253" s="1"/>
      <c r="QBW253" s="1"/>
      <c r="QBX253" s="1"/>
      <c r="QBY253" s="1"/>
      <c r="QBZ253" s="1"/>
      <c r="QCA253" s="1"/>
      <c r="QCB253" s="1"/>
      <c r="QCC253" s="1"/>
      <c r="QCD253" s="1"/>
      <c r="QCE253" s="1"/>
      <c r="QCF253" s="1"/>
      <c r="QCG253" s="1"/>
      <c r="QCH253" s="1"/>
      <c r="QCI253" s="1"/>
      <c r="QCJ253" s="1"/>
      <c r="QCK253" s="1"/>
      <c r="QCL253" s="1"/>
      <c r="QCM253" s="1"/>
      <c r="QCN253" s="1"/>
      <c r="QCO253" s="1"/>
      <c r="QCP253" s="1"/>
      <c r="QCQ253" s="1"/>
      <c r="QCR253" s="1"/>
      <c r="QCS253" s="1"/>
      <c r="QCT253" s="1"/>
      <c r="QCU253" s="1"/>
      <c r="QCV253" s="1"/>
      <c r="QCW253" s="1"/>
      <c r="QCX253" s="1"/>
      <c r="QCY253" s="1"/>
      <c r="QCZ253" s="1"/>
      <c r="QDA253" s="1"/>
      <c r="QDB253" s="1"/>
      <c r="QDC253" s="1"/>
      <c r="QDD253" s="1"/>
      <c r="QDE253" s="1"/>
      <c r="QDF253" s="1"/>
      <c r="QDG253" s="1"/>
      <c r="QDH253" s="1"/>
      <c r="QDI253" s="1"/>
      <c r="QDJ253" s="1"/>
      <c r="QDK253" s="1"/>
      <c r="QDL253" s="1"/>
      <c r="QDM253" s="1"/>
      <c r="QDN253" s="1"/>
      <c r="QDO253" s="1"/>
      <c r="QDP253" s="1"/>
      <c r="QDQ253" s="1"/>
      <c r="QDR253" s="1"/>
      <c r="QDS253" s="1"/>
      <c r="QDT253" s="1"/>
      <c r="QDU253" s="1"/>
      <c r="QDV253" s="1"/>
      <c r="QDW253" s="1"/>
      <c r="QDX253" s="1"/>
      <c r="QDY253" s="1"/>
      <c r="QDZ253" s="1"/>
      <c r="QEA253" s="1"/>
      <c r="QEB253" s="1"/>
      <c r="QEC253" s="1"/>
      <c r="QED253" s="1"/>
      <c r="QEE253" s="1"/>
      <c r="QEF253" s="1"/>
      <c r="QEG253" s="1"/>
      <c r="QEH253" s="1"/>
      <c r="QEI253" s="1"/>
      <c r="QEJ253" s="1"/>
      <c r="QEK253" s="1"/>
      <c r="QEL253" s="1"/>
      <c r="QEM253" s="1"/>
      <c r="QEN253" s="1"/>
      <c r="QEO253" s="1"/>
      <c r="QEP253" s="1"/>
      <c r="QEQ253" s="1"/>
      <c r="QER253" s="1"/>
      <c r="QES253" s="1"/>
      <c r="QET253" s="1"/>
      <c r="QEU253" s="1"/>
      <c r="QEV253" s="1"/>
      <c r="QEW253" s="1"/>
      <c r="QEX253" s="1"/>
      <c r="QEY253" s="1"/>
      <c r="QEZ253" s="1"/>
      <c r="QFA253" s="1"/>
      <c r="QFB253" s="1"/>
      <c r="QFC253" s="1"/>
      <c r="QFD253" s="1"/>
      <c r="QFE253" s="1"/>
      <c r="QFF253" s="1"/>
      <c r="QFG253" s="1"/>
      <c r="QFH253" s="1"/>
      <c r="QFI253" s="1"/>
      <c r="QFJ253" s="1"/>
      <c r="QFK253" s="1"/>
      <c r="QFL253" s="1"/>
      <c r="QFM253" s="1"/>
      <c r="QFN253" s="1"/>
      <c r="QFO253" s="1"/>
      <c r="QFP253" s="1"/>
      <c r="QFQ253" s="1"/>
      <c r="QFR253" s="1"/>
      <c r="QFS253" s="1"/>
      <c r="QFT253" s="1"/>
      <c r="QFU253" s="1"/>
      <c r="QFV253" s="1"/>
      <c r="QFW253" s="1"/>
      <c r="QFX253" s="1"/>
      <c r="QFY253" s="1"/>
      <c r="QFZ253" s="1"/>
      <c r="QGA253" s="1"/>
      <c r="QGB253" s="1"/>
      <c r="QGC253" s="1"/>
      <c r="QGD253" s="1"/>
      <c r="QGE253" s="1"/>
      <c r="QGF253" s="1"/>
      <c r="QGG253" s="1"/>
      <c r="QGH253" s="1"/>
      <c r="QGI253" s="1"/>
      <c r="QGJ253" s="1"/>
      <c r="QGK253" s="1"/>
      <c r="QGL253" s="1"/>
      <c r="QGM253" s="1"/>
      <c r="QGN253" s="1"/>
      <c r="QGO253" s="1"/>
      <c r="QGP253" s="1"/>
      <c r="QGQ253" s="1"/>
      <c r="QGR253" s="1"/>
      <c r="QGS253" s="1"/>
      <c r="QGT253" s="1"/>
      <c r="QGU253" s="1"/>
      <c r="QGV253" s="1"/>
      <c r="QGW253" s="1"/>
      <c r="QGX253" s="1"/>
      <c r="QGY253" s="1"/>
      <c r="QGZ253" s="1"/>
      <c r="QHA253" s="1"/>
      <c r="QHB253" s="1"/>
      <c r="QHC253" s="1"/>
      <c r="QHD253" s="1"/>
      <c r="QHE253" s="1"/>
      <c r="QHF253" s="1"/>
      <c r="QHG253" s="1"/>
      <c r="QHH253" s="1"/>
      <c r="QHI253" s="1"/>
      <c r="QHJ253" s="1"/>
      <c r="QHK253" s="1"/>
      <c r="QHL253" s="1"/>
      <c r="QHM253" s="1"/>
      <c r="QHN253" s="1"/>
      <c r="QHO253" s="1"/>
      <c r="QHP253" s="1"/>
      <c r="QHQ253" s="1"/>
      <c r="QHR253" s="1"/>
      <c r="QHS253" s="1"/>
      <c r="QHT253" s="1"/>
      <c r="QHU253" s="1"/>
      <c r="QHV253" s="1"/>
      <c r="QHW253" s="1"/>
      <c r="QHX253" s="1"/>
      <c r="QHY253" s="1"/>
      <c r="QHZ253" s="1"/>
      <c r="QIA253" s="1"/>
      <c r="QIB253" s="1"/>
      <c r="QIC253" s="1"/>
      <c r="QID253" s="1"/>
      <c r="QIE253" s="1"/>
      <c r="QIF253" s="1"/>
      <c r="QIG253" s="1"/>
      <c r="QIH253" s="1"/>
      <c r="QII253" s="1"/>
      <c r="QIJ253" s="1"/>
      <c r="QIK253" s="1"/>
      <c r="QIL253" s="1"/>
      <c r="QIM253" s="1"/>
      <c r="QIN253" s="1"/>
      <c r="QIO253" s="1"/>
      <c r="QIP253" s="1"/>
      <c r="QIQ253" s="1"/>
      <c r="QIR253" s="1"/>
      <c r="QIS253" s="1"/>
      <c r="QIT253" s="1"/>
      <c r="QIU253" s="1"/>
      <c r="QIV253" s="1"/>
      <c r="QIW253" s="1"/>
      <c r="QIX253" s="1"/>
      <c r="QIY253" s="1"/>
      <c r="QIZ253" s="1"/>
      <c r="QJA253" s="1"/>
      <c r="QJB253" s="1"/>
      <c r="QJC253" s="1"/>
      <c r="QJD253" s="1"/>
      <c r="QJE253" s="1"/>
      <c r="QJF253" s="1"/>
      <c r="QJG253" s="1"/>
      <c r="QJH253" s="1"/>
      <c r="QJI253" s="1"/>
      <c r="QJJ253" s="1"/>
      <c r="QJK253" s="1"/>
      <c r="QJL253" s="1"/>
      <c r="QJM253" s="1"/>
      <c r="QJN253" s="1"/>
      <c r="QJO253" s="1"/>
      <c r="QJP253" s="1"/>
      <c r="QJQ253" s="1"/>
      <c r="QJR253" s="1"/>
      <c r="QJS253" s="1"/>
      <c r="QJT253" s="1"/>
      <c r="QJU253" s="1"/>
      <c r="QJV253" s="1"/>
      <c r="QJW253" s="1"/>
      <c r="QJX253" s="1"/>
      <c r="QJY253" s="1"/>
      <c r="QJZ253" s="1"/>
      <c r="QKA253" s="1"/>
      <c r="QKB253" s="1"/>
      <c r="QKC253" s="1"/>
      <c r="QKD253" s="1"/>
      <c r="QKE253" s="1"/>
      <c r="QKF253" s="1"/>
      <c r="QKG253" s="1"/>
      <c r="QKH253" s="1"/>
      <c r="QKI253" s="1"/>
      <c r="QKJ253" s="1"/>
      <c r="QKK253" s="1"/>
      <c r="QKL253" s="1"/>
      <c r="QKM253" s="1"/>
      <c r="QKN253" s="1"/>
      <c r="QKO253" s="1"/>
      <c r="QKP253" s="1"/>
      <c r="QKQ253" s="1"/>
      <c r="QKR253" s="1"/>
      <c r="QKS253" s="1"/>
      <c r="QKT253" s="1"/>
      <c r="QKU253" s="1"/>
      <c r="QKV253" s="1"/>
      <c r="QKW253" s="1"/>
      <c r="QKX253" s="1"/>
      <c r="QKY253" s="1"/>
      <c r="QKZ253" s="1"/>
      <c r="QLA253" s="1"/>
      <c r="QLB253" s="1"/>
      <c r="QLC253" s="1"/>
      <c r="QLD253" s="1"/>
      <c r="QLE253" s="1"/>
      <c r="QLF253" s="1"/>
      <c r="QLG253" s="1"/>
      <c r="QLH253" s="1"/>
      <c r="QLI253" s="1"/>
      <c r="QLJ253" s="1"/>
      <c r="QLK253" s="1"/>
      <c r="QLL253" s="1"/>
      <c r="QLM253" s="1"/>
      <c r="QLN253" s="1"/>
      <c r="QLO253" s="1"/>
      <c r="QLP253" s="1"/>
      <c r="QLQ253" s="1"/>
      <c r="QLR253" s="1"/>
      <c r="QLS253" s="1"/>
      <c r="QLT253" s="1"/>
      <c r="QLU253" s="1"/>
      <c r="QLV253" s="1"/>
      <c r="QLW253" s="1"/>
      <c r="QLX253" s="1"/>
      <c r="QLY253" s="1"/>
      <c r="QLZ253" s="1"/>
      <c r="QMA253" s="1"/>
      <c r="QMB253" s="1"/>
      <c r="QMC253" s="1"/>
      <c r="QMD253" s="1"/>
      <c r="QME253" s="1"/>
      <c r="QMF253" s="1"/>
      <c r="QMG253" s="1"/>
      <c r="QMH253" s="1"/>
      <c r="QMI253" s="1"/>
      <c r="QMJ253" s="1"/>
      <c r="QMK253" s="1"/>
      <c r="QML253" s="1"/>
      <c r="QMM253" s="1"/>
      <c r="QMN253" s="1"/>
      <c r="QMO253" s="1"/>
      <c r="QMP253" s="1"/>
      <c r="QMQ253" s="1"/>
      <c r="QMR253" s="1"/>
      <c r="QMS253" s="1"/>
      <c r="QMT253" s="1"/>
      <c r="QMU253" s="1"/>
      <c r="QMV253" s="1"/>
      <c r="QMW253" s="1"/>
      <c r="QMX253" s="1"/>
      <c r="QMY253" s="1"/>
      <c r="QMZ253" s="1"/>
      <c r="QNA253" s="1"/>
      <c r="QNB253" s="1"/>
      <c r="QNC253" s="1"/>
      <c r="QND253" s="1"/>
      <c r="QNE253" s="1"/>
      <c r="QNF253" s="1"/>
      <c r="QNG253" s="1"/>
      <c r="QNH253" s="1"/>
      <c r="QNI253" s="1"/>
      <c r="QNJ253" s="1"/>
      <c r="QNK253" s="1"/>
      <c r="QNL253" s="1"/>
      <c r="QNM253" s="1"/>
      <c r="QNN253" s="1"/>
      <c r="QNO253" s="1"/>
      <c r="QNP253" s="1"/>
      <c r="QNQ253" s="1"/>
      <c r="QNR253" s="1"/>
      <c r="QNS253" s="1"/>
      <c r="QNT253" s="1"/>
      <c r="QNU253" s="1"/>
      <c r="QNV253" s="1"/>
      <c r="QNW253" s="1"/>
      <c r="QNX253" s="1"/>
      <c r="QNY253" s="1"/>
      <c r="QNZ253" s="1"/>
      <c r="QOA253" s="1"/>
      <c r="QOB253" s="1"/>
      <c r="QOC253" s="1"/>
      <c r="QOD253" s="1"/>
      <c r="QOE253" s="1"/>
      <c r="QOF253" s="1"/>
      <c r="QOG253" s="1"/>
      <c r="QOH253" s="1"/>
      <c r="QOI253" s="1"/>
      <c r="QOJ253" s="1"/>
      <c r="QOK253" s="1"/>
      <c r="QOL253" s="1"/>
      <c r="QOM253" s="1"/>
      <c r="QON253" s="1"/>
      <c r="QOO253" s="1"/>
      <c r="QOP253" s="1"/>
      <c r="QOQ253" s="1"/>
      <c r="QOR253" s="1"/>
      <c r="QOS253" s="1"/>
      <c r="QOT253" s="1"/>
      <c r="QOU253" s="1"/>
      <c r="QOV253" s="1"/>
      <c r="QOW253" s="1"/>
      <c r="QOX253" s="1"/>
      <c r="QOY253" s="1"/>
      <c r="QOZ253" s="1"/>
      <c r="QPA253" s="1"/>
      <c r="QPB253" s="1"/>
      <c r="QPC253" s="1"/>
      <c r="QPD253" s="1"/>
      <c r="QPE253" s="1"/>
      <c r="QPF253" s="1"/>
      <c r="QPG253" s="1"/>
      <c r="QPH253" s="1"/>
      <c r="QPI253" s="1"/>
      <c r="QPJ253" s="1"/>
      <c r="QPK253" s="1"/>
      <c r="QPL253" s="1"/>
      <c r="QPM253" s="1"/>
      <c r="QPN253" s="1"/>
      <c r="QPO253" s="1"/>
      <c r="QPP253" s="1"/>
      <c r="QPQ253" s="1"/>
      <c r="QPR253" s="1"/>
      <c r="QPS253" s="1"/>
      <c r="QPT253" s="1"/>
      <c r="QPU253" s="1"/>
      <c r="QPV253" s="1"/>
      <c r="QPW253" s="1"/>
      <c r="QPX253" s="1"/>
      <c r="QPY253" s="1"/>
      <c r="QPZ253" s="1"/>
      <c r="QQA253" s="1"/>
      <c r="QQB253" s="1"/>
      <c r="QQC253" s="1"/>
      <c r="QQD253" s="1"/>
      <c r="QQE253" s="1"/>
      <c r="QQF253" s="1"/>
      <c r="QQG253" s="1"/>
      <c r="QQH253" s="1"/>
      <c r="QQI253" s="1"/>
      <c r="QQJ253" s="1"/>
      <c r="QQK253" s="1"/>
      <c r="QQL253" s="1"/>
      <c r="QQM253" s="1"/>
      <c r="QQN253" s="1"/>
      <c r="QQO253" s="1"/>
      <c r="QQP253" s="1"/>
      <c r="QQQ253" s="1"/>
      <c r="QQR253" s="1"/>
      <c r="QQS253" s="1"/>
      <c r="QQT253" s="1"/>
      <c r="QQU253" s="1"/>
      <c r="QQV253" s="1"/>
      <c r="QQW253" s="1"/>
      <c r="QQX253" s="1"/>
      <c r="QQY253" s="1"/>
      <c r="QQZ253" s="1"/>
      <c r="QRA253" s="1"/>
      <c r="QRB253" s="1"/>
      <c r="QRC253" s="1"/>
      <c r="QRD253" s="1"/>
      <c r="QRE253" s="1"/>
      <c r="QRF253" s="1"/>
      <c r="QRG253" s="1"/>
      <c r="QRH253" s="1"/>
      <c r="QRI253" s="1"/>
      <c r="QRJ253" s="1"/>
      <c r="QRK253" s="1"/>
      <c r="QRL253" s="1"/>
      <c r="QRM253" s="1"/>
      <c r="QRN253" s="1"/>
      <c r="QRO253" s="1"/>
      <c r="QRP253" s="1"/>
      <c r="QRQ253" s="1"/>
      <c r="QRR253" s="1"/>
      <c r="QRS253" s="1"/>
      <c r="QRT253" s="1"/>
      <c r="QRU253" s="1"/>
      <c r="QRV253" s="1"/>
      <c r="QRW253" s="1"/>
      <c r="QRX253" s="1"/>
      <c r="QRY253" s="1"/>
      <c r="QRZ253" s="1"/>
      <c r="QSA253" s="1"/>
      <c r="QSB253" s="1"/>
      <c r="QSC253" s="1"/>
      <c r="QSD253" s="1"/>
      <c r="QSE253" s="1"/>
      <c r="QSF253" s="1"/>
      <c r="QSG253" s="1"/>
      <c r="QSH253" s="1"/>
      <c r="QSI253" s="1"/>
      <c r="QSJ253" s="1"/>
      <c r="QSK253" s="1"/>
      <c r="QSL253" s="1"/>
      <c r="QSM253" s="1"/>
      <c r="QSN253" s="1"/>
      <c r="QSO253" s="1"/>
      <c r="QSP253" s="1"/>
      <c r="QSQ253" s="1"/>
      <c r="QSR253" s="1"/>
      <c r="QSS253" s="1"/>
      <c r="QST253" s="1"/>
      <c r="QSU253" s="1"/>
      <c r="QSV253" s="1"/>
      <c r="QSW253" s="1"/>
      <c r="QSX253" s="1"/>
      <c r="QSY253" s="1"/>
      <c r="QSZ253" s="1"/>
      <c r="QTA253" s="1"/>
      <c r="QTB253" s="1"/>
      <c r="QTC253" s="1"/>
      <c r="QTD253" s="1"/>
      <c r="QTE253" s="1"/>
      <c r="QTF253" s="1"/>
      <c r="QTG253" s="1"/>
      <c r="QTH253" s="1"/>
      <c r="QTI253" s="1"/>
      <c r="QTJ253" s="1"/>
      <c r="QTK253" s="1"/>
      <c r="QTL253" s="1"/>
      <c r="QTM253" s="1"/>
      <c r="QTN253" s="1"/>
      <c r="QTO253" s="1"/>
      <c r="QTP253" s="1"/>
      <c r="QTQ253" s="1"/>
      <c r="QTR253" s="1"/>
      <c r="QTS253" s="1"/>
      <c r="QTT253" s="1"/>
      <c r="QTU253" s="1"/>
      <c r="QTV253" s="1"/>
      <c r="QTW253" s="1"/>
      <c r="QTX253" s="1"/>
      <c r="QTY253" s="1"/>
      <c r="QTZ253" s="1"/>
      <c r="QUA253" s="1"/>
      <c r="QUB253" s="1"/>
      <c r="QUC253" s="1"/>
      <c r="QUD253" s="1"/>
      <c r="QUE253" s="1"/>
      <c r="QUF253" s="1"/>
      <c r="QUG253" s="1"/>
      <c r="QUH253" s="1"/>
      <c r="QUI253" s="1"/>
      <c r="QUJ253" s="1"/>
      <c r="QUK253" s="1"/>
      <c r="QUL253" s="1"/>
      <c r="QUM253" s="1"/>
      <c r="QUN253" s="1"/>
      <c r="QUO253" s="1"/>
      <c r="QUP253" s="1"/>
      <c r="QUQ253" s="1"/>
      <c r="QUR253" s="1"/>
      <c r="QUS253" s="1"/>
      <c r="QUT253" s="1"/>
      <c r="QUU253" s="1"/>
      <c r="QUV253" s="1"/>
      <c r="QUW253" s="1"/>
      <c r="QUX253" s="1"/>
      <c r="QUY253" s="1"/>
      <c r="QUZ253" s="1"/>
      <c r="QVA253" s="1"/>
      <c r="QVB253" s="1"/>
      <c r="QVC253" s="1"/>
      <c r="QVD253" s="1"/>
      <c r="QVE253" s="1"/>
      <c r="QVF253" s="1"/>
      <c r="QVG253" s="1"/>
      <c r="QVH253" s="1"/>
      <c r="QVI253" s="1"/>
      <c r="QVJ253" s="1"/>
      <c r="QVK253" s="1"/>
      <c r="QVL253" s="1"/>
      <c r="QVM253" s="1"/>
      <c r="QVN253" s="1"/>
      <c r="QVO253" s="1"/>
      <c r="QVP253" s="1"/>
      <c r="QVQ253" s="1"/>
      <c r="QVR253" s="1"/>
      <c r="QVS253" s="1"/>
      <c r="QVT253" s="1"/>
      <c r="QVU253" s="1"/>
      <c r="QVV253" s="1"/>
      <c r="QVW253" s="1"/>
      <c r="QVX253" s="1"/>
      <c r="QVY253" s="1"/>
      <c r="QVZ253" s="1"/>
      <c r="QWA253" s="1"/>
      <c r="QWB253" s="1"/>
      <c r="QWC253" s="1"/>
      <c r="QWD253" s="1"/>
      <c r="QWE253" s="1"/>
      <c r="QWF253" s="1"/>
      <c r="QWG253" s="1"/>
      <c r="QWH253" s="1"/>
      <c r="QWI253" s="1"/>
      <c r="QWJ253" s="1"/>
      <c r="QWK253" s="1"/>
      <c r="QWL253" s="1"/>
      <c r="QWM253" s="1"/>
      <c r="QWN253" s="1"/>
      <c r="QWO253" s="1"/>
      <c r="QWP253" s="1"/>
      <c r="QWQ253" s="1"/>
      <c r="QWR253" s="1"/>
      <c r="QWS253" s="1"/>
      <c r="QWT253" s="1"/>
      <c r="QWU253" s="1"/>
      <c r="QWV253" s="1"/>
      <c r="QWW253" s="1"/>
      <c r="QWX253" s="1"/>
      <c r="QWY253" s="1"/>
      <c r="QWZ253" s="1"/>
      <c r="QXA253" s="1"/>
      <c r="QXB253" s="1"/>
      <c r="QXC253" s="1"/>
      <c r="QXD253" s="1"/>
      <c r="QXE253" s="1"/>
      <c r="QXF253" s="1"/>
      <c r="QXG253" s="1"/>
      <c r="QXH253" s="1"/>
      <c r="QXI253" s="1"/>
      <c r="QXJ253" s="1"/>
      <c r="QXK253" s="1"/>
      <c r="QXL253" s="1"/>
      <c r="QXM253" s="1"/>
      <c r="QXN253" s="1"/>
      <c r="QXO253" s="1"/>
      <c r="QXP253" s="1"/>
      <c r="QXQ253" s="1"/>
      <c r="QXR253" s="1"/>
      <c r="QXS253" s="1"/>
      <c r="QXT253" s="1"/>
      <c r="QXU253" s="1"/>
      <c r="QXV253" s="1"/>
      <c r="QXW253" s="1"/>
      <c r="QXX253" s="1"/>
      <c r="QXY253" s="1"/>
      <c r="QXZ253" s="1"/>
      <c r="QYA253" s="1"/>
      <c r="QYB253" s="1"/>
      <c r="QYC253" s="1"/>
      <c r="QYD253" s="1"/>
      <c r="QYE253" s="1"/>
      <c r="QYF253" s="1"/>
      <c r="QYG253" s="1"/>
      <c r="QYH253" s="1"/>
      <c r="QYI253" s="1"/>
      <c r="QYJ253" s="1"/>
      <c r="QYK253" s="1"/>
      <c r="QYL253" s="1"/>
      <c r="QYM253" s="1"/>
      <c r="QYN253" s="1"/>
      <c r="QYO253" s="1"/>
      <c r="QYP253" s="1"/>
      <c r="QYQ253" s="1"/>
      <c r="QYR253" s="1"/>
      <c r="QYS253" s="1"/>
      <c r="QYT253" s="1"/>
      <c r="QYU253" s="1"/>
      <c r="QYV253" s="1"/>
      <c r="QYW253" s="1"/>
      <c r="QYX253" s="1"/>
      <c r="QYY253" s="1"/>
      <c r="QYZ253" s="1"/>
      <c r="QZA253" s="1"/>
      <c r="QZB253" s="1"/>
      <c r="QZC253" s="1"/>
      <c r="QZD253" s="1"/>
      <c r="QZE253" s="1"/>
      <c r="QZF253" s="1"/>
      <c r="QZG253" s="1"/>
      <c r="QZH253" s="1"/>
      <c r="QZI253" s="1"/>
      <c r="QZJ253" s="1"/>
      <c r="QZK253" s="1"/>
      <c r="QZL253" s="1"/>
      <c r="QZM253" s="1"/>
      <c r="QZN253" s="1"/>
      <c r="QZO253" s="1"/>
      <c r="QZP253" s="1"/>
      <c r="QZQ253" s="1"/>
      <c r="QZR253" s="1"/>
      <c r="QZS253" s="1"/>
      <c r="QZT253" s="1"/>
      <c r="QZU253" s="1"/>
      <c r="QZV253" s="1"/>
      <c r="QZW253" s="1"/>
      <c r="QZX253" s="1"/>
      <c r="QZY253" s="1"/>
      <c r="QZZ253" s="1"/>
      <c r="RAA253" s="1"/>
      <c r="RAB253" s="1"/>
      <c r="RAC253" s="1"/>
      <c r="RAD253" s="1"/>
      <c r="RAE253" s="1"/>
      <c r="RAF253" s="1"/>
      <c r="RAG253" s="1"/>
      <c r="RAH253" s="1"/>
      <c r="RAI253" s="1"/>
      <c r="RAJ253" s="1"/>
      <c r="RAK253" s="1"/>
      <c r="RAL253" s="1"/>
      <c r="RAM253" s="1"/>
      <c r="RAN253" s="1"/>
      <c r="RAO253" s="1"/>
      <c r="RAP253" s="1"/>
      <c r="RAQ253" s="1"/>
      <c r="RAR253" s="1"/>
      <c r="RAS253" s="1"/>
      <c r="RAT253" s="1"/>
      <c r="RAU253" s="1"/>
      <c r="RAV253" s="1"/>
      <c r="RAW253" s="1"/>
      <c r="RAX253" s="1"/>
      <c r="RAY253" s="1"/>
      <c r="RAZ253" s="1"/>
      <c r="RBA253" s="1"/>
      <c r="RBB253" s="1"/>
      <c r="RBC253" s="1"/>
      <c r="RBD253" s="1"/>
      <c r="RBE253" s="1"/>
      <c r="RBF253" s="1"/>
      <c r="RBG253" s="1"/>
      <c r="RBH253" s="1"/>
      <c r="RBI253" s="1"/>
      <c r="RBJ253" s="1"/>
      <c r="RBK253" s="1"/>
      <c r="RBL253" s="1"/>
      <c r="RBM253" s="1"/>
      <c r="RBN253" s="1"/>
      <c r="RBO253" s="1"/>
      <c r="RBP253" s="1"/>
      <c r="RBQ253" s="1"/>
      <c r="RBR253" s="1"/>
      <c r="RBS253" s="1"/>
      <c r="RBT253" s="1"/>
      <c r="RBU253" s="1"/>
      <c r="RBV253" s="1"/>
      <c r="RBW253" s="1"/>
      <c r="RBX253" s="1"/>
      <c r="RBY253" s="1"/>
      <c r="RBZ253" s="1"/>
      <c r="RCA253" s="1"/>
      <c r="RCB253" s="1"/>
      <c r="RCC253" s="1"/>
      <c r="RCD253" s="1"/>
      <c r="RCE253" s="1"/>
      <c r="RCF253" s="1"/>
      <c r="RCG253" s="1"/>
      <c r="RCH253" s="1"/>
      <c r="RCI253" s="1"/>
      <c r="RCJ253" s="1"/>
      <c r="RCK253" s="1"/>
      <c r="RCL253" s="1"/>
      <c r="RCM253" s="1"/>
      <c r="RCN253" s="1"/>
      <c r="RCO253" s="1"/>
      <c r="RCP253" s="1"/>
      <c r="RCQ253" s="1"/>
      <c r="RCR253" s="1"/>
      <c r="RCS253" s="1"/>
      <c r="RCT253" s="1"/>
      <c r="RCU253" s="1"/>
      <c r="RCV253" s="1"/>
      <c r="RCW253" s="1"/>
      <c r="RCX253" s="1"/>
      <c r="RCY253" s="1"/>
      <c r="RCZ253" s="1"/>
      <c r="RDA253" s="1"/>
      <c r="RDB253" s="1"/>
      <c r="RDC253" s="1"/>
      <c r="RDD253" s="1"/>
      <c r="RDE253" s="1"/>
      <c r="RDF253" s="1"/>
      <c r="RDG253" s="1"/>
      <c r="RDH253" s="1"/>
      <c r="RDI253" s="1"/>
      <c r="RDJ253" s="1"/>
      <c r="RDK253" s="1"/>
      <c r="RDL253" s="1"/>
      <c r="RDM253" s="1"/>
      <c r="RDN253" s="1"/>
      <c r="RDO253" s="1"/>
      <c r="RDP253" s="1"/>
      <c r="RDQ253" s="1"/>
      <c r="RDR253" s="1"/>
      <c r="RDS253" s="1"/>
      <c r="RDT253" s="1"/>
      <c r="RDU253" s="1"/>
      <c r="RDV253" s="1"/>
      <c r="RDW253" s="1"/>
      <c r="RDX253" s="1"/>
      <c r="RDY253" s="1"/>
      <c r="RDZ253" s="1"/>
      <c r="REA253" s="1"/>
      <c r="REB253" s="1"/>
      <c r="REC253" s="1"/>
      <c r="RED253" s="1"/>
      <c r="REE253" s="1"/>
      <c r="REF253" s="1"/>
      <c r="REG253" s="1"/>
      <c r="REH253" s="1"/>
      <c r="REI253" s="1"/>
      <c r="REJ253" s="1"/>
      <c r="REK253" s="1"/>
      <c r="REL253" s="1"/>
      <c r="REM253" s="1"/>
      <c r="REN253" s="1"/>
      <c r="REO253" s="1"/>
      <c r="REP253" s="1"/>
      <c r="REQ253" s="1"/>
      <c r="RER253" s="1"/>
      <c r="RES253" s="1"/>
      <c r="RET253" s="1"/>
      <c r="REU253" s="1"/>
      <c r="REV253" s="1"/>
      <c r="REW253" s="1"/>
      <c r="REX253" s="1"/>
      <c r="REY253" s="1"/>
      <c r="REZ253" s="1"/>
      <c r="RFA253" s="1"/>
      <c r="RFB253" s="1"/>
      <c r="RFC253" s="1"/>
      <c r="RFD253" s="1"/>
      <c r="RFE253" s="1"/>
      <c r="RFF253" s="1"/>
      <c r="RFG253" s="1"/>
      <c r="RFH253" s="1"/>
      <c r="RFI253" s="1"/>
      <c r="RFJ253" s="1"/>
      <c r="RFK253" s="1"/>
      <c r="RFL253" s="1"/>
      <c r="RFM253" s="1"/>
      <c r="RFN253" s="1"/>
      <c r="RFO253" s="1"/>
      <c r="RFP253" s="1"/>
      <c r="RFQ253" s="1"/>
      <c r="RFR253" s="1"/>
      <c r="RFS253" s="1"/>
      <c r="RFT253" s="1"/>
      <c r="RFU253" s="1"/>
      <c r="RFV253" s="1"/>
      <c r="RFW253" s="1"/>
      <c r="RFX253" s="1"/>
      <c r="RFY253" s="1"/>
      <c r="RFZ253" s="1"/>
      <c r="RGA253" s="1"/>
      <c r="RGB253" s="1"/>
      <c r="RGC253" s="1"/>
      <c r="RGD253" s="1"/>
      <c r="RGE253" s="1"/>
      <c r="RGF253" s="1"/>
      <c r="RGG253" s="1"/>
      <c r="RGH253" s="1"/>
      <c r="RGI253" s="1"/>
      <c r="RGJ253" s="1"/>
      <c r="RGK253" s="1"/>
      <c r="RGL253" s="1"/>
      <c r="RGM253" s="1"/>
      <c r="RGN253" s="1"/>
      <c r="RGO253" s="1"/>
      <c r="RGP253" s="1"/>
      <c r="RGQ253" s="1"/>
      <c r="RGR253" s="1"/>
      <c r="RGS253" s="1"/>
      <c r="RGT253" s="1"/>
      <c r="RGU253" s="1"/>
      <c r="RGV253" s="1"/>
      <c r="RGW253" s="1"/>
      <c r="RGX253" s="1"/>
      <c r="RGY253" s="1"/>
      <c r="RGZ253" s="1"/>
      <c r="RHA253" s="1"/>
      <c r="RHB253" s="1"/>
      <c r="RHC253" s="1"/>
      <c r="RHD253" s="1"/>
      <c r="RHE253" s="1"/>
      <c r="RHF253" s="1"/>
      <c r="RHG253" s="1"/>
      <c r="RHH253" s="1"/>
      <c r="RHI253" s="1"/>
      <c r="RHJ253" s="1"/>
      <c r="RHK253" s="1"/>
      <c r="RHL253" s="1"/>
      <c r="RHM253" s="1"/>
      <c r="RHN253" s="1"/>
      <c r="RHO253" s="1"/>
      <c r="RHP253" s="1"/>
      <c r="RHQ253" s="1"/>
      <c r="RHR253" s="1"/>
      <c r="RHS253" s="1"/>
      <c r="RHT253" s="1"/>
      <c r="RHU253" s="1"/>
      <c r="RHV253" s="1"/>
      <c r="RHW253" s="1"/>
      <c r="RHX253" s="1"/>
      <c r="RHY253" s="1"/>
      <c r="RHZ253" s="1"/>
      <c r="RIA253" s="1"/>
      <c r="RIB253" s="1"/>
      <c r="RIC253" s="1"/>
      <c r="RID253" s="1"/>
      <c r="RIE253" s="1"/>
      <c r="RIF253" s="1"/>
      <c r="RIG253" s="1"/>
      <c r="RIH253" s="1"/>
      <c r="RII253" s="1"/>
      <c r="RIJ253" s="1"/>
      <c r="RIK253" s="1"/>
      <c r="RIL253" s="1"/>
      <c r="RIM253" s="1"/>
      <c r="RIN253" s="1"/>
      <c r="RIO253" s="1"/>
      <c r="RIP253" s="1"/>
      <c r="RIQ253" s="1"/>
      <c r="RIR253" s="1"/>
      <c r="RIS253" s="1"/>
      <c r="RIT253" s="1"/>
      <c r="RIU253" s="1"/>
      <c r="RIV253" s="1"/>
      <c r="RIW253" s="1"/>
      <c r="RIX253" s="1"/>
      <c r="RIY253" s="1"/>
      <c r="RIZ253" s="1"/>
      <c r="RJA253" s="1"/>
      <c r="RJB253" s="1"/>
      <c r="RJC253" s="1"/>
      <c r="RJD253" s="1"/>
      <c r="RJE253" s="1"/>
      <c r="RJF253" s="1"/>
      <c r="RJG253" s="1"/>
      <c r="RJH253" s="1"/>
      <c r="RJI253" s="1"/>
      <c r="RJJ253" s="1"/>
      <c r="RJK253" s="1"/>
      <c r="RJL253" s="1"/>
      <c r="RJM253" s="1"/>
      <c r="RJN253" s="1"/>
      <c r="RJO253" s="1"/>
      <c r="RJP253" s="1"/>
      <c r="RJQ253" s="1"/>
      <c r="RJR253" s="1"/>
      <c r="RJS253" s="1"/>
      <c r="RJT253" s="1"/>
      <c r="RJU253" s="1"/>
      <c r="RJV253" s="1"/>
      <c r="RJW253" s="1"/>
      <c r="RJX253" s="1"/>
      <c r="RJY253" s="1"/>
      <c r="RJZ253" s="1"/>
      <c r="RKA253" s="1"/>
      <c r="RKB253" s="1"/>
      <c r="RKC253" s="1"/>
      <c r="RKD253" s="1"/>
      <c r="RKE253" s="1"/>
      <c r="RKF253" s="1"/>
      <c r="RKG253" s="1"/>
      <c r="RKH253" s="1"/>
      <c r="RKI253" s="1"/>
      <c r="RKJ253" s="1"/>
      <c r="RKK253" s="1"/>
      <c r="RKL253" s="1"/>
      <c r="RKM253" s="1"/>
      <c r="RKN253" s="1"/>
      <c r="RKO253" s="1"/>
      <c r="RKP253" s="1"/>
      <c r="RKQ253" s="1"/>
      <c r="RKR253" s="1"/>
      <c r="RKS253" s="1"/>
      <c r="RKT253" s="1"/>
      <c r="RKU253" s="1"/>
      <c r="RKV253" s="1"/>
      <c r="RKW253" s="1"/>
      <c r="RKX253" s="1"/>
      <c r="RKY253" s="1"/>
      <c r="RKZ253" s="1"/>
      <c r="RLA253" s="1"/>
      <c r="RLB253" s="1"/>
      <c r="RLC253" s="1"/>
      <c r="RLD253" s="1"/>
      <c r="RLE253" s="1"/>
      <c r="RLF253" s="1"/>
      <c r="RLG253" s="1"/>
      <c r="RLH253" s="1"/>
      <c r="RLI253" s="1"/>
      <c r="RLJ253" s="1"/>
      <c r="RLK253" s="1"/>
      <c r="RLL253" s="1"/>
      <c r="RLM253" s="1"/>
      <c r="RLN253" s="1"/>
      <c r="RLO253" s="1"/>
      <c r="RLP253" s="1"/>
      <c r="RLQ253" s="1"/>
      <c r="RLR253" s="1"/>
      <c r="RLS253" s="1"/>
      <c r="RLT253" s="1"/>
      <c r="RLU253" s="1"/>
      <c r="RLV253" s="1"/>
      <c r="RLW253" s="1"/>
      <c r="RLX253" s="1"/>
      <c r="RLY253" s="1"/>
      <c r="RLZ253" s="1"/>
      <c r="RMA253" s="1"/>
      <c r="RMB253" s="1"/>
      <c r="RMC253" s="1"/>
      <c r="RMD253" s="1"/>
      <c r="RME253" s="1"/>
      <c r="RMF253" s="1"/>
      <c r="RMG253" s="1"/>
      <c r="RMH253" s="1"/>
      <c r="RMI253" s="1"/>
      <c r="RMJ253" s="1"/>
      <c r="RMK253" s="1"/>
      <c r="RML253" s="1"/>
      <c r="RMM253" s="1"/>
      <c r="RMN253" s="1"/>
      <c r="RMO253" s="1"/>
      <c r="RMP253" s="1"/>
      <c r="RMQ253" s="1"/>
      <c r="RMR253" s="1"/>
      <c r="RMS253" s="1"/>
      <c r="RMT253" s="1"/>
      <c r="RMU253" s="1"/>
      <c r="RMV253" s="1"/>
      <c r="RMW253" s="1"/>
      <c r="RMX253" s="1"/>
      <c r="RMY253" s="1"/>
      <c r="RMZ253" s="1"/>
      <c r="RNA253" s="1"/>
      <c r="RNB253" s="1"/>
      <c r="RNC253" s="1"/>
      <c r="RND253" s="1"/>
      <c r="RNE253" s="1"/>
      <c r="RNF253" s="1"/>
      <c r="RNG253" s="1"/>
      <c r="RNH253" s="1"/>
      <c r="RNI253" s="1"/>
      <c r="RNJ253" s="1"/>
      <c r="RNK253" s="1"/>
      <c r="RNL253" s="1"/>
      <c r="RNM253" s="1"/>
      <c r="RNN253" s="1"/>
      <c r="RNO253" s="1"/>
      <c r="RNP253" s="1"/>
      <c r="RNQ253" s="1"/>
      <c r="RNR253" s="1"/>
      <c r="RNS253" s="1"/>
      <c r="RNT253" s="1"/>
      <c r="RNU253" s="1"/>
      <c r="RNV253" s="1"/>
      <c r="RNW253" s="1"/>
      <c r="RNX253" s="1"/>
      <c r="RNY253" s="1"/>
      <c r="RNZ253" s="1"/>
      <c r="ROA253" s="1"/>
      <c r="ROB253" s="1"/>
      <c r="ROC253" s="1"/>
      <c r="ROD253" s="1"/>
      <c r="ROE253" s="1"/>
      <c r="ROF253" s="1"/>
      <c r="ROG253" s="1"/>
      <c r="ROH253" s="1"/>
      <c r="ROI253" s="1"/>
      <c r="ROJ253" s="1"/>
      <c r="ROK253" s="1"/>
      <c r="ROL253" s="1"/>
      <c r="ROM253" s="1"/>
      <c r="RON253" s="1"/>
      <c r="ROO253" s="1"/>
      <c r="ROP253" s="1"/>
      <c r="ROQ253" s="1"/>
      <c r="ROR253" s="1"/>
      <c r="ROS253" s="1"/>
      <c r="ROT253" s="1"/>
      <c r="ROU253" s="1"/>
      <c r="ROV253" s="1"/>
      <c r="ROW253" s="1"/>
      <c r="ROX253" s="1"/>
      <c r="ROY253" s="1"/>
      <c r="ROZ253" s="1"/>
      <c r="RPA253" s="1"/>
      <c r="RPB253" s="1"/>
      <c r="RPC253" s="1"/>
      <c r="RPD253" s="1"/>
      <c r="RPE253" s="1"/>
      <c r="RPF253" s="1"/>
      <c r="RPG253" s="1"/>
      <c r="RPH253" s="1"/>
      <c r="RPI253" s="1"/>
      <c r="RPJ253" s="1"/>
      <c r="RPK253" s="1"/>
      <c r="RPL253" s="1"/>
      <c r="RPM253" s="1"/>
      <c r="RPN253" s="1"/>
      <c r="RPO253" s="1"/>
      <c r="RPP253" s="1"/>
      <c r="RPQ253" s="1"/>
      <c r="RPR253" s="1"/>
      <c r="RPS253" s="1"/>
      <c r="RPT253" s="1"/>
      <c r="RPU253" s="1"/>
      <c r="RPV253" s="1"/>
      <c r="RPW253" s="1"/>
      <c r="RPX253" s="1"/>
      <c r="RPY253" s="1"/>
      <c r="RPZ253" s="1"/>
      <c r="RQA253" s="1"/>
      <c r="RQB253" s="1"/>
      <c r="RQC253" s="1"/>
      <c r="RQD253" s="1"/>
      <c r="RQE253" s="1"/>
      <c r="RQF253" s="1"/>
      <c r="RQG253" s="1"/>
      <c r="RQH253" s="1"/>
      <c r="RQI253" s="1"/>
      <c r="RQJ253" s="1"/>
      <c r="RQK253" s="1"/>
      <c r="RQL253" s="1"/>
      <c r="RQM253" s="1"/>
      <c r="RQN253" s="1"/>
      <c r="RQO253" s="1"/>
      <c r="RQP253" s="1"/>
      <c r="RQQ253" s="1"/>
      <c r="RQR253" s="1"/>
      <c r="RQS253" s="1"/>
      <c r="RQT253" s="1"/>
      <c r="RQU253" s="1"/>
      <c r="RQV253" s="1"/>
      <c r="RQW253" s="1"/>
      <c r="RQX253" s="1"/>
      <c r="RQY253" s="1"/>
      <c r="RQZ253" s="1"/>
      <c r="RRA253" s="1"/>
      <c r="RRB253" s="1"/>
      <c r="RRC253" s="1"/>
      <c r="RRD253" s="1"/>
      <c r="RRE253" s="1"/>
      <c r="RRF253" s="1"/>
      <c r="RRG253" s="1"/>
      <c r="RRH253" s="1"/>
      <c r="RRI253" s="1"/>
      <c r="RRJ253" s="1"/>
      <c r="RRK253" s="1"/>
      <c r="RRL253" s="1"/>
      <c r="RRM253" s="1"/>
      <c r="RRN253" s="1"/>
      <c r="RRO253" s="1"/>
      <c r="RRP253" s="1"/>
      <c r="RRQ253" s="1"/>
      <c r="RRR253" s="1"/>
      <c r="RRS253" s="1"/>
      <c r="RRT253" s="1"/>
      <c r="RRU253" s="1"/>
      <c r="RRV253" s="1"/>
      <c r="RRW253" s="1"/>
      <c r="RRX253" s="1"/>
      <c r="RRY253" s="1"/>
      <c r="RRZ253" s="1"/>
      <c r="RSA253" s="1"/>
      <c r="RSB253" s="1"/>
      <c r="RSC253" s="1"/>
      <c r="RSD253" s="1"/>
      <c r="RSE253" s="1"/>
      <c r="RSF253" s="1"/>
      <c r="RSG253" s="1"/>
      <c r="RSH253" s="1"/>
      <c r="RSI253" s="1"/>
      <c r="RSJ253" s="1"/>
      <c r="RSK253" s="1"/>
      <c r="RSL253" s="1"/>
      <c r="RSM253" s="1"/>
      <c r="RSN253" s="1"/>
      <c r="RSO253" s="1"/>
      <c r="RSP253" s="1"/>
      <c r="RSQ253" s="1"/>
      <c r="RSR253" s="1"/>
      <c r="RSS253" s="1"/>
      <c r="RST253" s="1"/>
      <c r="RSU253" s="1"/>
      <c r="RSV253" s="1"/>
      <c r="RSW253" s="1"/>
      <c r="RSX253" s="1"/>
      <c r="RSY253" s="1"/>
      <c r="RSZ253" s="1"/>
      <c r="RTA253" s="1"/>
      <c r="RTB253" s="1"/>
      <c r="RTC253" s="1"/>
      <c r="RTD253" s="1"/>
      <c r="RTE253" s="1"/>
      <c r="RTF253" s="1"/>
      <c r="RTG253" s="1"/>
      <c r="RTH253" s="1"/>
      <c r="RTI253" s="1"/>
      <c r="RTJ253" s="1"/>
      <c r="RTK253" s="1"/>
      <c r="RTL253" s="1"/>
      <c r="RTM253" s="1"/>
      <c r="RTN253" s="1"/>
      <c r="RTO253" s="1"/>
      <c r="RTP253" s="1"/>
      <c r="RTQ253" s="1"/>
      <c r="RTR253" s="1"/>
      <c r="RTS253" s="1"/>
      <c r="RTT253" s="1"/>
      <c r="RTU253" s="1"/>
      <c r="RTV253" s="1"/>
      <c r="RTW253" s="1"/>
      <c r="RTX253" s="1"/>
      <c r="RTY253" s="1"/>
      <c r="RTZ253" s="1"/>
      <c r="RUA253" s="1"/>
      <c r="RUB253" s="1"/>
      <c r="RUC253" s="1"/>
      <c r="RUD253" s="1"/>
      <c r="RUE253" s="1"/>
      <c r="RUF253" s="1"/>
      <c r="RUG253" s="1"/>
      <c r="RUH253" s="1"/>
      <c r="RUI253" s="1"/>
      <c r="RUJ253" s="1"/>
      <c r="RUK253" s="1"/>
      <c r="RUL253" s="1"/>
      <c r="RUM253" s="1"/>
      <c r="RUN253" s="1"/>
      <c r="RUO253" s="1"/>
      <c r="RUP253" s="1"/>
      <c r="RUQ253" s="1"/>
      <c r="RUR253" s="1"/>
      <c r="RUS253" s="1"/>
      <c r="RUT253" s="1"/>
      <c r="RUU253" s="1"/>
      <c r="RUV253" s="1"/>
      <c r="RUW253" s="1"/>
      <c r="RUX253" s="1"/>
      <c r="RUY253" s="1"/>
      <c r="RUZ253" s="1"/>
      <c r="RVA253" s="1"/>
      <c r="RVB253" s="1"/>
      <c r="RVC253" s="1"/>
      <c r="RVD253" s="1"/>
      <c r="RVE253" s="1"/>
      <c r="RVF253" s="1"/>
      <c r="RVG253" s="1"/>
      <c r="RVH253" s="1"/>
      <c r="RVI253" s="1"/>
      <c r="RVJ253" s="1"/>
      <c r="RVK253" s="1"/>
      <c r="RVL253" s="1"/>
      <c r="RVM253" s="1"/>
      <c r="RVN253" s="1"/>
      <c r="RVO253" s="1"/>
      <c r="RVP253" s="1"/>
      <c r="RVQ253" s="1"/>
      <c r="RVR253" s="1"/>
      <c r="RVS253" s="1"/>
      <c r="RVT253" s="1"/>
      <c r="RVU253" s="1"/>
      <c r="RVV253" s="1"/>
      <c r="RVW253" s="1"/>
      <c r="RVX253" s="1"/>
      <c r="RVY253" s="1"/>
      <c r="RVZ253" s="1"/>
      <c r="RWA253" s="1"/>
      <c r="RWB253" s="1"/>
      <c r="RWC253" s="1"/>
      <c r="RWD253" s="1"/>
      <c r="RWE253" s="1"/>
      <c r="RWF253" s="1"/>
      <c r="RWG253" s="1"/>
      <c r="RWH253" s="1"/>
      <c r="RWI253" s="1"/>
      <c r="RWJ253" s="1"/>
      <c r="RWK253" s="1"/>
      <c r="RWL253" s="1"/>
      <c r="RWM253" s="1"/>
      <c r="RWN253" s="1"/>
      <c r="RWO253" s="1"/>
      <c r="RWP253" s="1"/>
      <c r="RWQ253" s="1"/>
      <c r="RWR253" s="1"/>
      <c r="RWS253" s="1"/>
      <c r="RWT253" s="1"/>
      <c r="RWU253" s="1"/>
      <c r="RWV253" s="1"/>
      <c r="RWW253" s="1"/>
      <c r="RWX253" s="1"/>
      <c r="RWY253" s="1"/>
      <c r="RWZ253" s="1"/>
      <c r="RXA253" s="1"/>
      <c r="RXB253" s="1"/>
      <c r="RXC253" s="1"/>
      <c r="RXD253" s="1"/>
      <c r="RXE253" s="1"/>
      <c r="RXF253" s="1"/>
      <c r="RXG253" s="1"/>
      <c r="RXH253" s="1"/>
      <c r="RXI253" s="1"/>
      <c r="RXJ253" s="1"/>
      <c r="RXK253" s="1"/>
      <c r="RXL253" s="1"/>
      <c r="RXM253" s="1"/>
      <c r="RXN253" s="1"/>
      <c r="RXO253" s="1"/>
      <c r="RXP253" s="1"/>
      <c r="RXQ253" s="1"/>
      <c r="RXR253" s="1"/>
      <c r="RXS253" s="1"/>
      <c r="RXT253" s="1"/>
      <c r="RXU253" s="1"/>
      <c r="RXV253" s="1"/>
      <c r="RXW253" s="1"/>
      <c r="RXX253" s="1"/>
      <c r="RXY253" s="1"/>
      <c r="RXZ253" s="1"/>
      <c r="RYA253" s="1"/>
      <c r="RYB253" s="1"/>
      <c r="RYC253" s="1"/>
      <c r="RYD253" s="1"/>
      <c r="RYE253" s="1"/>
      <c r="RYF253" s="1"/>
      <c r="RYG253" s="1"/>
      <c r="RYH253" s="1"/>
      <c r="RYI253" s="1"/>
      <c r="RYJ253" s="1"/>
      <c r="RYK253" s="1"/>
      <c r="RYL253" s="1"/>
      <c r="RYM253" s="1"/>
      <c r="RYN253" s="1"/>
      <c r="RYO253" s="1"/>
      <c r="RYP253" s="1"/>
      <c r="RYQ253" s="1"/>
      <c r="RYR253" s="1"/>
      <c r="RYS253" s="1"/>
      <c r="RYT253" s="1"/>
      <c r="RYU253" s="1"/>
      <c r="RYV253" s="1"/>
      <c r="RYW253" s="1"/>
      <c r="RYX253" s="1"/>
      <c r="RYY253" s="1"/>
      <c r="RYZ253" s="1"/>
      <c r="RZA253" s="1"/>
      <c r="RZB253" s="1"/>
      <c r="RZC253" s="1"/>
      <c r="RZD253" s="1"/>
      <c r="RZE253" s="1"/>
      <c r="RZF253" s="1"/>
      <c r="RZG253" s="1"/>
      <c r="RZH253" s="1"/>
      <c r="RZI253" s="1"/>
      <c r="RZJ253" s="1"/>
      <c r="RZK253" s="1"/>
      <c r="RZL253" s="1"/>
      <c r="RZM253" s="1"/>
      <c r="RZN253" s="1"/>
      <c r="RZO253" s="1"/>
      <c r="RZP253" s="1"/>
      <c r="RZQ253" s="1"/>
      <c r="RZR253" s="1"/>
      <c r="RZS253" s="1"/>
      <c r="RZT253" s="1"/>
      <c r="RZU253" s="1"/>
      <c r="RZV253" s="1"/>
      <c r="RZW253" s="1"/>
      <c r="RZX253" s="1"/>
      <c r="RZY253" s="1"/>
      <c r="RZZ253" s="1"/>
      <c r="SAA253" s="1"/>
      <c r="SAB253" s="1"/>
      <c r="SAC253" s="1"/>
      <c r="SAD253" s="1"/>
      <c r="SAE253" s="1"/>
      <c r="SAF253" s="1"/>
      <c r="SAG253" s="1"/>
      <c r="SAH253" s="1"/>
      <c r="SAI253" s="1"/>
      <c r="SAJ253" s="1"/>
      <c r="SAK253" s="1"/>
      <c r="SAL253" s="1"/>
      <c r="SAM253" s="1"/>
      <c r="SAN253" s="1"/>
      <c r="SAO253" s="1"/>
      <c r="SAP253" s="1"/>
      <c r="SAQ253" s="1"/>
      <c r="SAR253" s="1"/>
      <c r="SAS253" s="1"/>
      <c r="SAT253" s="1"/>
      <c r="SAU253" s="1"/>
      <c r="SAV253" s="1"/>
      <c r="SAW253" s="1"/>
      <c r="SAX253" s="1"/>
      <c r="SAY253" s="1"/>
      <c r="SAZ253" s="1"/>
      <c r="SBA253" s="1"/>
      <c r="SBB253" s="1"/>
      <c r="SBC253" s="1"/>
      <c r="SBD253" s="1"/>
      <c r="SBE253" s="1"/>
      <c r="SBF253" s="1"/>
      <c r="SBG253" s="1"/>
      <c r="SBH253" s="1"/>
      <c r="SBI253" s="1"/>
      <c r="SBJ253" s="1"/>
      <c r="SBK253" s="1"/>
      <c r="SBL253" s="1"/>
      <c r="SBM253" s="1"/>
      <c r="SBN253" s="1"/>
      <c r="SBO253" s="1"/>
      <c r="SBP253" s="1"/>
      <c r="SBQ253" s="1"/>
      <c r="SBR253" s="1"/>
      <c r="SBS253" s="1"/>
      <c r="SBT253" s="1"/>
      <c r="SBU253" s="1"/>
      <c r="SBV253" s="1"/>
      <c r="SBW253" s="1"/>
      <c r="SBX253" s="1"/>
      <c r="SBY253" s="1"/>
      <c r="SBZ253" s="1"/>
      <c r="SCA253" s="1"/>
      <c r="SCB253" s="1"/>
      <c r="SCC253" s="1"/>
      <c r="SCD253" s="1"/>
      <c r="SCE253" s="1"/>
      <c r="SCF253" s="1"/>
      <c r="SCG253" s="1"/>
      <c r="SCH253" s="1"/>
      <c r="SCI253" s="1"/>
      <c r="SCJ253" s="1"/>
      <c r="SCK253" s="1"/>
      <c r="SCL253" s="1"/>
      <c r="SCM253" s="1"/>
      <c r="SCN253" s="1"/>
      <c r="SCO253" s="1"/>
      <c r="SCP253" s="1"/>
      <c r="SCQ253" s="1"/>
      <c r="SCR253" s="1"/>
      <c r="SCS253" s="1"/>
      <c r="SCT253" s="1"/>
      <c r="SCU253" s="1"/>
      <c r="SCV253" s="1"/>
      <c r="SCW253" s="1"/>
      <c r="SCX253" s="1"/>
      <c r="SCY253" s="1"/>
      <c r="SCZ253" s="1"/>
      <c r="SDA253" s="1"/>
      <c r="SDB253" s="1"/>
      <c r="SDC253" s="1"/>
      <c r="SDD253" s="1"/>
      <c r="SDE253" s="1"/>
      <c r="SDF253" s="1"/>
      <c r="SDG253" s="1"/>
      <c r="SDH253" s="1"/>
      <c r="SDI253" s="1"/>
      <c r="SDJ253" s="1"/>
      <c r="SDK253" s="1"/>
      <c r="SDL253" s="1"/>
      <c r="SDM253" s="1"/>
      <c r="SDN253" s="1"/>
      <c r="SDO253" s="1"/>
      <c r="SDP253" s="1"/>
      <c r="SDQ253" s="1"/>
      <c r="SDR253" s="1"/>
      <c r="SDS253" s="1"/>
      <c r="SDT253" s="1"/>
      <c r="SDU253" s="1"/>
      <c r="SDV253" s="1"/>
      <c r="SDW253" s="1"/>
      <c r="SDX253" s="1"/>
      <c r="SDY253" s="1"/>
      <c r="SDZ253" s="1"/>
      <c r="SEA253" s="1"/>
      <c r="SEB253" s="1"/>
      <c r="SEC253" s="1"/>
      <c r="SED253" s="1"/>
      <c r="SEE253" s="1"/>
      <c r="SEF253" s="1"/>
      <c r="SEG253" s="1"/>
      <c r="SEH253" s="1"/>
      <c r="SEI253" s="1"/>
      <c r="SEJ253" s="1"/>
      <c r="SEK253" s="1"/>
      <c r="SEL253" s="1"/>
      <c r="SEM253" s="1"/>
      <c r="SEN253" s="1"/>
      <c r="SEO253" s="1"/>
      <c r="SEP253" s="1"/>
      <c r="SEQ253" s="1"/>
      <c r="SER253" s="1"/>
      <c r="SES253" s="1"/>
      <c r="SET253" s="1"/>
      <c r="SEU253" s="1"/>
      <c r="SEV253" s="1"/>
      <c r="SEW253" s="1"/>
      <c r="SEX253" s="1"/>
      <c r="SEY253" s="1"/>
      <c r="SEZ253" s="1"/>
      <c r="SFA253" s="1"/>
      <c r="SFB253" s="1"/>
      <c r="SFC253" s="1"/>
      <c r="SFD253" s="1"/>
      <c r="SFE253" s="1"/>
      <c r="SFF253" s="1"/>
      <c r="SFG253" s="1"/>
      <c r="SFH253" s="1"/>
      <c r="SFI253" s="1"/>
      <c r="SFJ253" s="1"/>
      <c r="SFK253" s="1"/>
      <c r="SFL253" s="1"/>
      <c r="SFM253" s="1"/>
      <c r="SFN253" s="1"/>
      <c r="SFO253" s="1"/>
      <c r="SFP253" s="1"/>
      <c r="SFQ253" s="1"/>
      <c r="SFR253" s="1"/>
      <c r="SFS253" s="1"/>
      <c r="SFT253" s="1"/>
      <c r="SFU253" s="1"/>
      <c r="SFV253" s="1"/>
      <c r="SFW253" s="1"/>
      <c r="SFX253" s="1"/>
      <c r="SFY253" s="1"/>
      <c r="SFZ253" s="1"/>
      <c r="SGA253" s="1"/>
      <c r="SGB253" s="1"/>
      <c r="SGC253" s="1"/>
      <c r="SGD253" s="1"/>
      <c r="SGE253" s="1"/>
      <c r="SGF253" s="1"/>
      <c r="SGG253" s="1"/>
      <c r="SGH253" s="1"/>
      <c r="SGI253" s="1"/>
      <c r="SGJ253" s="1"/>
      <c r="SGK253" s="1"/>
      <c r="SGL253" s="1"/>
      <c r="SGM253" s="1"/>
      <c r="SGN253" s="1"/>
      <c r="SGO253" s="1"/>
      <c r="SGP253" s="1"/>
      <c r="SGQ253" s="1"/>
      <c r="SGR253" s="1"/>
      <c r="SGS253" s="1"/>
      <c r="SGT253" s="1"/>
      <c r="SGU253" s="1"/>
      <c r="SGV253" s="1"/>
      <c r="SGW253" s="1"/>
      <c r="SGX253" s="1"/>
      <c r="SGY253" s="1"/>
      <c r="SGZ253" s="1"/>
      <c r="SHA253" s="1"/>
      <c r="SHB253" s="1"/>
      <c r="SHC253" s="1"/>
      <c r="SHD253" s="1"/>
      <c r="SHE253" s="1"/>
      <c r="SHF253" s="1"/>
      <c r="SHG253" s="1"/>
      <c r="SHH253" s="1"/>
      <c r="SHI253" s="1"/>
      <c r="SHJ253" s="1"/>
      <c r="SHK253" s="1"/>
      <c r="SHL253" s="1"/>
      <c r="SHM253" s="1"/>
      <c r="SHN253" s="1"/>
      <c r="SHO253" s="1"/>
      <c r="SHP253" s="1"/>
      <c r="SHQ253" s="1"/>
      <c r="SHR253" s="1"/>
      <c r="SHS253" s="1"/>
      <c r="SHT253" s="1"/>
      <c r="SHU253" s="1"/>
      <c r="SHV253" s="1"/>
      <c r="SHW253" s="1"/>
      <c r="SHX253" s="1"/>
      <c r="SHY253" s="1"/>
      <c r="SHZ253" s="1"/>
      <c r="SIA253" s="1"/>
      <c r="SIB253" s="1"/>
      <c r="SIC253" s="1"/>
      <c r="SID253" s="1"/>
      <c r="SIE253" s="1"/>
      <c r="SIF253" s="1"/>
      <c r="SIG253" s="1"/>
      <c r="SIH253" s="1"/>
      <c r="SII253" s="1"/>
      <c r="SIJ253" s="1"/>
      <c r="SIK253" s="1"/>
      <c r="SIL253" s="1"/>
      <c r="SIM253" s="1"/>
      <c r="SIN253" s="1"/>
      <c r="SIO253" s="1"/>
      <c r="SIP253" s="1"/>
      <c r="SIQ253" s="1"/>
      <c r="SIR253" s="1"/>
      <c r="SIS253" s="1"/>
      <c r="SIT253" s="1"/>
      <c r="SIU253" s="1"/>
      <c r="SIV253" s="1"/>
      <c r="SIW253" s="1"/>
      <c r="SIX253" s="1"/>
      <c r="SIY253" s="1"/>
      <c r="SIZ253" s="1"/>
      <c r="SJA253" s="1"/>
      <c r="SJB253" s="1"/>
      <c r="SJC253" s="1"/>
      <c r="SJD253" s="1"/>
      <c r="SJE253" s="1"/>
      <c r="SJF253" s="1"/>
      <c r="SJG253" s="1"/>
      <c r="SJH253" s="1"/>
      <c r="SJI253" s="1"/>
      <c r="SJJ253" s="1"/>
      <c r="SJK253" s="1"/>
      <c r="SJL253" s="1"/>
      <c r="SJM253" s="1"/>
      <c r="SJN253" s="1"/>
      <c r="SJO253" s="1"/>
      <c r="SJP253" s="1"/>
      <c r="SJQ253" s="1"/>
      <c r="SJR253" s="1"/>
      <c r="SJS253" s="1"/>
      <c r="SJT253" s="1"/>
      <c r="SJU253" s="1"/>
      <c r="SJV253" s="1"/>
      <c r="SJW253" s="1"/>
      <c r="SJX253" s="1"/>
      <c r="SJY253" s="1"/>
      <c r="SJZ253" s="1"/>
      <c r="SKA253" s="1"/>
      <c r="SKB253" s="1"/>
      <c r="SKC253" s="1"/>
      <c r="SKD253" s="1"/>
      <c r="SKE253" s="1"/>
      <c r="SKF253" s="1"/>
      <c r="SKG253" s="1"/>
      <c r="SKH253" s="1"/>
      <c r="SKI253" s="1"/>
      <c r="SKJ253" s="1"/>
      <c r="SKK253" s="1"/>
      <c r="SKL253" s="1"/>
      <c r="SKM253" s="1"/>
      <c r="SKN253" s="1"/>
      <c r="SKO253" s="1"/>
      <c r="SKP253" s="1"/>
      <c r="SKQ253" s="1"/>
      <c r="SKR253" s="1"/>
      <c r="SKS253" s="1"/>
      <c r="SKT253" s="1"/>
      <c r="SKU253" s="1"/>
      <c r="SKV253" s="1"/>
      <c r="SKW253" s="1"/>
      <c r="SKX253" s="1"/>
      <c r="SKY253" s="1"/>
      <c r="SKZ253" s="1"/>
      <c r="SLA253" s="1"/>
      <c r="SLB253" s="1"/>
      <c r="SLC253" s="1"/>
      <c r="SLD253" s="1"/>
      <c r="SLE253" s="1"/>
      <c r="SLF253" s="1"/>
      <c r="SLG253" s="1"/>
      <c r="SLH253" s="1"/>
      <c r="SLI253" s="1"/>
      <c r="SLJ253" s="1"/>
      <c r="SLK253" s="1"/>
      <c r="SLL253" s="1"/>
      <c r="SLM253" s="1"/>
      <c r="SLN253" s="1"/>
      <c r="SLO253" s="1"/>
      <c r="SLP253" s="1"/>
      <c r="SLQ253" s="1"/>
      <c r="SLR253" s="1"/>
      <c r="SLS253" s="1"/>
      <c r="SLT253" s="1"/>
      <c r="SLU253" s="1"/>
      <c r="SLV253" s="1"/>
      <c r="SLW253" s="1"/>
      <c r="SLX253" s="1"/>
      <c r="SLY253" s="1"/>
      <c r="SLZ253" s="1"/>
      <c r="SMA253" s="1"/>
      <c r="SMB253" s="1"/>
      <c r="SMC253" s="1"/>
      <c r="SMD253" s="1"/>
      <c r="SME253" s="1"/>
      <c r="SMF253" s="1"/>
      <c r="SMG253" s="1"/>
      <c r="SMH253" s="1"/>
      <c r="SMI253" s="1"/>
      <c r="SMJ253" s="1"/>
      <c r="SMK253" s="1"/>
      <c r="SML253" s="1"/>
      <c r="SMM253" s="1"/>
      <c r="SMN253" s="1"/>
      <c r="SMO253" s="1"/>
      <c r="SMP253" s="1"/>
      <c r="SMQ253" s="1"/>
      <c r="SMR253" s="1"/>
      <c r="SMS253" s="1"/>
      <c r="SMT253" s="1"/>
      <c r="SMU253" s="1"/>
      <c r="SMV253" s="1"/>
      <c r="SMW253" s="1"/>
      <c r="SMX253" s="1"/>
      <c r="SMY253" s="1"/>
      <c r="SMZ253" s="1"/>
      <c r="SNA253" s="1"/>
      <c r="SNB253" s="1"/>
      <c r="SNC253" s="1"/>
      <c r="SND253" s="1"/>
      <c r="SNE253" s="1"/>
      <c r="SNF253" s="1"/>
      <c r="SNG253" s="1"/>
      <c r="SNH253" s="1"/>
      <c r="SNI253" s="1"/>
      <c r="SNJ253" s="1"/>
      <c r="SNK253" s="1"/>
      <c r="SNL253" s="1"/>
      <c r="SNM253" s="1"/>
      <c r="SNN253" s="1"/>
      <c r="SNO253" s="1"/>
      <c r="SNP253" s="1"/>
      <c r="SNQ253" s="1"/>
      <c r="SNR253" s="1"/>
      <c r="SNS253" s="1"/>
      <c r="SNT253" s="1"/>
      <c r="SNU253" s="1"/>
      <c r="SNV253" s="1"/>
      <c r="SNW253" s="1"/>
      <c r="SNX253" s="1"/>
      <c r="SNY253" s="1"/>
      <c r="SNZ253" s="1"/>
      <c r="SOA253" s="1"/>
      <c r="SOB253" s="1"/>
      <c r="SOC253" s="1"/>
      <c r="SOD253" s="1"/>
      <c r="SOE253" s="1"/>
      <c r="SOF253" s="1"/>
      <c r="SOG253" s="1"/>
      <c r="SOH253" s="1"/>
      <c r="SOI253" s="1"/>
      <c r="SOJ253" s="1"/>
      <c r="SOK253" s="1"/>
      <c r="SOL253" s="1"/>
      <c r="SOM253" s="1"/>
      <c r="SON253" s="1"/>
      <c r="SOO253" s="1"/>
      <c r="SOP253" s="1"/>
      <c r="SOQ253" s="1"/>
      <c r="SOR253" s="1"/>
      <c r="SOS253" s="1"/>
      <c r="SOT253" s="1"/>
      <c r="SOU253" s="1"/>
      <c r="SOV253" s="1"/>
      <c r="SOW253" s="1"/>
      <c r="SOX253" s="1"/>
      <c r="SOY253" s="1"/>
      <c r="SOZ253" s="1"/>
      <c r="SPA253" s="1"/>
      <c r="SPB253" s="1"/>
      <c r="SPC253" s="1"/>
      <c r="SPD253" s="1"/>
      <c r="SPE253" s="1"/>
      <c r="SPF253" s="1"/>
      <c r="SPG253" s="1"/>
      <c r="SPH253" s="1"/>
      <c r="SPI253" s="1"/>
      <c r="SPJ253" s="1"/>
      <c r="SPK253" s="1"/>
      <c r="SPL253" s="1"/>
      <c r="SPM253" s="1"/>
      <c r="SPN253" s="1"/>
      <c r="SPO253" s="1"/>
      <c r="SPP253" s="1"/>
      <c r="SPQ253" s="1"/>
      <c r="SPR253" s="1"/>
      <c r="SPS253" s="1"/>
      <c r="SPT253" s="1"/>
      <c r="SPU253" s="1"/>
      <c r="SPV253" s="1"/>
      <c r="SPW253" s="1"/>
      <c r="SPX253" s="1"/>
      <c r="SPY253" s="1"/>
      <c r="SPZ253" s="1"/>
      <c r="SQA253" s="1"/>
      <c r="SQB253" s="1"/>
      <c r="SQC253" s="1"/>
      <c r="SQD253" s="1"/>
      <c r="SQE253" s="1"/>
      <c r="SQF253" s="1"/>
      <c r="SQG253" s="1"/>
      <c r="SQH253" s="1"/>
      <c r="SQI253" s="1"/>
      <c r="SQJ253" s="1"/>
      <c r="SQK253" s="1"/>
      <c r="SQL253" s="1"/>
      <c r="SQM253" s="1"/>
      <c r="SQN253" s="1"/>
      <c r="SQO253" s="1"/>
      <c r="SQP253" s="1"/>
      <c r="SQQ253" s="1"/>
      <c r="SQR253" s="1"/>
      <c r="SQS253" s="1"/>
      <c r="SQT253" s="1"/>
      <c r="SQU253" s="1"/>
      <c r="SQV253" s="1"/>
      <c r="SQW253" s="1"/>
      <c r="SQX253" s="1"/>
      <c r="SQY253" s="1"/>
      <c r="SQZ253" s="1"/>
      <c r="SRA253" s="1"/>
      <c r="SRB253" s="1"/>
      <c r="SRC253" s="1"/>
      <c r="SRD253" s="1"/>
      <c r="SRE253" s="1"/>
      <c r="SRF253" s="1"/>
      <c r="SRG253" s="1"/>
      <c r="SRH253" s="1"/>
      <c r="SRI253" s="1"/>
      <c r="SRJ253" s="1"/>
      <c r="SRK253" s="1"/>
      <c r="SRL253" s="1"/>
      <c r="SRM253" s="1"/>
      <c r="SRN253" s="1"/>
      <c r="SRO253" s="1"/>
      <c r="SRP253" s="1"/>
      <c r="SRQ253" s="1"/>
      <c r="SRR253" s="1"/>
      <c r="SRS253" s="1"/>
      <c r="SRT253" s="1"/>
      <c r="SRU253" s="1"/>
      <c r="SRV253" s="1"/>
      <c r="SRW253" s="1"/>
      <c r="SRX253" s="1"/>
      <c r="SRY253" s="1"/>
      <c r="SRZ253" s="1"/>
      <c r="SSA253" s="1"/>
      <c r="SSB253" s="1"/>
      <c r="SSC253" s="1"/>
      <c r="SSD253" s="1"/>
      <c r="SSE253" s="1"/>
      <c r="SSF253" s="1"/>
      <c r="SSG253" s="1"/>
      <c r="SSH253" s="1"/>
      <c r="SSI253" s="1"/>
      <c r="SSJ253" s="1"/>
      <c r="SSK253" s="1"/>
      <c r="SSL253" s="1"/>
      <c r="SSM253" s="1"/>
      <c r="SSN253" s="1"/>
      <c r="SSO253" s="1"/>
      <c r="SSP253" s="1"/>
      <c r="SSQ253" s="1"/>
      <c r="SSR253" s="1"/>
      <c r="SSS253" s="1"/>
      <c r="SST253" s="1"/>
      <c r="SSU253" s="1"/>
      <c r="SSV253" s="1"/>
      <c r="SSW253" s="1"/>
      <c r="SSX253" s="1"/>
      <c r="SSY253" s="1"/>
      <c r="SSZ253" s="1"/>
      <c r="STA253" s="1"/>
      <c r="STB253" s="1"/>
      <c r="STC253" s="1"/>
      <c r="STD253" s="1"/>
      <c r="STE253" s="1"/>
      <c r="STF253" s="1"/>
      <c r="STG253" s="1"/>
      <c r="STH253" s="1"/>
      <c r="STI253" s="1"/>
      <c r="STJ253" s="1"/>
      <c r="STK253" s="1"/>
      <c r="STL253" s="1"/>
      <c r="STM253" s="1"/>
      <c r="STN253" s="1"/>
      <c r="STO253" s="1"/>
      <c r="STP253" s="1"/>
      <c r="STQ253" s="1"/>
      <c r="STR253" s="1"/>
      <c r="STS253" s="1"/>
      <c r="STT253" s="1"/>
      <c r="STU253" s="1"/>
      <c r="STV253" s="1"/>
      <c r="STW253" s="1"/>
      <c r="STX253" s="1"/>
      <c r="STY253" s="1"/>
      <c r="STZ253" s="1"/>
      <c r="SUA253" s="1"/>
      <c r="SUB253" s="1"/>
      <c r="SUC253" s="1"/>
      <c r="SUD253" s="1"/>
      <c r="SUE253" s="1"/>
      <c r="SUF253" s="1"/>
      <c r="SUG253" s="1"/>
      <c r="SUH253" s="1"/>
      <c r="SUI253" s="1"/>
      <c r="SUJ253" s="1"/>
      <c r="SUK253" s="1"/>
      <c r="SUL253" s="1"/>
      <c r="SUM253" s="1"/>
      <c r="SUN253" s="1"/>
      <c r="SUO253" s="1"/>
      <c r="SUP253" s="1"/>
      <c r="SUQ253" s="1"/>
      <c r="SUR253" s="1"/>
      <c r="SUS253" s="1"/>
      <c r="SUT253" s="1"/>
      <c r="SUU253" s="1"/>
      <c r="SUV253" s="1"/>
      <c r="SUW253" s="1"/>
      <c r="SUX253" s="1"/>
      <c r="SUY253" s="1"/>
      <c r="SUZ253" s="1"/>
      <c r="SVA253" s="1"/>
      <c r="SVB253" s="1"/>
      <c r="SVC253" s="1"/>
      <c r="SVD253" s="1"/>
      <c r="SVE253" s="1"/>
      <c r="SVF253" s="1"/>
      <c r="SVG253" s="1"/>
      <c r="SVH253" s="1"/>
      <c r="SVI253" s="1"/>
      <c r="SVJ253" s="1"/>
      <c r="SVK253" s="1"/>
      <c r="SVL253" s="1"/>
      <c r="SVM253" s="1"/>
      <c r="SVN253" s="1"/>
      <c r="SVO253" s="1"/>
      <c r="SVP253" s="1"/>
      <c r="SVQ253" s="1"/>
      <c r="SVR253" s="1"/>
      <c r="SVS253" s="1"/>
      <c r="SVT253" s="1"/>
      <c r="SVU253" s="1"/>
      <c r="SVV253" s="1"/>
      <c r="SVW253" s="1"/>
      <c r="SVX253" s="1"/>
      <c r="SVY253" s="1"/>
      <c r="SVZ253" s="1"/>
      <c r="SWA253" s="1"/>
      <c r="SWB253" s="1"/>
      <c r="SWC253" s="1"/>
      <c r="SWD253" s="1"/>
      <c r="SWE253" s="1"/>
      <c r="SWF253" s="1"/>
      <c r="SWG253" s="1"/>
      <c r="SWH253" s="1"/>
      <c r="SWI253" s="1"/>
      <c r="SWJ253" s="1"/>
      <c r="SWK253" s="1"/>
      <c r="SWL253" s="1"/>
      <c r="SWM253" s="1"/>
      <c r="SWN253" s="1"/>
      <c r="SWO253" s="1"/>
      <c r="SWP253" s="1"/>
      <c r="SWQ253" s="1"/>
      <c r="SWR253" s="1"/>
      <c r="SWS253" s="1"/>
      <c r="SWT253" s="1"/>
      <c r="SWU253" s="1"/>
      <c r="SWV253" s="1"/>
      <c r="SWW253" s="1"/>
      <c r="SWX253" s="1"/>
      <c r="SWY253" s="1"/>
      <c r="SWZ253" s="1"/>
      <c r="SXA253" s="1"/>
      <c r="SXB253" s="1"/>
      <c r="SXC253" s="1"/>
      <c r="SXD253" s="1"/>
      <c r="SXE253" s="1"/>
      <c r="SXF253" s="1"/>
      <c r="SXG253" s="1"/>
      <c r="SXH253" s="1"/>
      <c r="SXI253" s="1"/>
      <c r="SXJ253" s="1"/>
      <c r="SXK253" s="1"/>
      <c r="SXL253" s="1"/>
      <c r="SXM253" s="1"/>
      <c r="SXN253" s="1"/>
      <c r="SXO253" s="1"/>
      <c r="SXP253" s="1"/>
      <c r="SXQ253" s="1"/>
      <c r="SXR253" s="1"/>
      <c r="SXS253" s="1"/>
      <c r="SXT253" s="1"/>
      <c r="SXU253" s="1"/>
      <c r="SXV253" s="1"/>
      <c r="SXW253" s="1"/>
      <c r="SXX253" s="1"/>
      <c r="SXY253" s="1"/>
      <c r="SXZ253" s="1"/>
      <c r="SYA253" s="1"/>
      <c r="SYB253" s="1"/>
      <c r="SYC253" s="1"/>
      <c r="SYD253" s="1"/>
      <c r="SYE253" s="1"/>
      <c r="SYF253" s="1"/>
      <c r="SYG253" s="1"/>
      <c r="SYH253" s="1"/>
      <c r="SYI253" s="1"/>
      <c r="SYJ253" s="1"/>
      <c r="SYK253" s="1"/>
      <c r="SYL253" s="1"/>
      <c r="SYM253" s="1"/>
      <c r="SYN253" s="1"/>
      <c r="SYO253" s="1"/>
      <c r="SYP253" s="1"/>
      <c r="SYQ253" s="1"/>
      <c r="SYR253" s="1"/>
      <c r="SYS253" s="1"/>
      <c r="SYT253" s="1"/>
      <c r="SYU253" s="1"/>
      <c r="SYV253" s="1"/>
      <c r="SYW253" s="1"/>
      <c r="SYX253" s="1"/>
      <c r="SYY253" s="1"/>
      <c r="SYZ253" s="1"/>
      <c r="SZA253" s="1"/>
      <c r="SZB253" s="1"/>
      <c r="SZC253" s="1"/>
      <c r="SZD253" s="1"/>
      <c r="SZE253" s="1"/>
      <c r="SZF253" s="1"/>
      <c r="SZG253" s="1"/>
      <c r="SZH253" s="1"/>
      <c r="SZI253" s="1"/>
      <c r="SZJ253" s="1"/>
      <c r="SZK253" s="1"/>
      <c r="SZL253" s="1"/>
      <c r="SZM253" s="1"/>
      <c r="SZN253" s="1"/>
      <c r="SZO253" s="1"/>
      <c r="SZP253" s="1"/>
      <c r="SZQ253" s="1"/>
      <c r="SZR253" s="1"/>
      <c r="SZS253" s="1"/>
      <c r="SZT253" s="1"/>
      <c r="SZU253" s="1"/>
      <c r="SZV253" s="1"/>
      <c r="SZW253" s="1"/>
      <c r="SZX253" s="1"/>
      <c r="SZY253" s="1"/>
      <c r="SZZ253" s="1"/>
      <c r="TAA253" s="1"/>
      <c r="TAB253" s="1"/>
      <c r="TAC253" s="1"/>
      <c r="TAD253" s="1"/>
      <c r="TAE253" s="1"/>
      <c r="TAF253" s="1"/>
      <c r="TAG253" s="1"/>
      <c r="TAH253" s="1"/>
      <c r="TAI253" s="1"/>
      <c r="TAJ253" s="1"/>
      <c r="TAK253" s="1"/>
      <c r="TAL253" s="1"/>
      <c r="TAM253" s="1"/>
      <c r="TAN253" s="1"/>
      <c r="TAO253" s="1"/>
      <c r="TAP253" s="1"/>
      <c r="TAQ253" s="1"/>
      <c r="TAR253" s="1"/>
      <c r="TAS253" s="1"/>
      <c r="TAT253" s="1"/>
      <c r="TAU253" s="1"/>
      <c r="TAV253" s="1"/>
      <c r="TAW253" s="1"/>
      <c r="TAX253" s="1"/>
      <c r="TAY253" s="1"/>
      <c r="TAZ253" s="1"/>
      <c r="TBA253" s="1"/>
      <c r="TBB253" s="1"/>
      <c r="TBC253" s="1"/>
      <c r="TBD253" s="1"/>
      <c r="TBE253" s="1"/>
      <c r="TBF253" s="1"/>
      <c r="TBG253" s="1"/>
      <c r="TBH253" s="1"/>
      <c r="TBI253" s="1"/>
      <c r="TBJ253" s="1"/>
      <c r="TBK253" s="1"/>
      <c r="TBL253" s="1"/>
      <c r="TBM253" s="1"/>
      <c r="TBN253" s="1"/>
      <c r="TBO253" s="1"/>
      <c r="TBP253" s="1"/>
      <c r="TBQ253" s="1"/>
      <c r="TBR253" s="1"/>
      <c r="TBS253" s="1"/>
      <c r="TBT253" s="1"/>
      <c r="TBU253" s="1"/>
      <c r="TBV253" s="1"/>
      <c r="TBW253" s="1"/>
      <c r="TBX253" s="1"/>
      <c r="TBY253" s="1"/>
      <c r="TBZ253" s="1"/>
      <c r="TCA253" s="1"/>
      <c r="TCB253" s="1"/>
      <c r="TCC253" s="1"/>
      <c r="TCD253" s="1"/>
      <c r="TCE253" s="1"/>
      <c r="TCF253" s="1"/>
      <c r="TCG253" s="1"/>
      <c r="TCH253" s="1"/>
      <c r="TCI253" s="1"/>
      <c r="TCJ253" s="1"/>
      <c r="TCK253" s="1"/>
      <c r="TCL253" s="1"/>
      <c r="TCM253" s="1"/>
      <c r="TCN253" s="1"/>
      <c r="TCO253" s="1"/>
      <c r="TCP253" s="1"/>
      <c r="TCQ253" s="1"/>
      <c r="TCR253" s="1"/>
      <c r="TCS253" s="1"/>
      <c r="TCT253" s="1"/>
      <c r="TCU253" s="1"/>
      <c r="TCV253" s="1"/>
      <c r="TCW253" s="1"/>
      <c r="TCX253" s="1"/>
      <c r="TCY253" s="1"/>
      <c r="TCZ253" s="1"/>
      <c r="TDA253" s="1"/>
      <c r="TDB253" s="1"/>
      <c r="TDC253" s="1"/>
      <c r="TDD253" s="1"/>
      <c r="TDE253" s="1"/>
      <c r="TDF253" s="1"/>
      <c r="TDG253" s="1"/>
      <c r="TDH253" s="1"/>
      <c r="TDI253" s="1"/>
      <c r="TDJ253" s="1"/>
      <c r="TDK253" s="1"/>
      <c r="TDL253" s="1"/>
      <c r="TDM253" s="1"/>
      <c r="TDN253" s="1"/>
      <c r="TDO253" s="1"/>
      <c r="TDP253" s="1"/>
      <c r="TDQ253" s="1"/>
      <c r="TDR253" s="1"/>
      <c r="TDS253" s="1"/>
      <c r="TDT253" s="1"/>
      <c r="TDU253" s="1"/>
      <c r="TDV253" s="1"/>
      <c r="TDW253" s="1"/>
      <c r="TDX253" s="1"/>
      <c r="TDY253" s="1"/>
      <c r="TDZ253" s="1"/>
      <c r="TEA253" s="1"/>
      <c r="TEB253" s="1"/>
      <c r="TEC253" s="1"/>
      <c r="TED253" s="1"/>
      <c r="TEE253" s="1"/>
      <c r="TEF253" s="1"/>
      <c r="TEG253" s="1"/>
      <c r="TEH253" s="1"/>
      <c r="TEI253" s="1"/>
      <c r="TEJ253" s="1"/>
      <c r="TEK253" s="1"/>
      <c r="TEL253" s="1"/>
      <c r="TEM253" s="1"/>
      <c r="TEN253" s="1"/>
      <c r="TEO253" s="1"/>
      <c r="TEP253" s="1"/>
      <c r="TEQ253" s="1"/>
      <c r="TER253" s="1"/>
      <c r="TES253" s="1"/>
      <c r="TET253" s="1"/>
      <c r="TEU253" s="1"/>
      <c r="TEV253" s="1"/>
      <c r="TEW253" s="1"/>
      <c r="TEX253" s="1"/>
      <c r="TEY253" s="1"/>
      <c r="TEZ253" s="1"/>
      <c r="TFA253" s="1"/>
      <c r="TFB253" s="1"/>
      <c r="TFC253" s="1"/>
      <c r="TFD253" s="1"/>
      <c r="TFE253" s="1"/>
      <c r="TFF253" s="1"/>
      <c r="TFG253" s="1"/>
      <c r="TFH253" s="1"/>
      <c r="TFI253" s="1"/>
      <c r="TFJ253" s="1"/>
      <c r="TFK253" s="1"/>
      <c r="TFL253" s="1"/>
      <c r="TFM253" s="1"/>
      <c r="TFN253" s="1"/>
      <c r="TFO253" s="1"/>
      <c r="TFP253" s="1"/>
      <c r="TFQ253" s="1"/>
      <c r="TFR253" s="1"/>
      <c r="TFS253" s="1"/>
      <c r="TFT253" s="1"/>
      <c r="TFU253" s="1"/>
      <c r="TFV253" s="1"/>
      <c r="TFW253" s="1"/>
      <c r="TFX253" s="1"/>
      <c r="TFY253" s="1"/>
      <c r="TFZ253" s="1"/>
      <c r="TGA253" s="1"/>
      <c r="TGB253" s="1"/>
      <c r="TGC253" s="1"/>
      <c r="TGD253" s="1"/>
      <c r="TGE253" s="1"/>
      <c r="TGF253" s="1"/>
      <c r="TGG253" s="1"/>
      <c r="TGH253" s="1"/>
      <c r="TGI253" s="1"/>
      <c r="TGJ253" s="1"/>
      <c r="TGK253" s="1"/>
      <c r="TGL253" s="1"/>
      <c r="TGM253" s="1"/>
      <c r="TGN253" s="1"/>
      <c r="TGO253" s="1"/>
      <c r="TGP253" s="1"/>
      <c r="TGQ253" s="1"/>
      <c r="TGR253" s="1"/>
      <c r="TGS253" s="1"/>
      <c r="TGT253" s="1"/>
      <c r="TGU253" s="1"/>
      <c r="TGV253" s="1"/>
      <c r="TGW253" s="1"/>
      <c r="TGX253" s="1"/>
      <c r="TGY253" s="1"/>
      <c r="TGZ253" s="1"/>
      <c r="THA253" s="1"/>
      <c r="THB253" s="1"/>
      <c r="THC253" s="1"/>
      <c r="THD253" s="1"/>
      <c r="THE253" s="1"/>
      <c r="THF253" s="1"/>
      <c r="THG253" s="1"/>
      <c r="THH253" s="1"/>
      <c r="THI253" s="1"/>
      <c r="THJ253" s="1"/>
      <c r="THK253" s="1"/>
      <c r="THL253" s="1"/>
      <c r="THM253" s="1"/>
      <c r="THN253" s="1"/>
      <c r="THO253" s="1"/>
      <c r="THP253" s="1"/>
      <c r="THQ253" s="1"/>
      <c r="THR253" s="1"/>
      <c r="THS253" s="1"/>
      <c r="THT253" s="1"/>
      <c r="THU253" s="1"/>
      <c r="THV253" s="1"/>
      <c r="THW253" s="1"/>
      <c r="THX253" s="1"/>
      <c r="THY253" s="1"/>
      <c r="THZ253" s="1"/>
      <c r="TIA253" s="1"/>
      <c r="TIB253" s="1"/>
      <c r="TIC253" s="1"/>
      <c r="TID253" s="1"/>
      <c r="TIE253" s="1"/>
      <c r="TIF253" s="1"/>
      <c r="TIG253" s="1"/>
      <c r="TIH253" s="1"/>
      <c r="TII253" s="1"/>
      <c r="TIJ253" s="1"/>
      <c r="TIK253" s="1"/>
      <c r="TIL253" s="1"/>
      <c r="TIM253" s="1"/>
      <c r="TIN253" s="1"/>
      <c r="TIO253" s="1"/>
      <c r="TIP253" s="1"/>
      <c r="TIQ253" s="1"/>
      <c r="TIR253" s="1"/>
      <c r="TIS253" s="1"/>
      <c r="TIT253" s="1"/>
      <c r="TIU253" s="1"/>
      <c r="TIV253" s="1"/>
      <c r="TIW253" s="1"/>
      <c r="TIX253" s="1"/>
      <c r="TIY253" s="1"/>
      <c r="TIZ253" s="1"/>
      <c r="TJA253" s="1"/>
      <c r="TJB253" s="1"/>
      <c r="TJC253" s="1"/>
      <c r="TJD253" s="1"/>
      <c r="TJE253" s="1"/>
      <c r="TJF253" s="1"/>
      <c r="TJG253" s="1"/>
      <c r="TJH253" s="1"/>
      <c r="TJI253" s="1"/>
      <c r="TJJ253" s="1"/>
      <c r="TJK253" s="1"/>
      <c r="TJL253" s="1"/>
      <c r="TJM253" s="1"/>
      <c r="TJN253" s="1"/>
      <c r="TJO253" s="1"/>
      <c r="TJP253" s="1"/>
      <c r="TJQ253" s="1"/>
      <c r="TJR253" s="1"/>
      <c r="TJS253" s="1"/>
      <c r="TJT253" s="1"/>
      <c r="TJU253" s="1"/>
      <c r="TJV253" s="1"/>
      <c r="TJW253" s="1"/>
      <c r="TJX253" s="1"/>
      <c r="TJY253" s="1"/>
      <c r="TJZ253" s="1"/>
      <c r="TKA253" s="1"/>
      <c r="TKB253" s="1"/>
      <c r="TKC253" s="1"/>
      <c r="TKD253" s="1"/>
      <c r="TKE253" s="1"/>
      <c r="TKF253" s="1"/>
      <c r="TKG253" s="1"/>
      <c r="TKH253" s="1"/>
      <c r="TKI253" s="1"/>
      <c r="TKJ253" s="1"/>
      <c r="TKK253" s="1"/>
      <c r="TKL253" s="1"/>
      <c r="TKM253" s="1"/>
      <c r="TKN253" s="1"/>
      <c r="TKO253" s="1"/>
      <c r="TKP253" s="1"/>
      <c r="TKQ253" s="1"/>
      <c r="TKR253" s="1"/>
      <c r="TKS253" s="1"/>
      <c r="TKT253" s="1"/>
      <c r="TKU253" s="1"/>
      <c r="TKV253" s="1"/>
      <c r="TKW253" s="1"/>
      <c r="TKX253" s="1"/>
      <c r="TKY253" s="1"/>
      <c r="TKZ253" s="1"/>
      <c r="TLA253" s="1"/>
      <c r="TLB253" s="1"/>
      <c r="TLC253" s="1"/>
      <c r="TLD253" s="1"/>
      <c r="TLE253" s="1"/>
      <c r="TLF253" s="1"/>
      <c r="TLG253" s="1"/>
      <c r="TLH253" s="1"/>
      <c r="TLI253" s="1"/>
      <c r="TLJ253" s="1"/>
      <c r="TLK253" s="1"/>
      <c r="TLL253" s="1"/>
      <c r="TLM253" s="1"/>
      <c r="TLN253" s="1"/>
      <c r="TLO253" s="1"/>
      <c r="TLP253" s="1"/>
      <c r="TLQ253" s="1"/>
      <c r="TLR253" s="1"/>
      <c r="TLS253" s="1"/>
      <c r="TLT253" s="1"/>
      <c r="TLU253" s="1"/>
      <c r="TLV253" s="1"/>
      <c r="TLW253" s="1"/>
      <c r="TLX253" s="1"/>
      <c r="TLY253" s="1"/>
      <c r="TLZ253" s="1"/>
      <c r="TMA253" s="1"/>
      <c r="TMB253" s="1"/>
      <c r="TMC253" s="1"/>
      <c r="TMD253" s="1"/>
      <c r="TME253" s="1"/>
      <c r="TMF253" s="1"/>
      <c r="TMG253" s="1"/>
      <c r="TMH253" s="1"/>
      <c r="TMI253" s="1"/>
      <c r="TMJ253" s="1"/>
      <c r="TMK253" s="1"/>
      <c r="TML253" s="1"/>
      <c r="TMM253" s="1"/>
      <c r="TMN253" s="1"/>
      <c r="TMO253" s="1"/>
      <c r="TMP253" s="1"/>
      <c r="TMQ253" s="1"/>
      <c r="TMR253" s="1"/>
      <c r="TMS253" s="1"/>
      <c r="TMT253" s="1"/>
      <c r="TMU253" s="1"/>
      <c r="TMV253" s="1"/>
      <c r="TMW253" s="1"/>
      <c r="TMX253" s="1"/>
      <c r="TMY253" s="1"/>
      <c r="TMZ253" s="1"/>
      <c r="TNA253" s="1"/>
      <c r="TNB253" s="1"/>
      <c r="TNC253" s="1"/>
      <c r="TND253" s="1"/>
      <c r="TNE253" s="1"/>
      <c r="TNF253" s="1"/>
      <c r="TNG253" s="1"/>
      <c r="TNH253" s="1"/>
      <c r="TNI253" s="1"/>
      <c r="TNJ253" s="1"/>
      <c r="TNK253" s="1"/>
      <c r="TNL253" s="1"/>
      <c r="TNM253" s="1"/>
      <c r="TNN253" s="1"/>
      <c r="TNO253" s="1"/>
      <c r="TNP253" s="1"/>
      <c r="TNQ253" s="1"/>
      <c r="TNR253" s="1"/>
      <c r="TNS253" s="1"/>
      <c r="TNT253" s="1"/>
      <c r="TNU253" s="1"/>
      <c r="TNV253" s="1"/>
      <c r="TNW253" s="1"/>
      <c r="TNX253" s="1"/>
      <c r="TNY253" s="1"/>
      <c r="TNZ253" s="1"/>
      <c r="TOA253" s="1"/>
      <c r="TOB253" s="1"/>
      <c r="TOC253" s="1"/>
      <c r="TOD253" s="1"/>
      <c r="TOE253" s="1"/>
      <c r="TOF253" s="1"/>
      <c r="TOG253" s="1"/>
      <c r="TOH253" s="1"/>
      <c r="TOI253" s="1"/>
      <c r="TOJ253" s="1"/>
      <c r="TOK253" s="1"/>
      <c r="TOL253" s="1"/>
      <c r="TOM253" s="1"/>
      <c r="TON253" s="1"/>
      <c r="TOO253" s="1"/>
      <c r="TOP253" s="1"/>
      <c r="TOQ253" s="1"/>
      <c r="TOR253" s="1"/>
      <c r="TOS253" s="1"/>
      <c r="TOT253" s="1"/>
      <c r="TOU253" s="1"/>
      <c r="TOV253" s="1"/>
      <c r="TOW253" s="1"/>
      <c r="TOX253" s="1"/>
      <c r="TOY253" s="1"/>
      <c r="TOZ253" s="1"/>
      <c r="TPA253" s="1"/>
      <c r="TPB253" s="1"/>
      <c r="TPC253" s="1"/>
      <c r="TPD253" s="1"/>
      <c r="TPE253" s="1"/>
      <c r="TPF253" s="1"/>
      <c r="TPG253" s="1"/>
      <c r="TPH253" s="1"/>
      <c r="TPI253" s="1"/>
      <c r="TPJ253" s="1"/>
      <c r="TPK253" s="1"/>
      <c r="TPL253" s="1"/>
      <c r="TPM253" s="1"/>
      <c r="TPN253" s="1"/>
      <c r="TPO253" s="1"/>
      <c r="TPP253" s="1"/>
      <c r="TPQ253" s="1"/>
      <c r="TPR253" s="1"/>
      <c r="TPS253" s="1"/>
      <c r="TPT253" s="1"/>
      <c r="TPU253" s="1"/>
      <c r="TPV253" s="1"/>
      <c r="TPW253" s="1"/>
      <c r="TPX253" s="1"/>
      <c r="TPY253" s="1"/>
      <c r="TPZ253" s="1"/>
      <c r="TQA253" s="1"/>
      <c r="TQB253" s="1"/>
      <c r="TQC253" s="1"/>
      <c r="TQD253" s="1"/>
      <c r="TQE253" s="1"/>
      <c r="TQF253" s="1"/>
      <c r="TQG253" s="1"/>
      <c r="TQH253" s="1"/>
      <c r="TQI253" s="1"/>
      <c r="TQJ253" s="1"/>
      <c r="TQK253" s="1"/>
      <c r="TQL253" s="1"/>
      <c r="TQM253" s="1"/>
      <c r="TQN253" s="1"/>
      <c r="TQO253" s="1"/>
      <c r="TQP253" s="1"/>
      <c r="TQQ253" s="1"/>
      <c r="TQR253" s="1"/>
      <c r="TQS253" s="1"/>
      <c r="TQT253" s="1"/>
      <c r="TQU253" s="1"/>
      <c r="TQV253" s="1"/>
      <c r="TQW253" s="1"/>
      <c r="TQX253" s="1"/>
      <c r="TQY253" s="1"/>
      <c r="TQZ253" s="1"/>
      <c r="TRA253" s="1"/>
      <c r="TRB253" s="1"/>
      <c r="TRC253" s="1"/>
      <c r="TRD253" s="1"/>
      <c r="TRE253" s="1"/>
      <c r="TRF253" s="1"/>
      <c r="TRG253" s="1"/>
      <c r="TRH253" s="1"/>
      <c r="TRI253" s="1"/>
      <c r="TRJ253" s="1"/>
      <c r="TRK253" s="1"/>
      <c r="TRL253" s="1"/>
      <c r="TRM253" s="1"/>
      <c r="TRN253" s="1"/>
      <c r="TRO253" s="1"/>
      <c r="TRP253" s="1"/>
      <c r="TRQ253" s="1"/>
      <c r="TRR253" s="1"/>
      <c r="TRS253" s="1"/>
      <c r="TRT253" s="1"/>
      <c r="TRU253" s="1"/>
      <c r="TRV253" s="1"/>
      <c r="TRW253" s="1"/>
      <c r="TRX253" s="1"/>
      <c r="TRY253" s="1"/>
      <c r="TRZ253" s="1"/>
      <c r="TSA253" s="1"/>
      <c r="TSB253" s="1"/>
      <c r="TSC253" s="1"/>
      <c r="TSD253" s="1"/>
      <c r="TSE253" s="1"/>
      <c r="TSF253" s="1"/>
      <c r="TSG253" s="1"/>
      <c r="TSH253" s="1"/>
      <c r="TSI253" s="1"/>
      <c r="TSJ253" s="1"/>
      <c r="TSK253" s="1"/>
      <c r="TSL253" s="1"/>
      <c r="TSM253" s="1"/>
      <c r="TSN253" s="1"/>
      <c r="TSO253" s="1"/>
      <c r="TSP253" s="1"/>
      <c r="TSQ253" s="1"/>
      <c r="TSR253" s="1"/>
      <c r="TSS253" s="1"/>
      <c r="TST253" s="1"/>
      <c r="TSU253" s="1"/>
      <c r="TSV253" s="1"/>
      <c r="TSW253" s="1"/>
      <c r="TSX253" s="1"/>
      <c r="TSY253" s="1"/>
      <c r="TSZ253" s="1"/>
      <c r="TTA253" s="1"/>
      <c r="TTB253" s="1"/>
      <c r="TTC253" s="1"/>
      <c r="TTD253" s="1"/>
      <c r="TTE253" s="1"/>
      <c r="TTF253" s="1"/>
      <c r="TTG253" s="1"/>
      <c r="TTH253" s="1"/>
      <c r="TTI253" s="1"/>
      <c r="TTJ253" s="1"/>
      <c r="TTK253" s="1"/>
      <c r="TTL253" s="1"/>
      <c r="TTM253" s="1"/>
      <c r="TTN253" s="1"/>
      <c r="TTO253" s="1"/>
      <c r="TTP253" s="1"/>
      <c r="TTQ253" s="1"/>
      <c r="TTR253" s="1"/>
      <c r="TTS253" s="1"/>
      <c r="TTT253" s="1"/>
      <c r="TTU253" s="1"/>
      <c r="TTV253" s="1"/>
      <c r="TTW253" s="1"/>
      <c r="TTX253" s="1"/>
      <c r="TTY253" s="1"/>
      <c r="TTZ253" s="1"/>
      <c r="TUA253" s="1"/>
      <c r="TUB253" s="1"/>
      <c r="TUC253" s="1"/>
      <c r="TUD253" s="1"/>
      <c r="TUE253" s="1"/>
      <c r="TUF253" s="1"/>
      <c r="TUG253" s="1"/>
      <c r="TUH253" s="1"/>
      <c r="TUI253" s="1"/>
      <c r="TUJ253" s="1"/>
      <c r="TUK253" s="1"/>
      <c r="TUL253" s="1"/>
      <c r="TUM253" s="1"/>
      <c r="TUN253" s="1"/>
      <c r="TUO253" s="1"/>
      <c r="TUP253" s="1"/>
      <c r="TUQ253" s="1"/>
      <c r="TUR253" s="1"/>
      <c r="TUS253" s="1"/>
      <c r="TUT253" s="1"/>
      <c r="TUU253" s="1"/>
      <c r="TUV253" s="1"/>
      <c r="TUW253" s="1"/>
      <c r="TUX253" s="1"/>
      <c r="TUY253" s="1"/>
      <c r="TUZ253" s="1"/>
      <c r="TVA253" s="1"/>
      <c r="TVB253" s="1"/>
      <c r="TVC253" s="1"/>
      <c r="TVD253" s="1"/>
      <c r="TVE253" s="1"/>
      <c r="TVF253" s="1"/>
      <c r="TVG253" s="1"/>
      <c r="TVH253" s="1"/>
      <c r="TVI253" s="1"/>
      <c r="TVJ253" s="1"/>
      <c r="TVK253" s="1"/>
      <c r="TVL253" s="1"/>
      <c r="TVM253" s="1"/>
      <c r="TVN253" s="1"/>
      <c r="TVO253" s="1"/>
      <c r="TVP253" s="1"/>
      <c r="TVQ253" s="1"/>
      <c r="TVR253" s="1"/>
      <c r="TVS253" s="1"/>
      <c r="TVT253" s="1"/>
      <c r="TVU253" s="1"/>
      <c r="TVV253" s="1"/>
      <c r="TVW253" s="1"/>
      <c r="TVX253" s="1"/>
      <c r="TVY253" s="1"/>
      <c r="TVZ253" s="1"/>
      <c r="TWA253" s="1"/>
      <c r="TWB253" s="1"/>
      <c r="TWC253" s="1"/>
      <c r="TWD253" s="1"/>
      <c r="TWE253" s="1"/>
      <c r="TWF253" s="1"/>
      <c r="TWG253" s="1"/>
      <c r="TWH253" s="1"/>
      <c r="TWI253" s="1"/>
      <c r="TWJ253" s="1"/>
      <c r="TWK253" s="1"/>
      <c r="TWL253" s="1"/>
      <c r="TWM253" s="1"/>
      <c r="TWN253" s="1"/>
      <c r="TWO253" s="1"/>
      <c r="TWP253" s="1"/>
      <c r="TWQ253" s="1"/>
      <c r="TWR253" s="1"/>
      <c r="TWS253" s="1"/>
      <c r="TWT253" s="1"/>
      <c r="TWU253" s="1"/>
      <c r="TWV253" s="1"/>
      <c r="TWW253" s="1"/>
      <c r="TWX253" s="1"/>
      <c r="TWY253" s="1"/>
      <c r="TWZ253" s="1"/>
      <c r="TXA253" s="1"/>
      <c r="TXB253" s="1"/>
      <c r="TXC253" s="1"/>
      <c r="TXD253" s="1"/>
      <c r="TXE253" s="1"/>
      <c r="TXF253" s="1"/>
      <c r="TXG253" s="1"/>
      <c r="TXH253" s="1"/>
      <c r="TXI253" s="1"/>
      <c r="TXJ253" s="1"/>
      <c r="TXK253" s="1"/>
      <c r="TXL253" s="1"/>
      <c r="TXM253" s="1"/>
      <c r="TXN253" s="1"/>
      <c r="TXO253" s="1"/>
      <c r="TXP253" s="1"/>
      <c r="TXQ253" s="1"/>
      <c r="TXR253" s="1"/>
      <c r="TXS253" s="1"/>
      <c r="TXT253" s="1"/>
      <c r="TXU253" s="1"/>
      <c r="TXV253" s="1"/>
      <c r="TXW253" s="1"/>
      <c r="TXX253" s="1"/>
      <c r="TXY253" s="1"/>
      <c r="TXZ253" s="1"/>
      <c r="TYA253" s="1"/>
      <c r="TYB253" s="1"/>
      <c r="TYC253" s="1"/>
      <c r="TYD253" s="1"/>
      <c r="TYE253" s="1"/>
      <c r="TYF253" s="1"/>
      <c r="TYG253" s="1"/>
      <c r="TYH253" s="1"/>
      <c r="TYI253" s="1"/>
      <c r="TYJ253" s="1"/>
      <c r="TYK253" s="1"/>
      <c r="TYL253" s="1"/>
      <c r="TYM253" s="1"/>
      <c r="TYN253" s="1"/>
      <c r="TYO253" s="1"/>
      <c r="TYP253" s="1"/>
      <c r="TYQ253" s="1"/>
      <c r="TYR253" s="1"/>
      <c r="TYS253" s="1"/>
      <c r="TYT253" s="1"/>
      <c r="TYU253" s="1"/>
      <c r="TYV253" s="1"/>
      <c r="TYW253" s="1"/>
      <c r="TYX253" s="1"/>
      <c r="TYY253" s="1"/>
      <c r="TYZ253" s="1"/>
      <c r="TZA253" s="1"/>
      <c r="TZB253" s="1"/>
      <c r="TZC253" s="1"/>
      <c r="TZD253" s="1"/>
      <c r="TZE253" s="1"/>
      <c r="TZF253" s="1"/>
      <c r="TZG253" s="1"/>
      <c r="TZH253" s="1"/>
      <c r="TZI253" s="1"/>
      <c r="TZJ253" s="1"/>
      <c r="TZK253" s="1"/>
      <c r="TZL253" s="1"/>
      <c r="TZM253" s="1"/>
      <c r="TZN253" s="1"/>
      <c r="TZO253" s="1"/>
      <c r="TZP253" s="1"/>
      <c r="TZQ253" s="1"/>
      <c r="TZR253" s="1"/>
      <c r="TZS253" s="1"/>
      <c r="TZT253" s="1"/>
      <c r="TZU253" s="1"/>
      <c r="TZV253" s="1"/>
      <c r="TZW253" s="1"/>
      <c r="TZX253" s="1"/>
      <c r="TZY253" s="1"/>
      <c r="TZZ253" s="1"/>
      <c r="UAA253" s="1"/>
      <c r="UAB253" s="1"/>
      <c r="UAC253" s="1"/>
      <c r="UAD253" s="1"/>
      <c r="UAE253" s="1"/>
      <c r="UAF253" s="1"/>
      <c r="UAG253" s="1"/>
      <c r="UAH253" s="1"/>
      <c r="UAI253" s="1"/>
      <c r="UAJ253" s="1"/>
      <c r="UAK253" s="1"/>
      <c r="UAL253" s="1"/>
      <c r="UAM253" s="1"/>
      <c r="UAN253" s="1"/>
      <c r="UAO253" s="1"/>
      <c r="UAP253" s="1"/>
      <c r="UAQ253" s="1"/>
      <c r="UAR253" s="1"/>
      <c r="UAS253" s="1"/>
      <c r="UAT253" s="1"/>
      <c r="UAU253" s="1"/>
      <c r="UAV253" s="1"/>
      <c r="UAW253" s="1"/>
      <c r="UAX253" s="1"/>
      <c r="UAY253" s="1"/>
      <c r="UAZ253" s="1"/>
      <c r="UBA253" s="1"/>
      <c r="UBB253" s="1"/>
      <c r="UBC253" s="1"/>
      <c r="UBD253" s="1"/>
      <c r="UBE253" s="1"/>
      <c r="UBF253" s="1"/>
      <c r="UBG253" s="1"/>
      <c r="UBH253" s="1"/>
      <c r="UBI253" s="1"/>
      <c r="UBJ253" s="1"/>
      <c r="UBK253" s="1"/>
      <c r="UBL253" s="1"/>
      <c r="UBM253" s="1"/>
      <c r="UBN253" s="1"/>
      <c r="UBO253" s="1"/>
      <c r="UBP253" s="1"/>
      <c r="UBQ253" s="1"/>
      <c r="UBR253" s="1"/>
      <c r="UBS253" s="1"/>
      <c r="UBT253" s="1"/>
      <c r="UBU253" s="1"/>
      <c r="UBV253" s="1"/>
      <c r="UBW253" s="1"/>
      <c r="UBX253" s="1"/>
      <c r="UBY253" s="1"/>
      <c r="UBZ253" s="1"/>
      <c r="UCA253" s="1"/>
      <c r="UCB253" s="1"/>
      <c r="UCC253" s="1"/>
      <c r="UCD253" s="1"/>
      <c r="UCE253" s="1"/>
      <c r="UCF253" s="1"/>
      <c r="UCG253" s="1"/>
      <c r="UCH253" s="1"/>
      <c r="UCI253" s="1"/>
      <c r="UCJ253" s="1"/>
      <c r="UCK253" s="1"/>
      <c r="UCL253" s="1"/>
      <c r="UCM253" s="1"/>
      <c r="UCN253" s="1"/>
      <c r="UCO253" s="1"/>
      <c r="UCP253" s="1"/>
      <c r="UCQ253" s="1"/>
      <c r="UCR253" s="1"/>
      <c r="UCS253" s="1"/>
      <c r="UCT253" s="1"/>
      <c r="UCU253" s="1"/>
      <c r="UCV253" s="1"/>
      <c r="UCW253" s="1"/>
      <c r="UCX253" s="1"/>
      <c r="UCY253" s="1"/>
      <c r="UCZ253" s="1"/>
      <c r="UDA253" s="1"/>
      <c r="UDB253" s="1"/>
      <c r="UDC253" s="1"/>
      <c r="UDD253" s="1"/>
      <c r="UDE253" s="1"/>
      <c r="UDF253" s="1"/>
      <c r="UDG253" s="1"/>
      <c r="UDH253" s="1"/>
      <c r="UDI253" s="1"/>
      <c r="UDJ253" s="1"/>
      <c r="UDK253" s="1"/>
      <c r="UDL253" s="1"/>
      <c r="UDM253" s="1"/>
      <c r="UDN253" s="1"/>
      <c r="UDO253" s="1"/>
      <c r="UDP253" s="1"/>
      <c r="UDQ253" s="1"/>
      <c r="UDR253" s="1"/>
      <c r="UDS253" s="1"/>
      <c r="UDT253" s="1"/>
      <c r="UDU253" s="1"/>
      <c r="UDV253" s="1"/>
      <c r="UDW253" s="1"/>
      <c r="UDX253" s="1"/>
      <c r="UDY253" s="1"/>
      <c r="UDZ253" s="1"/>
      <c r="UEA253" s="1"/>
      <c r="UEB253" s="1"/>
      <c r="UEC253" s="1"/>
      <c r="UED253" s="1"/>
      <c r="UEE253" s="1"/>
      <c r="UEF253" s="1"/>
      <c r="UEG253" s="1"/>
      <c r="UEH253" s="1"/>
      <c r="UEI253" s="1"/>
      <c r="UEJ253" s="1"/>
      <c r="UEK253" s="1"/>
      <c r="UEL253" s="1"/>
      <c r="UEM253" s="1"/>
      <c r="UEN253" s="1"/>
      <c r="UEO253" s="1"/>
      <c r="UEP253" s="1"/>
      <c r="UEQ253" s="1"/>
      <c r="UER253" s="1"/>
      <c r="UES253" s="1"/>
      <c r="UET253" s="1"/>
      <c r="UEU253" s="1"/>
      <c r="UEV253" s="1"/>
      <c r="UEW253" s="1"/>
      <c r="UEX253" s="1"/>
      <c r="UEY253" s="1"/>
      <c r="UEZ253" s="1"/>
      <c r="UFA253" s="1"/>
      <c r="UFB253" s="1"/>
      <c r="UFC253" s="1"/>
      <c r="UFD253" s="1"/>
      <c r="UFE253" s="1"/>
      <c r="UFF253" s="1"/>
      <c r="UFG253" s="1"/>
      <c r="UFH253" s="1"/>
      <c r="UFI253" s="1"/>
      <c r="UFJ253" s="1"/>
      <c r="UFK253" s="1"/>
      <c r="UFL253" s="1"/>
      <c r="UFM253" s="1"/>
      <c r="UFN253" s="1"/>
      <c r="UFO253" s="1"/>
      <c r="UFP253" s="1"/>
      <c r="UFQ253" s="1"/>
      <c r="UFR253" s="1"/>
      <c r="UFS253" s="1"/>
      <c r="UFT253" s="1"/>
      <c r="UFU253" s="1"/>
      <c r="UFV253" s="1"/>
      <c r="UFW253" s="1"/>
      <c r="UFX253" s="1"/>
      <c r="UFY253" s="1"/>
      <c r="UFZ253" s="1"/>
      <c r="UGA253" s="1"/>
      <c r="UGB253" s="1"/>
      <c r="UGC253" s="1"/>
      <c r="UGD253" s="1"/>
      <c r="UGE253" s="1"/>
      <c r="UGF253" s="1"/>
      <c r="UGG253" s="1"/>
      <c r="UGH253" s="1"/>
      <c r="UGI253" s="1"/>
      <c r="UGJ253" s="1"/>
      <c r="UGK253" s="1"/>
      <c r="UGL253" s="1"/>
      <c r="UGM253" s="1"/>
      <c r="UGN253" s="1"/>
      <c r="UGO253" s="1"/>
      <c r="UGP253" s="1"/>
      <c r="UGQ253" s="1"/>
      <c r="UGR253" s="1"/>
      <c r="UGS253" s="1"/>
      <c r="UGT253" s="1"/>
      <c r="UGU253" s="1"/>
      <c r="UGV253" s="1"/>
      <c r="UGW253" s="1"/>
      <c r="UGX253" s="1"/>
      <c r="UGY253" s="1"/>
      <c r="UGZ253" s="1"/>
      <c r="UHA253" s="1"/>
      <c r="UHB253" s="1"/>
      <c r="UHC253" s="1"/>
      <c r="UHD253" s="1"/>
      <c r="UHE253" s="1"/>
      <c r="UHF253" s="1"/>
      <c r="UHG253" s="1"/>
      <c r="UHH253" s="1"/>
      <c r="UHI253" s="1"/>
      <c r="UHJ253" s="1"/>
      <c r="UHK253" s="1"/>
      <c r="UHL253" s="1"/>
      <c r="UHM253" s="1"/>
      <c r="UHN253" s="1"/>
      <c r="UHO253" s="1"/>
      <c r="UHP253" s="1"/>
      <c r="UHQ253" s="1"/>
      <c r="UHR253" s="1"/>
      <c r="UHS253" s="1"/>
      <c r="UHT253" s="1"/>
      <c r="UHU253" s="1"/>
      <c r="UHV253" s="1"/>
      <c r="UHW253" s="1"/>
      <c r="UHX253" s="1"/>
      <c r="UHY253" s="1"/>
      <c r="UHZ253" s="1"/>
      <c r="UIA253" s="1"/>
      <c r="UIB253" s="1"/>
      <c r="UIC253" s="1"/>
      <c r="UID253" s="1"/>
      <c r="UIE253" s="1"/>
      <c r="UIF253" s="1"/>
      <c r="UIG253" s="1"/>
      <c r="UIH253" s="1"/>
      <c r="UII253" s="1"/>
      <c r="UIJ253" s="1"/>
      <c r="UIK253" s="1"/>
      <c r="UIL253" s="1"/>
      <c r="UIM253" s="1"/>
      <c r="UIN253" s="1"/>
      <c r="UIO253" s="1"/>
      <c r="UIP253" s="1"/>
      <c r="UIQ253" s="1"/>
      <c r="UIR253" s="1"/>
      <c r="UIS253" s="1"/>
      <c r="UIT253" s="1"/>
      <c r="UIU253" s="1"/>
      <c r="UIV253" s="1"/>
      <c r="UIW253" s="1"/>
      <c r="UIX253" s="1"/>
      <c r="UIY253" s="1"/>
      <c r="UIZ253" s="1"/>
      <c r="UJA253" s="1"/>
      <c r="UJB253" s="1"/>
      <c r="UJC253" s="1"/>
      <c r="UJD253" s="1"/>
      <c r="UJE253" s="1"/>
      <c r="UJF253" s="1"/>
      <c r="UJG253" s="1"/>
      <c r="UJH253" s="1"/>
      <c r="UJI253" s="1"/>
      <c r="UJJ253" s="1"/>
      <c r="UJK253" s="1"/>
      <c r="UJL253" s="1"/>
      <c r="UJM253" s="1"/>
      <c r="UJN253" s="1"/>
      <c r="UJO253" s="1"/>
      <c r="UJP253" s="1"/>
      <c r="UJQ253" s="1"/>
      <c r="UJR253" s="1"/>
      <c r="UJS253" s="1"/>
      <c r="UJT253" s="1"/>
      <c r="UJU253" s="1"/>
      <c r="UJV253" s="1"/>
      <c r="UJW253" s="1"/>
      <c r="UJX253" s="1"/>
      <c r="UJY253" s="1"/>
      <c r="UJZ253" s="1"/>
      <c r="UKA253" s="1"/>
      <c r="UKB253" s="1"/>
      <c r="UKC253" s="1"/>
      <c r="UKD253" s="1"/>
      <c r="UKE253" s="1"/>
      <c r="UKF253" s="1"/>
      <c r="UKG253" s="1"/>
      <c r="UKH253" s="1"/>
      <c r="UKI253" s="1"/>
      <c r="UKJ253" s="1"/>
      <c r="UKK253" s="1"/>
      <c r="UKL253" s="1"/>
      <c r="UKM253" s="1"/>
      <c r="UKN253" s="1"/>
      <c r="UKO253" s="1"/>
      <c r="UKP253" s="1"/>
      <c r="UKQ253" s="1"/>
      <c r="UKR253" s="1"/>
      <c r="UKS253" s="1"/>
      <c r="UKT253" s="1"/>
      <c r="UKU253" s="1"/>
      <c r="UKV253" s="1"/>
      <c r="UKW253" s="1"/>
      <c r="UKX253" s="1"/>
      <c r="UKY253" s="1"/>
      <c r="UKZ253" s="1"/>
      <c r="ULA253" s="1"/>
      <c r="ULB253" s="1"/>
      <c r="ULC253" s="1"/>
      <c r="ULD253" s="1"/>
      <c r="ULE253" s="1"/>
      <c r="ULF253" s="1"/>
      <c r="ULG253" s="1"/>
      <c r="ULH253" s="1"/>
      <c r="ULI253" s="1"/>
      <c r="ULJ253" s="1"/>
      <c r="ULK253" s="1"/>
      <c r="ULL253" s="1"/>
      <c r="ULM253" s="1"/>
      <c r="ULN253" s="1"/>
      <c r="ULO253" s="1"/>
      <c r="ULP253" s="1"/>
      <c r="ULQ253" s="1"/>
      <c r="ULR253" s="1"/>
      <c r="ULS253" s="1"/>
      <c r="ULT253" s="1"/>
      <c r="ULU253" s="1"/>
      <c r="ULV253" s="1"/>
      <c r="ULW253" s="1"/>
      <c r="ULX253" s="1"/>
      <c r="ULY253" s="1"/>
      <c r="ULZ253" s="1"/>
      <c r="UMA253" s="1"/>
      <c r="UMB253" s="1"/>
      <c r="UMC253" s="1"/>
      <c r="UMD253" s="1"/>
      <c r="UME253" s="1"/>
      <c r="UMF253" s="1"/>
      <c r="UMG253" s="1"/>
      <c r="UMH253" s="1"/>
      <c r="UMI253" s="1"/>
      <c r="UMJ253" s="1"/>
      <c r="UMK253" s="1"/>
      <c r="UML253" s="1"/>
      <c r="UMM253" s="1"/>
      <c r="UMN253" s="1"/>
      <c r="UMO253" s="1"/>
      <c r="UMP253" s="1"/>
      <c r="UMQ253" s="1"/>
      <c r="UMR253" s="1"/>
      <c r="UMS253" s="1"/>
      <c r="UMT253" s="1"/>
      <c r="UMU253" s="1"/>
      <c r="UMV253" s="1"/>
      <c r="UMW253" s="1"/>
      <c r="UMX253" s="1"/>
      <c r="UMY253" s="1"/>
      <c r="UMZ253" s="1"/>
      <c r="UNA253" s="1"/>
      <c r="UNB253" s="1"/>
      <c r="UNC253" s="1"/>
      <c r="UND253" s="1"/>
      <c r="UNE253" s="1"/>
      <c r="UNF253" s="1"/>
      <c r="UNG253" s="1"/>
      <c r="UNH253" s="1"/>
      <c r="UNI253" s="1"/>
      <c r="UNJ253" s="1"/>
      <c r="UNK253" s="1"/>
      <c r="UNL253" s="1"/>
      <c r="UNM253" s="1"/>
      <c r="UNN253" s="1"/>
      <c r="UNO253" s="1"/>
      <c r="UNP253" s="1"/>
      <c r="UNQ253" s="1"/>
      <c r="UNR253" s="1"/>
      <c r="UNS253" s="1"/>
      <c r="UNT253" s="1"/>
      <c r="UNU253" s="1"/>
      <c r="UNV253" s="1"/>
      <c r="UNW253" s="1"/>
      <c r="UNX253" s="1"/>
      <c r="UNY253" s="1"/>
      <c r="UNZ253" s="1"/>
      <c r="UOA253" s="1"/>
      <c r="UOB253" s="1"/>
      <c r="UOC253" s="1"/>
      <c r="UOD253" s="1"/>
      <c r="UOE253" s="1"/>
      <c r="UOF253" s="1"/>
      <c r="UOG253" s="1"/>
      <c r="UOH253" s="1"/>
      <c r="UOI253" s="1"/>
      <c r="UOJ253" s="1"/>
      <c r="UOK253" s="1"/>
      <c r="UOL253" s="1"/>
      <c r="UOM253" s="1"/>
      <c r="UON253" s="1"/>
      <c r="UOO253" s="1"/>
      <c r="UOP253" s="1"/>
      <c r="UOQ253" s="1"/>
      <c r="UOR253" s="1"/>
      <c r="UOS253" s="1"/>
      <c r="UOT253" s="1"/>
      <c r="UOU253" s="1"/>
      <c r="UOV253" s="1"/>
      <c r="UOW253" s="1"/>
      <c r="UOX253" s="1"/>
      <c r="UOY253" s="1"/>
      <c r="UOZ253" s="1"/>
      <c r="UPA253" s="1"/>
      <c r="UPB253" s="1"/>
      <c r="UPC253" s="1"/>
      <c r="UPD253" s="1"/>
      <c r="UPE253" s="1"/>
      <c r="UPF253" s="1"/>
      <c r="UPG253" s="1"/>
      <c r="UPH253" s="1"/>
      <c r="UPI253" s="1"/>
      <c r="UPJ253" s="1"/>
      <c r="UPK253" s="1"/>
      <c r="UPL253" s="1"/>
      <c r="UPM253" s="1"/>
      <c r="UPN253" s="1"/>
      <c r="UPO253" s="1"/>
      <c r="UPP253" s="1"/>
      <c r="UPQ253" s="1"/>
      <c r="UPR253" s="1"/>
      <c r="UPS253" s="1"/>
      <c r="UPT253" s="1"/>
      <c r="UPU253" s="1"/>
      <c r="UPV253" s="1"/>
      <c r="UPW253" s="1"/>
      <c r="UPX253" s="1"/>
      <c r="UPY253" s="1"/>
      <c r="UPZ253" s="1"/>
      <c r="UQA253" s="1"/>
      <c r="UQB253" s="1"/>
      <c r="UQC253" s="1"/>
      <c r="UQD253" s="1"/>
      <c r="UQE253" s="1"/>
      <c r="UQF253" s="1"/>
      <c r="UQG253" s="1"/>
      <c r="UQH253" s="1"/>
      <c r="UQI253" s="1"/>
      <c r="UQJ253" s="1"/>
      <c r="UQK253" s="1"/>
      <c r="UQL253" s="1"/>
      <c r="UQM253" s="1"/>
      <c r="UQN253" s="1"/>
      <c r="UQO253" s="1"/>
      <c r="UQP253" s="1"/>
      <c r="UQQ253" s="1"/>
      <c r="UQR253" s="1"/>
      <c r="UQS253" s="1"/>
      <c r="UQT253" s="1"/>
      <c r="UQU253" s="1"/>
      <c r="UQV253" s="1"/>
      <c r="UQW253" s="1"/>
      <c r="UQX253" s="1"/>
      <c r="UQY253" s="1"/>
      <c r="UQZ253" s="1"/>
      <c r="URA253" s="1"/>
      <c r="URB253" s="1"/>
      <c r="URC253" s="1"/>
      <c r="URD253" s="1"/>
      <c r="URE253" s="1"/>
      <c r="URF253" s="1"/>
      <c r="URG253" s="1"/>
      <c r="URH253" s="1"/>
      <c r="URI253" s="1"/>
      <c r="URJ253" s="1"/>
      <c r="URK253" s="1"/>
      <c r="URL253" s="1"/>
      <c r="URM253" s="1"/>
      <c r="URN253" s="1"/>
      <c r="URO253" s="1"/>
      <c r="URP253" s="1"/>
      <c r="URQ253" s="1"/>
      <c r="URR253" s="1"/>
      <c r="URS253" s="1"/>
      <c r="URT253" s="1"/>
      <c r="URU253" s="1"/>
      <c r="URV253" s="1"/>
      <c r="URW253" s="1"/>
      <c r="URX253" s="1"/>
      <c r="URY253" s="1"/>
      <c r="URZ253" s="1"/>
      <c r="USA253" s="1"/>
      <c r="USB253" s="1"/>
      <c r="USC253" s="1"/>
      <c r="USD253" s="1"/>
      <c r="USE253" s="1"/>
      <c r="USF253" s="1"/>
      <c r="USG253" s="1"/>
      <c r="USH253" s="1"/>
      <c r="USI253" s="1"/>
      <c r="USJ253" s="1"/>
      <c r="USK253" s="1"/>
      <c r="USL253" s="1"/>
      <c r="USM253" s="1"/>
      <c r="USN253" s="1"/>
      <c r="USO253" s="1"/>
      <c r="USP253" s="1"/>
      <c r="USQ253" s="1"/>
      <c r="USR253" s="1"/>
      <c r="USS253" s="1"/>
      <c r="UST253" s="1"/>
      <c r="USU253" s="1"/>
      <c r="USV253" s="1"/>
      <c r="USW253" s="1"/>
      <c r="USX253" s="1"/>
      <c r="USY253" s="1"/>
      <c r="USZ253" s="1"/>
      <c r="UTA253" s="1"/>
      <c r="UTB253" s="1"/>
      <c r="UTC253" s="1"/>
      <c r="UTD253" s="1"/>
      <c r="UTE253" s="1"/>
      <c r="UTF253" s="1"/>
      <c r="UTG253" s="1"/>
      <c r="UTH253" s="1"/>
      <c r="UTI253" s="1"/>
      <c r="UTJ253" s="1"/>
      <c r="UTK253" s="1"/>
      <c r="UTL253" s="1"/>
      <c r="UTM253" s="1"/>
      <c r="UTN253" s="1"/>
      <c r="UTO253" s="1"/>
      <c r="UTP253" s="1"/>
      <c r="UTQ253" s="1"/>
      <c r="UTR253" s="1"/>
      <c r="UTS253" s="1"/>
      <c r="UTT253" s="1"/>
      <c r="UTU253" s="1"/>
      <c r="UTV253" s="1"/>
      <c r="UTW253" s="1"/>
      <c r="UTX253" s="1"/>
      <c r="UTY253" s="1"/>
      <c r="UTZ253" s="1"/>
      <c r="UUA253" s="1"/>
      <c r="UUB253" s="1"/>
      <c r="UUC253" s="1"/>
      <c r="UUD253" s="1"/>
      <c r="UUE253" s="1"/>
      <c r="UUF253" s="1"/>
      <c r="UUG253" s="1"/>
      <c r="UUH253" s="1"/>
      <c r="UUI253" s="1"/>
      <c r="UUJ253" s="1"/>
      <c r="UUK253" s="1"/>
      <c r="UUL253" s="1"/>
      <c r="UUM253" s="1"/>
      <c r="UUN253" s="1"/>
      <c r="UUO253" s="1"/>
      <c r="UUP253" s="1"/>
      <c r="UUQ253" s="1"/>
      <c r="UUR253" s="1"/>
      <c r="UUS253" s="1"/>
      <c r="UUT253" s="1"/>
      <c r="UUU253" s="1"/>
      <c r="UUV253" s="1"/>
      <c r="UUW253" s="1"/>
      <c r="UUX253" s="1"/>
      <c r="UUY253" s="1"/>
      <c r="UUZ253" s="1"/>
      <c r="UVA253" s="1"/>
      <c r="UVB253" s="1"/>
      <c r="UVC253" s="1"/>
      <c r="UVD253" s="1"/>
      <c r="UVE253" s="1"/>
      <c r="UVF253" s="1"/>
      <c r="UVG253" s="1"/>
      <c r="UVH253" s="1"/>
      <c r="UVI253" s="1"/>
      <c r="UVJ253" s="1"/>
      <c r="UVK253" s="1"/>
      <c r="UVL253" s="1"/>
      <c r="UVM253" s="1"/>
      <c r="UVN253" s="1"/>
      <c r="UVO253" s="1"/>
      <c r="UVP253" s="1"/>
      <c r="UVQ253" s="1"/>
      <c r="UVR253" s="1"/>
      <c r="UVS253" s="1"/>
      <c r="UVT253" s="1"/>
      <c r="UVU253" s="1"/>
      <c r="UVV253" s="1"/>
      <c r="UVW253" s="1"/>
      <c r="UVX253" s="1"/>
      <c r="UVY253" s="1"/>
      <c r="UVZ253" s="1"/>
      <c r="UWA253" s="1"/>
      <c r="UWB253" s="1"/>
      <c r="UWC253" s="1"/>
      <c r="UWD253" s="1"/>
      <c r="UWE253" s="1"/>
      <c r="UWF253" s="1"/>
      <c r="UWG253" s="1"/>
      <c r="UWH253" s="1"/>
      <c r="UWI253" s="1"/>
      <c r="UWJ253" s="1"/>
      <c r="UWK253" s="1"/>
      <c r="UWL253" s="1"/>
      <c r="UWM253" s="1"/>
      <c r="UWN253" s="1"/>
      <c r="UWO253" s="1"/>
      <c r="UWP253" s="1"/>
      <c r="UWQ253" s="1"/>
      <c r="UWR253" s="1"/>
      <c r="UWS253" s="1"/>
      <c r="UWT253" s="1"/>
      <c r="UWU253" s="1"/>
      <c r="UWV253" s="1"/>
      <c r="UWW253" s="1"/>
      <c r="UWX253" s="1"/>
      <c r="UWY253" s="1"/>
      <c r="UWZ253" s="1"/>
      <c r="UXA253" s="1"/>
      <c r="UXB253" s="1"/>
      <c r="UXC253" s="1"/>
      <c r="UXD253" s="1"/>
      <c r="UXE253" s="1"/>
      <c r="UXF253" s="1"/>
      <c r="UXG253" s="1"/>
      <c r="UXH253" s="1"/>
      <c r="UXI253" s="1"/>
      <c r="UXJ253" s="1"/>
      <c r="UXK253" s="1"/>
      <c r="UXL253" s="1"/>
      <c r="UXM253" s="1"/>
      <c r="UXN253" s="1"/>
      <c r="UXO253" s="1"/>
      <c r="UXP253" s="1"/>
      <c r="UXQ253" s="1"/>
      <c r="UXR253" s="1"/>
      <c r="UXS253" s="1"/>
      <c r="UXT253" s="1"/>
      <c r="UXU253" s="1"/>
      <c r="UXV253" s="1"/>
      <c r="UXW253" s="1"/>
      <c r="UXX253" s="1"/>
      <c r="UXY253" s="1"/>
      <c r="UXZ253" s="1"/>
      <c r="UYA253" s="1"/>
      <c r="UYB253" s="1"/>
      <c r="UYC253" s="1"/>
      <c r="UYD253" s="1"/>
      <c r="UYE253" s="1"/>
      <c r="UYF253" s="1"/>
      <c r="UYG253" s="1"/>
      <c r="UYH253" s="1"/>
      <c r="UYI253" s="1"/>
      <c r="UYJ253" s="1"/>
      <c r="UYK253" s="1"/>
      <c r="UYL253" s="1"/>
      <c r="UYM253" s="1"/>
      <c r="UYN253" s="1"/>
      <c r="UYO253" s="1"/>
      <c r="UYP253" s="1"/>
      <c r="UYQ253" s="1"/>
      <c r="UYR253" s="1"/>
      <c r="UYS253" s="1"/>
      <c r="UYT253" s="1"/>
      <c r="UYU253" s="1"/>
      <c r="UYV253" s="1"/>
      <c r="UYW253" s="1"/>
      <c r="UYX253" s="1"/>
      <c r="UYY253" s="1"/>
      <c r="UYZ253" s="1"/>
      <c r="UZA253" s="1"/>
      <c r="UZB253" s="1"/>
      <c r="UZC253" s="1"/>
      <c r="UZD253" s="1"/>
      <c r="UZE253" s="1"/>
      <c r="UZF253" s="1"/>
      <c r="UZG253" s="1"/>
      <c r="UZH253" s="1"/>
      <c r="UZI253" s="1"/>
      <c r="UZJ253" s="1"/>
      <c r="UZK253" s="1"/>
      <c r="UZL253" s="1"/>
      <c r="UZM253" s="1"/>
      <c r="UZN253" s="1"/>
      <c r="UZO253" s="1"/>
      <c r="UZP253" s="1"/>
      <c r="UZQ253" s="1"/>
      <c r="UZR253" s="1"/>
      <c r="UZS253" s="1"/>
      <c r="UZT253" s="1"/>
      <c r="UZU253" s="1"/>
      <c r="UZV253" s="1"/>
      <c r="UZW253" s="1"/>
      <c r="UZX253" s="1"/>
      <c r="UZY253" s="1"/>
      <c r="UZZ253" s="1"/>
      <c r="VAA253" s="1"/>
      <c r="VAB253" s="1"/>
      <c r="VAC253" s="1"/>
      <c r="VAD253" s="1"/>
      <c r="VAE253" s="1"/>
      <c r="VAF253" s="1"/>
      <c r="VAG253" s="1"/>
      <c r="VAH253" s="1"/>
      <c r="VAI253" s="1"/>
      <c r="VAJ253" s="1"/>
      <c r="VAK253" s="1"/>
      <c r="VAL253" s="1"/>
      <c r="VAM253" s="1"/>
      <c r="VAN253" s="1"/>
      <c r="VAO253" s="1"/>
      <c r="VAP253" s="1"/>
      <c r="VAQ253" s="1"/>
      <c r="VAR253" s="1"/>
      <c r="VAS253" s="1"/>
      <c r="VAT253" s="1"/>
      <c r="VAU253" s="1"/>
      <c r="VAV253" s="1"/>
      <c r="VAW253" s="1"/>
      <c r="VAX253" s="1"/>
      <c r="VAY253" s="1"/>
      <c r="VAZ253" s="1"/>
      <c r="VBA253" s="1"/>
      <c r="VBB253" s="1"/>
      <c r="VBC253" s="1"/>
      <c r="VBD253" s="1"/>
      <c r="VBE253" s="1"/>
      <c r="VBF253" s="1"/>
      <c r="VBG253" s="1"/>
      <c r="VBH253" s="1"/>
      <c r="VBI253" s="1"/>
      <c r="VBJ253" s="1"/>
      <c r="VBK253" s="1"/>
      <c r="VBL253" s="1"/>
      <c r="VBM253" s="1"/>
      <c r="VBN253" s="1"/>
      <c r="VBO253" s="1"/>
      <c r="VBP253" s="1"/>
      <c r="VBQ253" s="1"/>
      <c r="VBR253" s="1"/>
      <c r="VBS253" s="1"/>
      <c r="VBT253" s="1"/>
      <c r="VBU253" s="1"/>
      <c r="VBV253" s="1"/>
      <c r="VBW253" s="1"/>
      <c r="VBX253" s="1"/>
      <c r="VBY253" s="1"/>
      <c r="VBZ253" s="1"/>
      <c r="VCA253" s="1"/>
      <c r="VCB253" s="1"/>
      <c r="VCC253" s="1"/>
      <c r="VCD253" s="1"/>
      <c r="VCE253" s="1"/>
      <c r="VCF253" s="1"/>
      <c r="VCG253" s="1"/>
      <c r="VCH253" s="1"/>
      <c r="VCI253" s="1"/>
      <c r="VCJ253" s="1"/>
      <c r="VCK253" s="1"/>
      <c r="VCL253" s="1"/>
      <c r="VCM253" s="1"/>
      <c r="VCN253" s="1"/>
      <c r="VCO253" s="1"/>
      <c r="VCP253" s="1"/>
      <c r="VCQ253" s="1"/>
      <c r="VCR253" s="1"/>
      <c r="VCS253" s="1"/>
      <c r="VCT253" s="1"/>
      <c r="VCU253" s="1"/>
      <c r="VCV253" s="1"/>
      <c r="VCW253" s="1"/>
      <c r="VCX253" s="1"/>
      <c r="VCY253" s="1"/>
      <c r="VCZ253" s="1"/>
      <c r="VDA253" s="1"/>
      <c r="VDB253" s="1"/>
      <c r="VDC253" s="1"/>
      <c r="VDD253" s="1"/>
      <c r="VDE253" s="1"/>
      <c r="VDF253" s="1"/>
      <c r="VDG253" s="1"/>
      <c r="VDH253" s="1"/>
      <c r="VDI253" s="1"/>
      <c r="VDJ253" s="1"/>
      <c r="VDK253" s="1"/>
      <c r="VDL253" s="1"/>
      <c r="VDM253" s="1"/>
      <c r="VDN253" s="1"/>
      <c r="VDO253" s="1"/>
      <c r="VDP253" s="1"/>
      <c r="VDQ253" s="1"/>
      <c r="VDR253" s="1"/>
      <c r="VDS253" s="1"/>
      <c r="VDT253" s="1"/>
      <c r="VDU253" s="1"/>
      <c r="VDV253" s="1"/>
      <c r="VDW253" s="1"/>
      <c r="VDX253" s="1"/>
      <c r="VDY253" s="1"/>
      <c r="VDZ253" s="1"/>
      <c r="VEA253" s="1"/>
      <c r="VEB253" s="1"/>
      <c r="VEC253" s="1"/>
      <c r="VED253" s="1"/>
      <c r="VEE253" s="1"/>
      <c r="VEF253" s="1"/>
      <c r="VEG253" s="1"/>
      <c r="VEH253" s="1"/>
      <c r="VEI253" s="1"/>
      <c r="VEJ253" s="1"/>
      <c r="VEK253" s="1"/>
      <c r="VEL253" s="1"/>
      <c r="VEM253" s="1"/>
      <c r="VEN253" s="1"/>
      <c r="VEO253" s="1"/>
      <c r="VEP253" s="1"/>
      <c r="VEQ253" s="1"/>
      <c r="VER253" s="1"/>
      <c r="VES253" s="1"/>
      <c r="VET253" s="1"/>
      <c r="VEU253" s="1"/>
      <c r="VEV253" s="1"/>
      <c r="VEW253" s="1"/>
      <c r="VEX253" s="1"/>
      <c r="VEY253" s="1"/>
      <c r="VEZ253" s="1"/>
      <c r="VFA253" s="1"/>
      <c r="VFB253" s="1"/>
      <c r="VFC253" s="1"/>
      <c r="VFD253" s="1"/>
      <c r="VFE253" s="1"/>
      <c r="VFF253" s="1"/>
      <c r="VFG253" s="1"/>
      <c r="VFH253" s="1"/>
      <c r="VFI253" s="1"/>
      <c r="VFJ253" s="1"/>
      <c r="VFK253" s="1"/>
      <c r="VFL253" s="1"/>
      <c r="VFM253" s="1"/>
      <c r="VFN253" s="1"/>
      <c r="VFO253" s="1"/>
      <c r="VFP253" s="1"/>
      <c r="VFQ253" s="1"/>
      <c r="VFR253" s="1"/>
      <c r="VFS253" s="1"/>
      <c r="VFT253" s="1"/>
      <c r="VFU253" s="1"/>
      <c r="VFV253" s="1"/>
      <c r="VFW253" s="1"/>
      <c r="VFX253" s="1"/>
      <c r="VFY253" s="1"/>
      <c r="VFZ253" s="1"/>
      <c r="VGA253" s="1"/>
      <c r="VGB253" s="1"/>
      <c r="VGC253" s="1"/>
      <c r="VGD253" s="1"/>
      <c r="VGE253" s="1"/>
      <c r="VGF253" s="1"/>
      <c r="VGG253" s="1"/>
      <c r="VGH253" s="1"/>
      <c r="VGI253" s="1"/>
      <c r="VGJ253" s="1"/>
      <c r="VGK253" s="1"/>
      <c r="VGL253" s="1"/>
      <c r="VGM253" s="1"/>
      <c r="VGN253" s="1"/>
      <c r="VGO253" s="1"/>
      <c r="VGP253" s="1"/>
      <c r="VGQ253" s="1"/>
      <c r="VGR253" s="1"/>
      <c r="VGS253" s="1"/>
      <c r="VGT253" s="1"/>
      <c r="VGU253" s="1"/>
      <c r="VGV253" s="1"/>
      <c r="VGW253" s="1"/>
      <c r="VGX253" s="1"/>
      <c r="VGY253" s="1"/>
      <c r="VGZ253" s="1"/>
      <c r="VHA253" s="1"/>
      <c r="VHB253" s="1"/>
      <c r="VHC253" s="1"/>
      <c r="VHD253" s="1"/>
      <c r="VHE253" s="1"/>
      <c r="VHF253" s="1"/>
      <c r="VHG253" s="1"/>
      <c r="VHH253" s="1"/>
      <c r="VHI253" s="1"/>
      <c r="VHJ253" s="1"/>
      <c r="VHK253" s="1"/>
      <c r="VHL253" s="1"/>
      <c r="VHM253" s="1"/>
      <c r="VHN253" s="1"/>
      <c r="VHO253" s="1"/>
      <c r="VHP253" s="1"/>
      <c r="VHQ253" s="1"/>
      <c r="VHR253" s="1"/>
      <c r="VHS253" s="1"/>
      <c r="VHT253" s="1"/>
      <c r="VHU253" s="1"/>
      <c r="VHV253" s="1"/>
      <c r="VHW253" s="1"/>
      <c r="VHX253" s="1"/>
      <c r="VHY253" s="1"/>
      <c r="VHZ253" s="1"/>
      <c r="VIA253" s="1"/>
      <c r="VIB253" s="1"/>
      <c r="VIC253" s="1"/>
      <c r="VID253" s="1"/>
      <c r="VIE253" s="1"/>
      <c r="VIF253" s="1"/>
      <c r="VIG253" s="1"/>
      <c r="VIH253" s="1"/>
      <c r="VII253" s="1"/>
      <c r="VIJ253" s="1"/>
      <c r="VIK253" s="1"/>
      <c r="VIL253" s="1"/>
      <c r="VIM253" s="1"/>
      <c r="VIN253" s="1"/>
      <c r="VIO253" s="1"/>
      <c r="VIP253" s="1"/>
      <c r="VIQ253" s="1"/>
      <c r="VIR253" s="1"/>
      <c r="VIS253" s="1"/>
      <c r="VIT253" s="1"/>
      <c r="VIU253" s="1"/>
      <c r="VIV253" s="1"/>
      <c r="VIW253" s="1"/>
      <c r="VIX253" s="1"/>
      <c r="VIY253" s="1"/>
      <c r="VIZ253" s="1"/>
      <c r="VJA253" s="1"/>
      <c r="VJB253" s="1"/>
      <c r="VJC253" s="1"/>
      <c r="VJD253" s="1"/>
      <c r="VJE253" s="1"/>
      <c r="VJF253" s="1"/>
      <c r="VJG253" s="1"/>
      <c r="VJH253" s="1"/>
      <c r="VJI253" s="1"/>
      <c r="VJJ253" s="1"/>
      <c r="VJK253" s="1"/>
      <c r="VJL253" s="1"/>
      <c r="VJM253" s="1"/>
      <c r="VJN253" s="1"/>
      <c r="VJO253" s="1"/>
      <c r="VJP253" s="1"/>
      <c r="VJQ253" s="1"/>
      <c r="VJR253" s="1"/>
      <c r="VJS253" s="1"/>
      <c r="VJT253" s="1"/>
      <c r="VJU253" s="1"/>
      <c r="VJV253" s="1"/>
      <c r="VJW253" s="1"/>
      <c r="VJX253" s="1"/>
      <c r="VJY253" s="1"/>
      <c r="VJZ253" s="1"/>
      <c r="VKA253" s="1"/>
      <c r="VKB253" s="1"/>
      <c r="VKC253" s="1"/>
      <c r="VKD253" s="1"/>
      <c r="VKE253" s="1"/>
      <c r="VKF253" s="1"/>
      <c r="VKG253" s="1"/>
      <c r="VKH253" s="1"/>
      <c r="VKI253" s="1"/>
      <c r="VKJ253" s="1"/>
      <c r="VKK253" s="1"/>
      <c r="VKL253" s="1"/>
      <c r="VKM253" s="1"/>
      <c r="VKN253" s="1"/>
      <c r="VKO253" s="1"/>
      <c r="VKP253" s="1"/>
      <c r="VKQ253" s="1"/>
      <c r="VKR253" s="1"/>
      <c r="VKS253" s="1"/>
      <c r="VKT253" s="1"/>
      <c r="VKU253" s="1"/>
      <c r="VKV253" s="1"/>
      <c r="VKW253" s="1"/>
      <c r="VKX253" s="1"/>
      <c r="VKY253" s="1"/>
      <c r="VKZ253" s="1"/>
      <c r="VLA253" s="1"/>
      <c r="VLB253" s="1"/>
      <c r="VLC253" s="1"/>
      <c r="VLD253" s="1"/>
      <c r="VLE253" s="1"/>
      <c r="VLF253" s="1"/>
      <c r="VLG253" s="1"/>
      <c r="VLH253" s="1"/>
      <c r="VLI253" s="1"/>
      <c r="VLJ253" s="1"/>
      <c r="VLK253" s="1"/>
      <c r="VLL253" s="1"/>
      <c r="VLM253" s="1"/>
      <c r="VLN253" s="1"/>
      <c r="VLO253" s="1"/>
      <c r="VLP253" s="1"/>
      <c r="VLQ253" s="1"/>
      <c r="VLR253" s="1"/>
      <c r="VLS253" s="1"/>
      <c r="VLT253" s="1"/>
      <c r="VLU253" s="1"/>
      <c r="VLV253" s="1"/>
      <c r="VLW253" s="1"/>
      <c r="VLX253" s="1"/>
      <c r="VLY253" s="1"/>
      <c r="VLZ253" s="1"/>
      <c r="VMA253" s="1"/>
      <c r="VMB253" s="1"/>
      <c r="VMC253" s="1"/>
      <c r="VMD253" s="1"/>
      <c r="VME253" s="1"/>
      <c r="VMF253" s="1"/>
      <c r="VMG253" s="1"/>
      <c r="VMH253" s="1"/>
      <c r="VMI253" s="1"/>
      <c r="VMJ253" s="1"/>
      <c r="VMK253" s="1"/>
      <c r="VML253" s="1"/>
      <c r="VMM253" s="1"/>
      <c r="VMN253" s="1"/>
      <c r="VMO253" s="1"/>
      <c r="VMP253" s="1"/>
      <c r="VMQ253" s="1"/>
      <c r="VMR253" s="1"/>
      <c r="VMS253" s="1"/>
      <c r="VMT253" s="1"/>
      <c r="VMU253" s="1"/>
      <c r="VMV253" s="1"/>
      <c r="VMW253" s="1"/>
      <c r="VMX253" s="1"/>
      <c r="VMY253" s="1"/>
      <c r="VMZ253" s="1"/>
      <c r="VNA253" s="1"/>
      <c r="VNB253" s="1"/>
      <c r="VNC253" s="1"/>
      <c r="VND253" s="1"/>
      <c r="VNE253" s="1"/>
      <c r="VNF253" s="1"/>
      <c r="VNG253" s="1"/>
      <c r="VNH253" s="1"/>
      <c r="VNI253" s="1"/>
      <c r="VNJ253" s="1"/>
      <c r="VNK253" s="1"/>
      <c r="VNL253" s="1"/>
      <c r="VNM253" s="1"/>
      <c r="VNN253" s="1"/>
      <c r="VNO253" s="1"/>
      <c r="VNP253" s="1"/>
      <c r="VNQ253" s="1"/>
      <c r="VNR253" s="1"/>
      <c r="VNS253" s="1"/>
      <c r="VNT253" s="1"/>
      <c r="VNU253" s="1"/>
      <c r="VNV253" s="1"/>
      <c r="VNW253" s="1"/>
      <c r="VNX253" s="1"/>
      <c r="VNY253" s="1"/>
      <c r="VNZ253" s="1"/>
      <c r="VOA253" s="1"/>
      <c r="VOB253" s="1"/>
      <c r="VOC253" s="1"/>
      <c r="VOD253" s="1"/>
      <c r="VOE253" s="1"/>
      <c r="VOF253" s="1"/>
      <c r="VOG253" s="1"/>
      <c r="VOH253" s="1"/>
      <c r="VOI253" s="1"/>
      <c r="VOJ253" s="1"/>
      <c r="VOK253" s="1"/>
      <c r="VOL253" s="1"/>
      <c r="VOM253" s="1"/>
      <c r="VON253" s="1"/>
      <c r="VOO253" s="1"/>
      <c r="VOP253" s="1"/>
      <c r="VOQ253" s="1"/>
      <c r="VOR253" s="1"/>
      <c r="VOS253" s="1"/>
      <c r="VOT253" s="1"/>
      <c r="VOU253" s="1"/>
      <c r="VOV253" s="1"/>
      <c r="VOW253" s="1"/>
      <c r="VOX253" s="1"/>
      <c r="VOY253" s="1"/>
      <c r="VOZ253" s="1"/>
      <c r="VPA253" s="1"/>
      <c r="VPB253" s="1"/>
      <c r="VPC253" s="1"/>
      <c r="VPD253" s="1"/>
      <c r="VPE253" s="1"/>
      <c r="VPF253" s="1"/>
      <c r="VPG253" s="1"/>
      <c r="VPH253" s="1"/>
      <c r="VPI253" s="1"/>
      <c r="VPJ253" s="1"/>
      <c r="VPK253" s="1"/>
      <c r="VPL253" s="1"/>
      <c r="VPM253" s="1"/>
      <c r="VPN253" s="1"/>
      <c r="VPO253" s="1"/>
      <c r="VPP253" s="1"/>
      <c r="VPQ253" s="1"/>
      <c r="VPR253" s="1"/>
      <c r="VPS253" s="1"/>
      <c r="VPT253" s="1"/>
      <c r="VPU253" s="1"/>
      <c r="VPV253" s="1"/>
      <c r="VPW253" s="1"/>
      <c r="VPX253" s="1"/>
      <c r="VPY253" s="1"/>
      <c r="VPZ253" s="1"/>
      <c r="VQA253" s="1"/>
      <c r="VQB253" s="1"/>
      <c r="VQC253" s="1"/>
      <c r="VQD253" s="1"/>
      <c r="VQE253" s="1"/>
      <c r="VQF253" s="1"/>
      <c r="VQG253" s="1"/>
      <c r="VQH253" s="1"/>
      <c r="VQI253" s="1"/>
      <c r="VQJ253" s="1"/>
      <c r="VQK253" s="1"/>
      <c r="VQL253" s="1"/>
      <c r="VQM253" s="1"/>
      <c r="VQN253" s="1"/>
      <c r="VQO253" s="1"/>
      <c r="VQP253" s="1"/>
      <c r="VQQ253" s="1"/>
      <c r="VQR253" s="1"/>
      <c r="VQS253" s="1"/>
      <c r="VQT253" s="1"/>
      <c r="VQU253" s="1"/>
      <c r="VQV253" s="1"/>
      <c r="VQW253" s="1"/>
      <c r="VQX253" s="1"/>
      <c r="VQY253" s="1"/>
      <c r="VQZ253" s="1"/>
      <c r="VRA253" s="1"/>
      <c r="VRB253" s="1"/>
      <c r="VRC253" s="1"/>
      <c r="VRD253" s="1"/>
      <c r="VRE253" s="1"/>
      <c r="VRF253" s="1"/>
      <c r="VRG253" s="1"/>
      <c r="VRH253" s="1"/>
      <c r="VRI253" s="1"/>
      <c r="VRJ253" s="1"/>
      <c r="VRK253" s="1"/>
      <c r="VRL253" s="1"/>
      <c r="VRM253" s="1"/>
      <c r="VRN253" s="1"/>
      <c r="VRO253" s="1"/>
      <c r="VRP253" s="1"/>
      <c r="VRQ253" s="1"/>
      <c r="VRR253" s="1"/>
      <c r="VRS253" s="1"/>
      <c r="VRT253" s="1"/>
      <c r="VRU253" s="1"/>
      <c r="VRV253" s="1"/>
      <c r="VRW253" s="1"/>
      <c r="VRX253" s="1"/>
      <c r="VRY253" s="1"/>
      <c r="VRZ253" s="1"/>
      <c r="VSA253" s="1"/>
      <c r="VSB253" s="1"/>
      <c r="VSC253" s="1"/>
      <c r="VSD253" s="1"/>
      <c r="VSE253" s="1"/>
      <c r="VSF253" s="1"/>
      <c r="VSG253" s="1"/>
      <c r="VSH253" s="1"/>
      <c r="VSI253" s="1"/>
      <c r="VSJ253" s="1"/>
      <c r="VSK253" s="1"/>
      <c r="VSL253" s="1"/>
      <c r="VSM253" s="1"/>
      <c r="VSN253" s="1"/>
      <c r="VSO253" s="1"/>
      <c r="VSP253" s="1"/>
      <c r="VSQ253" s="1"/>
      <c r="VSR253" s="1"/>
      <c r="VSS253" s="1"/>
      <c r="VST253" s="1"/>
      <c r="VSU253" s="1"/>
      <c r="VSV253" s="1"/>
      <c r="VSW253" s="1"/>
      <c r="VSX253" s="1"/>
      <c r="VSY253" s="1"/>
      <c r="VSZ253" s="1"/>
      <c r="VTA253" s="1"/>
      <c r="VTB253" s="1"/>
      <c r="VTC253" s="1"/>
      <c r="VTD253" s="1"/>
      <c r="VTE253" s="1"/>
      <c r="VTF253" s="1"/>
      <c r="VTG253" s="1"/>
      <c r="VTH253" s="1"/>
      <c r="VTI253" s="1"/>
      <c r="VTJ253" s="1"/>
      <c r="VTK253" s="1"/>
      <c r="VTL253" s="1"/>
      <c r="VTM253" s="1"/>
      <c r="VTN253" s="1"/>
      <c r="VTO253" s="1"/>
      <c r="VTP253" s="1"/>
      <c r="VTQ253" s="1"/>
      <c r="VTR253" s="1"/>
      <c r="VTS253" s="1"/>
      <c r="VTT253" s="1"/>
      <c r="VTU253" s="1"/>
      <c r="VTV253" s="1"/>
      <c r="VTW253" s="1"/>
      <c r="VTX253" s="1"/>
      <c r="VTY253" s="1"/>
      <c r="VTZ253" s="1"/>
      <c r="VUA253" s="1"/>
      <c r="VUB253" s="1"/>
      <c r="VUC253" s="1"/>
      <c r="VUD253" s="1"/>
      <c r="VUE253" s="1"/>
      <c r="VUF253" s="1"/>
      <c r="VUG253" s="1"/>
      <c r="VUH253" s="1"/>
      <c r="VUI253" s="1"/>
      <c r="VUJ253" s="1"/>
      <c r="VUK253" s="1"/>
      <c r="VUL253" s="1"/>
      <c r="VUM253" s="1"/>
      <c r="VUN253" s="1"/>
      <c r="VUO253" s="1"/>
      <c r="VUP253" s="1"/>
      <c r="VUQ253" s="1"/>
      <c r="VUR253" s="1"/>
      <c r="VUS253" s="1"/>
      <c r="VUT253" s="1"/>
      <c r="VUU253" s="1"/>
      <c r="VUV253" s="1"/>
      <c r="VUW253" s="1"/>
      <c r="VUX253" s="1"/>
      <c r="VUY253" s="1"/>
      <c r="VUZ253" s="1"/>
      <c r="VVA253" s="1"/>
      <c r="VVB253" s="1"/>
      <c r="VVC253" s="1"/>
      <c r="VVD253" s="1"/>
      <c r="VVE253" s="1"/>
      <c r="VVF253" s="1"/>
      <c r="VVG253" s="1"/>
      <c r="VVH253" s="1"/>
      <c r="VVI253" s="1"/>
      <c r="VVJ253" s="1"/>
      <c r="VVK253" s="1"/>
      <c r="VVL253" s="1"/>
      <c r="VVM253" s="1"/>
      <c r="VVN253" s="1"/>
      <c r="VVO253" s="1"/>
      <c r="VVP253" s="1"/>
      <c r="VVQ253" s="1"/>
      <c r="VVR253" s="1"/>
      <c r="VVS253" s="1"/>
      <c r="VVT253" s="1"/>
      <c r="VVU253" s="1"/>
      <c r="VVV253" s="1"/>
      <c r="VVW253" s="1"/>
      <c r="VVX253" s="1"/>
      <c r="VVY253" s="1"/>
      <c r="VVZ253" s="1"/>
      <c r="VWA253" s="1"/>
      <c r="VWB253" s="1"/>
      <c r="VWC253" s="1"/>
      <c r="VWD253" s="1"/>
      <c r="VWE253" s="1"/>
      <c r="VWF253" s="1"/>
      <c r="VWG253" s="1"/>
      <c r="VWH253" s="1"/>
      <c r="VWI253" s="1"/>
      <c r="VWJ253" s="1"/>
      <c r="VWK253" s="1"/>
      <c r="VWL253" s="1"/>
      <c r="VWM253" s="1"/>
      <c r="VWN253" s="1"/>
      <c r="VWO253" s="1"/>
      <c r="VWP253" s="1"/>
      <c r="VWQ253" s="1"/>
      <c r="VWR253" s="1"/>
      <c r="VWS253" s="1"/>
      <c r="VWT253" s="1"/>
      <c r="VWU253" s="1"/>
      <c r="VWV253" s="1"/>
      <c r="VWW253" s="1"/>
      <c r="VWX253" s="1"/>
      <c r="VWY253" s="1"/>
      <c r="VWZ253" s="1"/>
      <c r="VXA253" s="1"/>
      <c r="VXB253" s="1"/>
      <c r="VXC253" s="1"/>
      <c r="VXD253" s="1"/>
      <c r="VXE253" s="1"/>
      <c r="VXF253" s="1"/>
      <c r="VXG253" s="1"/>
      <c r="VXH253" s="1"/>
      <c r="VXI253" s="1"/>
      <c r="VXJ253" s="1"/>
      <c r="VXK253" s="1"/>
      <c r="VXL253" s="1"/>
      <c r="VXM253" s="1"/>
      <c r="VXN253" s="1"/>
      <c r="VXO253" s="1"/>
      <c r="VXP253" s="1"/>
      <c r="VXQ253" s="1"/>
      <c r="VXR253" s="1"/>
      <c r="VXS253" s="1"/>
      <c r="VXT253" s="1"/>
      <c r="VXU253" s="1"/>
      <c r="VXV253" s="1"/>
      <c r="VXW253" s="1"/>
      <c r="VXX253" s="1"/>
      <c r="VXY253" s="1"/>
      <c r="VXZ253" s="1"/>
      <c r="VYA253" s="1"/>
      <c r="VYB253" s="1"/>
      <c r="VYC253" s="1"/>
      <c r="VYD253" s="1"/>
      <c r="VYE253" s="1"/>
      <c r="VYF253" s="1"/>
      <c r="VYG253" s="1"/>
      <c r="VYH253" s="1"/>
      <c r="VYI253" s="1"/>
      <c r="VYJ253" s="1"/>
      <c r="VYK253" s="1"/>
      <c r="VYL253" s="1"/>
      <c r="VYM253" s="1"/>
      <c r="VYN253" s="1"/>
      <c r="VYO253" s="1"/>
      <c r="VYP253" s="1"/>
      <c r="VYQ253" s="1"/>
      <c r="VYR253" s="1"/>
      <c r="VYS253" s="1"/>
      <c r="VYT253" s="1"/>
      <c r="VYU253" s="1"/>
      <c r="VYV253" s="1"/>
      <c r="VYW253" s="1"/>
      <c r="VYX253" s="1"/>
      <c r="VYY253" s="1"/>
      <c r="VYZ253" s="1"/>
      <c r="VZA253" s="1"/>
      <c r="VZB253" s="1"/>
      <c r="VZC253" s="1"/>
      <c r="VZD253" s="1"/>
      <c r="VZE253" s="1"/>
      <c r="VZF253" s="1"/>
      <c r="VZG253" s="1"/>
      <c r="VZH253" s="1"/>
      <c r="VZI253" s="1"/>
      <c r="VZJ253" s="1"/>
      <c r="VZK253" s="1"/>
      <c r="VZL253" s="1"/>
      <c r="VZM253" s="1"/>
      <c r="VZN253" s="1"/>
      <c r="VZO253" s="1"/>
      <c r="VZP253" s="1"/>
      <c r="VZQ253" s="1"/>
      <c r="VZR253" s="1"/>
      <c r="VZS253" s="1"/>
      <c r="VZT253" s="1"/>
      <c r="VZU253" s="1"/>
      <c r="VZV253" s="1"/>
      <c r="VZW253" s="1"/>
      <c r="VZX253" s="1"/>
      <c r="VZY253" s="1"/>
      <c r="VZZ253" s="1"/>
      <c r="WAA253" s="1"/>
      <c r="WAB253" s="1"/>
      <c r="WAC253" s="1"/>
      <c r="WAD253" s="1"/>
      <c r="WAE253" s="1"/>
      <c r="WAF253" s="1"/>
      <c r="WAG253" s="1"/>
      <c r="WAH253" s="1"/>
      <c r="WAI253" s="1"/>
      <c r="WAJ253" s="1"/>
      <c r="WAK253" s="1"/>
      <c r="WAL253" s="1"/>
      <c r="WAM253" s="1"/>
      <c r="WAN253" s="1"/>
      <c r="WAO253" s="1"/>
      <c r="WAP253" s="1"/>
      <c r="WAQ253" s="1"/>
      <c r="WAR253" s="1"/>
      <c r="WAS253" s="1"/>
      <c r="WAT253" s="1"/>
      <c r="WAU253" s="1"/>
      <c r="WAV253" s="1"/>
      <c r="WAW253" s="1"/>
      <c r="WAX253" s="1"/>
      <c r="WAY253" s="1"/>
      <c r="WAZ253" s="1"/>
      <c r="WBA253" s="1"/>
      <c r="WBB253" s="1"/>
      <c r="WBC253" s="1"/>
      <c r="WBD253" s="1"/>
      <c r="WBE253" s="1"/>
      <c r="WBF253" s="1"/>
      <c r="WBG253" s="1"/>
      <c r="WBH253" s="1"/>
      <c r="WBI253" s="1"/>
      <c r="WBJ253" s="1"/>
      <c r="WBK253" s="1"/>
      <c r="WBL253" s="1"/>
      <c r="WBM253" s="1"/>
      <c r="WBN253" s="1"/>
      <c r="WBO253" s="1"/>
      <c r="WBP253" s="1"/>
      <c r="WBQ253" s="1"/>
      <c r="WBR253" s="1"/>
      <c r="WBS253" s="1"/>
      <c r="WBT253" s="1"/>
      <c r="WBU253" s="1"/>
      <c r="WBV253" s="1"/>
      <c r="WBW253" s="1"/>
      <c r="WBX253" s="1"/>
      <c r="WBY253" s="1"/>
      <c r="WBZ253" s="1"/>
      <c r="WCA253" s="1"/>
      <c r="WCB253" s="1"/>
      <c r="WCC253" s="1"/>
      <c r="WCD253" s="1"/>
      <c r="WCE253" s="1"/>
      <c r="WCF253" s="1"/>
      <c r="WCG253" s="1"/>
      <c r="WCH253" s="1"/>
      <c r="WCI253" s="1"/>
      <c r="WCJ253" s="1"/>
      <c r="WCK253" s="1"/>
      <c r="WCL253" s="1"/>
      <c r="WCM253" s="1"/>
      <c r="WCN253" s="1"/>
      <c r="WCO253" s="1"/>
      <c r="WCP253" s="1"/>
      <c r="WCQ253" s="1"/>
      <c r="WCR253" s="1"/>
      <c r="WCS253" s="1"/>
      <c r="WCT253" s="1"/>
      <c r="WCU253" s="1"/>
      <c r="WCV253" s="1"/>
      <c r="WCW253" s="1"/>
      <c r="WCX253" s="1"/>
      <c r="WCY253" s="1"/>
      <c r="WCZ253" s="1"/>
      <c r="WDA253" s="1"/>
      <c r="WDB253" s="1"/>
      <c r="WDC253" s="1"/>
      <c r="WDD253" s="1"/>
      <c r="WDE253" s="1"/>
      <c r="WDF253" s="1"/>
      <c r="WDG253" s="1"/>
      <c r="WDH253" s="1"/>
      <c r="WDI253" s="1"/>
      <c r="WDJ253" s="1"/>
      <c r="WDK253" s="1"/>
      <c r="WDL253" s="1"/>
      <c r="WDM253" s="1"/>
      <c r="WDN253" s="1"/>
      <c r="WDO253" s="1"/>
      <c r="WDP253" s="1"/>
      <c r="WDQ253" s="1"/>
      <c r="WDR253" s="1"/>
      <c r="WDS253" s="1"/>
      <c r="WDT253" s="1"/>
      <c r="WDU253" s="1"/>
      <c r="WDV253" s="1"/>
      <c r="WDW253" s="1"/>
      <c r="WDX253" s="1"/>
      <c r="WDY253" s="1"/>
      <c r="WDZ253" s="1"/>
      <c r="WEA253" s="1"/>
      <c r="WEB253" s="1"/>
      <c r="WEC253" s="1"/>
      <c r="WED253" s="1"/>
      <c r="WEE253" s="1"/>
      <c r="WEF253" s="1"/>
      <c r="WEG253" s="1"/>
      <c r="WEH253" s="1"/>
      <c r="WEI253" s="1"/>
      <c r="WEJ253" s="1"/>
      <c r="WEK253" s="1"/>
      <c r="WEL253" s="1"/>
      <c r="WEM253" s="1"/>
      <c r="WEN253" s="1"/>
      <c r="WEO253" s="1"/>
      <c r="WEP253" s="1"/>
      <c r="WEQ253" s="1"/>
      <c r="WER253" s="1"/>
      <c r="WES253" s="1"/>
      <c r="WET253" s="1"/>
      <c r="WEU253" s="1"/>
      <c r="WEV253" s="1"/>
      <c r="WEW253" s="1"/>
      <c r="WEX253" s="1"/>
      <c r="WEY253" s="1"/>
      <c r="WEZ253" s="1"/>
      <c r="WFA253" s="1"/>
      <c r="WFB253" s="1"/>
      <c r="WFC253" s="1"/>
      <c r="WFD253" s="1"/>
      <c r="WFE253" s="1"/>
      <c r="WFF253" s="1"/>
      <c r="WFG253" s="1"/>
      <c r="WFH253" s="1"/>
      <c r="WFI253" s="1"/>
      <c r="WFJ253" s="1"/>
      <c r="WFK253" s="1"/>
      <c r="WFL253" s="1"/>
      <c r="WFM253" s="1"/>
      <c r="WFN253" s="1"/>
      <c r="WFO253" s="1"/>
      <c r="WFP253" s="1"/>
      <c r="WFQ253" s="1"/>
      <c r="WFR253" s="1"/>
      <c r="WFS253" s="1"/>
      <c r="WFT253" s="1"/>
      <c r="WFU253" s="1"/>
      <c r="WFV253" s="1"/>
      <c r="WFW253" s="1"/>
      <c r="WFX253" s="1"/>
      <c r="WFY253" s="1"/>
      <c r="WFZ253" s="1"/>
      <c r="WGA253" s="1"/>
      <c r="WGB253" s="1"/>
      <c r="WGC253" s="1"/>
      <c r="WGD253" s="1"/>
      <c r="WGE253" s="1"/>
      <c r="WGF253" s="1"/>
      <c r="WGG253" s="1"/>
      <c r="WGH253" s="1"/>
      <c r="WGI253" s="1"/>
      <c r="WGJ253" s="1"/>
      <c r="WGK253" s="1"/>
      <c r="WGL253" s="1"/>
      <c r="WGM253" s="1"/>
      <c r="WGN253" s="1"/>
      <c r="WGO253" s="1"/>
      <c r="WGP253" s="1"/>
      <c r="WGQ253" s="1"/>
      <c r="WGR253" s="1"/>
      <c r="WGS253" s="1"/>
      <c r="WGT253" s="1"/>
      <c r="WGU253" s="1"/>
      <c r="WGV253" s="1"/>
      <c r="WGW253" s="1"/>
      <c r="WGX253" s="1"/>
      <c r="WGY253" s="1"/>
      <c r="WGZ253" s="1"/>
      <c r="WHA253" s="1"/>
      <c r="WHB253" s="1"/>
      <c r="WHC253" s="1"/>
      <c r="WHD253" s="1"/>
      <c r="WHE253" s="1"/>
      <c r="WHF253" s="1"/>
      <c r="WHG253" s="1"/>
      <c r="WHH253" s="1"/>
      <c r="WHI253" s="1"/>
      <c r="WHJ253" s="1"/>
      <c r="WHK253" s="1"/>
      <c r="WHL253" s="1"/>
      <c r="WHM253" s="1"/>
      <c r="WHN253" s="1"/>
      <c r="WHO253" s="1"/>
      <c r="WHP253" s="1"/>
      <c r="WHQ253" s="1"/>
      <c r="WHR253" s="1"/>
      <c r="WHS253" s="1"/>
      <c r="WHT253" s="1"/>
      <c r="WHU253" s="1"/>
      <c r="WHV253" s="1"/>
      <c r="WHW253" s="1"/>
      <c r="WHX253" s="1"/>
      <c r="WHY253" s="1"/>
      <c r="WHZ253" s="1"/>
      <c r="WIA253" s="1"/>
      <c r="WIB253" s="1"/>
      <c r="WIC253" s="1"/>
      <c r="WID253" s="1"/>
      <c r="WIE253" s="1"/>
      <c r="WIF253" s="1"/>
      <c r="WIG253" s="1"/>
      <c r="WIH253" s="1"/>
      <c r="WII253" s="1"/>
      <c r="WIJ253" s="1"/>
      <c r="WIK253" s="1"/>
      <c r="WIL253" s="1"/>
      <c r="WIM253" s="1"/>
      <c r="WIN253" s="1"/>
      <c r="WIO253" s="1"/>
      <c r="WIP253" s="1"/>
      <c r="WIQ253" s="1"/>
      <c r="WIR253" s="1"/>
      <c r="WIS253" s="1"/>
      <c r="WIT253" s="1"/>
      <c r="WIU253" s="1"/>
      <c r="WIV253" s="1"/>
      <c r="WIW253" s="1"/>
      <c r="WIX253" s="1"/>
      <c r="WIY253" s="1"/>
      <c r="WIZ253" s="1"/>
      <c r="WJA253" s="1"/>
      <c r="WJB253" s="1"/>
      <c r="WJC253" s="1"/>
      <c r="WJD253" s="1"/>
      <c r="WJE253" s="1"/>
      <c r="WJF253" s="1"/>
      <c r="WJG253" s="1"/>
      <c r="WJH253" s="1"/>
      <c r="WJI253" s="1"/>
      <c r="WJJ253" s="1"/>
      <c r="WJK253" s="1"/>
      <c r="WJL253" s="1"/>
      <c r="WJM253" s="1"/>
      <c r="WJN253" s="1"/>
      <c r="WJO253" s="1"/>
      <c r="WJP253" s="1"/>
      <c r="WJQ253" s="1"/>
      <c r="WJR253" s="1"/>
      <c r="WJS253" s="1"/>
      <c r="WJT253" s="1"/>
      <c r="WJU253" s="1"/>
      <c r="WJV253" s="1"/>
      <c r="WJW253" s="1"/>
      <c r="WJX253" s="1"/>
      <c r="WJY253" s="1"/>
      <c r="WJZ253" s="1"/>
      <c r="WKA253" s="1"/>
      <c r="WKB253" s="1"/>
      <c r="WKC253" s="1"/>
      <c r="WKD253" s="1"/>
      <c r="WKE253" s="1"/>
      <c r="WKF253" s="1"/>
      <c r="WKG253" s="1"/>
      <c r="WKH253" s="1"/>
      <c r="WKI253" s="1"/>
      <c r="WKJ253" s="1"/>
      <c r="WKK253" s="1"/>
      <c r="WKL253" s="1"/>
      <c r="WKM253" s="1"/>
      <c r="WKN253" s="1"/>
      <c r="WKO253" s="1"/>
      <c r="WKP253" s="1"/>
      <c r="WKQ253" s="1"/>
      <c r="WKR253" s="1"/>
      <c r="WKS253" s="1"/>
      <c r="WKT253" s="1"/>
      <c r="WKU253" s="1"/>
      <c r="WKV253" s="1"/>
      <c r="WKW253" s="1"/>
      <c r="WKX253" s="1"/>
      <c r="WKY253" s="1"/>
      <c r="WKZ253" s="1"/>
      <c r="WLA253" s="1"/>
      <c r="WLB253" s="1"/>
      <c r="WLC253" s="1"/>
      <c r="WLD253" s="1"/>
      <c r="WLE253" s="1"/>
      <c r="WLF253" s="1"/>
      <c r="WLG253" s="1"/>
      <c r="WLH253" s="1"/>
      <c r="WLI253" s="1"/>
      <c r="WLJ253" s="1"/>
      <c r="WLK253" s="1"/>
      <c r="WLL253" s="1"/>
      <c r="WLM253" s="1"/>
      <c r="WLN253" s="1"/>
      <c r="WLO253" s="1"/>
      <c r="WLP253" s="1"/>
      <c r="WLQ253" s="1"/>
      <c r="WLR253" s="1"/>
      <c r="WLS253" s="1"/>
      <c r="WLT253" s="1"/>
      <c r="WLU253" s="1"/>
      <c r="WLV253" s="1"/>
      <c r="WLW253" s="1"/>
      <c r="WLX253" s="1"/>
      <c r="WLY253" s="1"/>
      <c r="WLZ253" s="1"/>
      <c r="WMA253" s="1"/>
      <c r="WMB253" s="1"/>
      <c r="WMC253" s="1"/>
      <c r="WMD253" s="1"/>
      <c r="WME253" s="1"/>
      <c r="WMF253" s="1"/>
      <c r="WMG253" s="1"/>
      <c r="WMH253" s="1"/>
      <c r="WMI253" s="1"/>
      <c r="WMJ253" s="1"/>
      <c r="WMK253" s="1"/>
      <c r="WML253" s="1"/>
      <c r="WMM253" s="1"/>
      <c r="WMN253" s="1"/>
      <c r="WMO253" s="1"/>
      <c r="WMP253" s="1"/>
      <c r="WMQ253" s="1"/>
      <c r="WMR253" s="1"/>
      <c r="WMS253" s="1"/>
      <c r="WMT253" s="1"/>
      <c r="WMU253" s="1"/>
      <c r="WMV253" s="1"/>
      <c r="WMW253" s="1"/>
      <c r="WMX253" s="1"/>
      <c r="WMY253" s="1"/>
      <c r="WMZ253" s="1"/>
      <c r="WNA253" s="1"/>
      <c r="WNB253" s="1"/>
      <c r="WNC253" s="1"/>
      <c r="WND253" s="1"/>
      <c r="WNE253" s="1"/>
      <c r="WNF253" s="1"/>
      <c r="WNG253" s="1"/>
      <c r="WNH253" s="1"/>
      <c r="WNI253" s="1"/>
      <c r="WNJ253" s="1"/>
      <c r="WNK253" s="1"/>
      <c r="WNL253" s="1"/>
      <c r="WNM253" s="1"/>
      <c r="WNN253" s="1"/>
      <c r="WNO253" s="1"/>
      <c r="WNP253" s="1"/>
      <c r="WNQ253" s="1"/>
      <c r="WNR253" s="1"/>
      <c r="WNS253" s="1"/>
      <c r="WNT253" s="1"/>
      <c r="WNU253" s="1"/>
      <c r="WNV253" s="1"/>
      <c r="WNW253" s="1"/>
      <c r="WNX253" s="1"/>
      <c r="WNY253" s="1"/>
      <c r="WNZ253" s="1"/>
      <c r="WOA253" s="1"/>
      <c r="WOB253" s="1"/>
      <c r="WOC253" s="1"/>
      <c r="WOD253" s="1"/>
      <c r="WOE253" s="1"/>
      <c r="WOF253" s="1"/>
      <c r="WOG253" s="1"/>
      <c r="WOH253" s="1"/>
      <c r="WOI253" s="1"/>
      <c r="WOJ253" s="1"/>
      <c r="WOK253" s="1"/>
      <c r="WOL253" s="1"/>
      <c r="WOM253" s="1"/>
      <c r="WON253" s="1"/>
      <c r="WOO253" s="1"/>
      <c r="WOP253" s="1"/>
      <c r="WOQ253" s="1"/>
      <c r="WOR253" s="1"/>
      <c r="WOS253" s="1"/>
      <c r="WOT253" s="1"/>
      <c r="WOU253" s="1"/>
      <c r="WOV253" s="1"/>
      <c r="WOW253" s="1"/>
      <c r="WOX253" s="1"/>
      <c r="WOY253" s="1"/>
      <c r="WOZ253" s="1"/>
      <c r="WPA253" s="1"/>
      <c r="WPB253" s="1"/>
      <c r="WPC253" s="1"/>
      <c r="WPD253" s="1"/>
      <c r="WPE253" s="1"/>
      <c r="WPF253" s="1"/>
      <c r="WPG253" s="1"/>
      <c r="WPH253" s="1"/>
      <c r="WPI253" s="1"/>
      <c r="WPJ253" s="1"/>
      <c r="WPK253" s="1"/>
      <c r="WPL253" s="1"/>
      <c r="WPM253" s="1"/>
      <c r="WPN253" s="1"/>
      <c r="WPO253" s="1"/>
      <c r="WPP253" s="1"/>
      <c r="WPQ253" s="1"/>
      <c r="WPR253" s="1"/>
      <c r="WPS253" s="1"/>
      <c r="WPT253" s="1"/>
      <c r="WPU253" s="1"/>
      <c r="WPV253" s="1"/>
      <c r="WPW253" s="1"/>
      <c r="WPX253" s="1"/>
      <c r="WPY253" s="1"/>
      <c r="WPZ253" s="1"/>
      <c r="WQA253" s="1"/>
      <c r="WQB253" s="1"/>
      <c r="WQC253" s="1"/>
      <c r="WQD253" s="1"/>
      <c r="WQE253" s="1"/>
      <c r="WQF253" s="1"/>
      <c r="WQG253" s="1"/>
      <c r="WQH253" s="1"/>
      <c r="WQI253" s="1"/>
      <c r="WQJ253" s="1"/>
      <c r="WQK253" s="1"/>
      <c r="WQL253" s="1"/>
      <c r="WQM253" s="1"/>
      <c r="WQN253" s="1"/>
      <c r="WQO253" s="1"/>
      <c r="WQP253" s="1"/>
      <c r="WQQ253" s="1"/>
      <c r="WQR253" s="1"/>
      <c r="WQS253" s="1"/>
      <c r="WQT253" s="1"/>
      <c r="WQU253" s="1"/>
      <c r="WQV253" s="1"/>
      <c r="WQW253" s="1"/>
      <c r="WQX253" s="1"/>
      <c r="WQY253" s="1"/>
      <c r="WQZ253" s="1"/>
      <c r="WRA253" s="1"/>
      <c r="WRB253" s="1"/>
      <c r="WRC253" s="1"/>
      <c r="WRD253" s="1"/>
      <c r="WRE253" s="1"/>
      <c r="WRF253" s="1"/>
      <c r="WRG253" s="1"/>
      <c r="WRH253" s="1"/>
      <c r="WRI253" s="1"/>
      <c r="WRJ253" s="1"/>
      <c r="WRK253" s="1"/>
      <c r="WRL253" s="1"/>
      <c r="WRM253" s="1"/>
      <c r="WRN253" s="1"/>
      <c r="WRO253" s="1"/>
      <c r="WRP253" s="1"/>
      <c r="WRQ253" s="1"/>
      <c r="WRR253" s="1"/>
      <c r="WRS253" s="1"/>
      <c r="WRT253" s="1"/>
      <c r="WRU253" s="1"/>
      <c r="WRV253" s="1"/>
      <c r="WRW253" s="1"/>
      <c r="WRX253" s="1"/>
      <c r="WRY253" s="1"/>
      <c r="WRZ253" s="1"/>
      <c r="WSA253" s="1"/>
      <c r="WSB253" s="1"/>
      <c r="WSC253" s="1"/>
      <c r="WSD253" s="1"/>
      <c r="WSE253" s="1"/>
      <c r="WSF253" s="1"/>
      <c r="WSG253" s="1"/>
      <c r="WSH253" s="1"/>
      <c r="WSI253" s="1"/>
      <c r="WSJ253" s="1"/>
      <c r="WSK253" s="1"/>
      <c r="WSL253" s="1"/>
      <c r="WSM253" s="1"/>
      <c r="WSN253" s="1"/>
      <c r="WSO253" s="1"/>
      <c r="WSP253" s="1"/>
      <c r="WSQ253" s="1"/>
      <c r="WSR253" s="1"/>
      <c r="WSS253" s="1"/>
      <c r="WST253" s="1"/>
      <c r="WSU253" s="1"/>
      <c r="WSV253" s="1"/>
      <c r="WSW253" s="1"/>
      <c r="WSX253" s="1"/>
      <c r="WSY253" s="1"/>
      <c r="WSZ253" s="1"/>
      <c r="WTA253" s="1"/>
      <c r="WTB253" s="1"/>
      <c r="WTC253" s="1"/>
      <c r="WTD253" s="1"/>
      <c r="WTE253" s="1"/>
    </row>
    <row r="254" spans="1:16073" ht="15.75" customHeight="1">
      <c r="A254" s="143"/>
      <c r="B254" s="143"/>
      <c r="C254" s="143"/>
      <c r="D254" s="143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</row>
    <row r="255" spans="1:16073" ht="15.75" customHeight="1">
      <c r="A255" s="135" t="s">
        <v>45</v>
      </c>
      <c r="B255" s="135"/>
      <c r="C255" s="135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16073" ht="15.75" customHeight="1">
      <c r="A256" s="131" t="s">
        <v>46</v>
      </c>
      <c r="B256" s="131"/>
      <c r="C256" s="131"/>
      <c r="D256" s="1"/>
      <c r="E256" s="1"/>
      <c r="F256" s="1"/>
      <c r="G256" s="1"/>
      <c r="H256" s="1"/>
      <c r="I256" s="1"/>
      <c r="K256" s="21"/>
      <c r="L256" s="21"/>
      <c r="M256" s="1"/>
      <c r="O256" s="131" t="s">
        <v>47</v>
      </c>
      <c r="P256" s="131"/>
      <c r="Q256" s="131"/>
      <c r="T256" s="21"/>
      <c r="U256" s="2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45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G257" s="131" t="s">
        <v>48</v>
      </c>
      <c r="AH257" s="131"/>
      <c r="AI257" s="131"/>
    </row>
    <row r="258" spans="1:45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45" ht="15.75" customHeight="1">
      <c r="A259" s="125"/>
      <c r="B259" s="125"/>
      <c r="C259" s="125"/>
      <c r="D259" s="125"/>
      <c r="E259" s="125"/>
      <c r="F259" s="125"/>
      <c r="G259" s="125"/>
      <c r="H259" s="125"/>
      <c r="I259" s="125"/>
      <c r="J259" s="125"/>
      <c r="K259" s="125"/>
      <c r="L259" s="125"/>
      <c r="M259" s="1"/>
      <c r="N259" s="1"/>
      <c r="O259" s="125"/>
      <c r="P259" s="125"/>
      <c r="Q259" s="125"/>
      <c r="R259" s="125"/>
      <c r="S259" s="125"/>
      <c r="T259" s="125"/>
      <c r="U259" s="125"/>
      <c r="V259" s="125"/>
      <c r="W259" s="125"/>
      <c r="X259" s="125"/>
      <c r="Y259" s="125"/>
      <c r="Z259" s="125"/>
      <c r="AA259" s="125"/>
      <c r="AB259" s="125"/>
      <c r="AC259" s="125"/>
      <c r="AD259" s="125"/>
      <c r="AE259" s="1"/>
      <c r="AG259" s="125"/>
      <c r="AH259" s="125"/>
      <c r="AI259" s="125"/>
      <c r="AJ259" s="125"/>
      <c r="AK259" s="125"/>
      <c r="AL259" s="125"/>
      <c r="AM259" s="125"/>
      <c r="AN259" s="125"/>
      <c r="AO259" s="125"/>
      <c r="AP259" s="125"/>
      <c r="AQ259" s="125"/>
      <c r="AR259" s="125"/>
      <c r="AS259" s="125"/>
    </row>
    <row r="260" spans="1:45" ht="15.75" customHeight="1">
      <c r="A260" s="125"/>
      <c r="B260" s="125"/>
      <c r="C260" s="125"/>
      <c r="D260" s="125"/>
      <c r="E260" s="125"/>
      <c r="F260" s="125"/>
      <c r="G260" s="125"/>
      <c r="H260" s="125"/>
      <c r="I260" s="125"/>
      <c r="J260" s="125"/>
      <c r="K260" s="125"/>
      <c r="L260" s="125"/>
      <c r="M260" s="1"/>
      <c r="N260" s="1"/>
      <c r="O260" s="125"/>
      <c r="P260" s="125"/>
      <c r="Q260" s="125"/>
      <c r="R260" s="125"/>
      <c r="S260" s="125"/>
      <c r="T260" s="125"/>
      <c r="U260" s="125"/>
      <c r="V260" s="125"/>
      <c r="W260" s="125"/>
      <c r="X260" s="125"/>
      <c r="Y260" s="125"/>
      <c r="Z260" s="125"/>
      <c r="AA260" s="125"/>
      <c r="AB260" s="125"/>
      <c r="AC260" s="125"/>
      <c r="AD260" s="125"/>
      <c r="AE260" s="1"/>
      <c r="AG260" s="125"/>
      <c r="AH260" s="125"/>
      <c r="AI260" s="125"/>
      <c r="AJ260" s="125"/>
      <c r="AK260" s="125"/>
      <c r="AL260" s="125"/>
      <c r="AM260" s="125"/>
      <c r="AN260" s="125"/>
      <c r="AO260" s="125"/>
      <c r="AP260" s="125"/>
      <c r="AQ260" s="125"/>
      <c r="AR260" s="125"/>
      <c r="AS260" s="125"/>
    </row>
    <row r="261" spans="1:45" ht="15.75" customHeight="1">
      <c r="A261" s="125"/>
      <c r="B261" s="125"/>
      <c r="C261" s="125"/>
      <c r="D261" s="125"/>
      <c r="E261" s="125"/>
      <c r="F261" s="125"/>
      <c r="G261" s="125"/>
      <c r="H261" s="125"/>
      <c r="I261" s="125"/>
      <c r="J261" s="125"/>
      <c r="K261" s="125"/>
      <c r="L261" s="125"/>
      <c r="M261" s="1"/>
      <c r="N261" s="1"/>
      <c r="O261" s="125"/>
      <c r="P261" s="125"/>
      <c r="Q261" s="125"/>
      <c r="R261" s="125"/>
      <c r="S261" s="125"/>
      <c r="T261" s="125"/>
      <c r="U261" s="125"/>
      <c r="V261" s="125"/>
      <c r="W261" s="125"/>
      <c r="X261" s="125"/>
      <c r="Y261" s="125"/>
      <c r="Z261" s="125"/>
      <c r="AA261" s="125"/>
      <c r="AB261" s="125"/>
      <c r="AC261" s="125"/>
      <c r="AD261" s="125"/>
      <c r="AE261" s="1"/>
      <c r="AG261" s="125"/>
      <c r="AH261" s="125"/>
      <c r="AI261" s="125"/>
      <c r="AJ261" s="125"/>
      <c r="AK261" s="125"/>
      <c r="AL261" s="125"/>
      <c r="AM261" s="125"/>
      <c r="AN261" s="125"/>
      <c r="AO261" s="125"/>
      <c r="AP261" s="125"/>
      <c r="AQ261" s="125"/>
      <c r="AR261" s="125"/>
      <c r="AS261" s="125"/>
    </row>
    <row r="262" spans="1:45" ht="15.75" customHeight="1">
      <c r="A262" s="125"/>
      <c r="B262" s="125"/>
      <c r="C262" s="125"/>
      <c r="D262" s="125"/>
      <c r="E262" s="125"/>
      <c r="F262" s="125"/>
      <c r="G262" s="125"/>
      <c r="H262" s="125"/>
      <c r="I262" s="125"/>
      <c r="J262" s="125"/>
      <c r="K262" s="125"/>
      <c r="L262" s="125"/>
      <c r="M262" s="1"/>
      <c r="N262" s="1"/>
      <c r="O262" s="125"/>
      <c r="P262" s="125"/>
      <c r="Q262" s="125"/>
      <c r="R262" s="125"/>
      <c r="S262" s="125"/>
      <c r="T262" s="125"/>
      <c r="U262" s="125"/>
      <c r="V262" s="125"/>
      <c r="W262" s="125"/>
      <c r="X262" s="125"/>
      <c r="Y262" s="125"/>
      <c r="Z262" s="125"/>
      <c r="AA262" s="125"/>
      <c r="AB262" s="125"/>
      <c r="AC262" s="125"/>
      <c r="AD262" s="125"/>
      <c r="AE262" s="1"/>
      <c r="AG262" s="125"/>
      <c r="AH262" s="125"/>
      <c r="AI262" s="125"/>
      <c r="AJ262" s="125"/>
      <c r="AK262" s="125"/>
      <c r="AL262" s="125"/>
      <c r="AM262" s="125"/>
      <c r="AN262" s="125"/>
      <c r="AO262" s="125"/>
      <c r="AP262" s="125"/>
      <c r="AQ262" s="125"/>
      <c r="AR262" s="125"/>
      <c r="AS262" s="125"/>
    </row>
    <row r="263" spans="1:45" ht="15.75" customHeight="1">
      <c r="A263" s="125"/>
      <c r="B263" s="125"/>
      <c r="C263" s="125"/>
      <c r="D263" s="125"/>
      <c r="E263" s="125"/>
      <c r="F263" s="125"/>
      <c r="G263" s="125"/>
      <c r="H263" s="125"/>
      <c r="I263" s="125"/>
      <c r="J263" s="125"/>
      <c r="K263" s="125"/>
      <c r="L263" s="125"/>
      <c r="M263" s="1"/>
      <c r="N263" s="1"/>
      <c r="O263" s="125"/>
      <c r="P263" s="125"/>
      <c r="Q263" s="125"/>
      <c r="R263" s="125"/>
      <c r="S263" s="125"/>
      <c r="T263" s="125"/>
      <c r="U263" s="125"/>
      <c r="V263" s="125"/>
      <c r="W263" s="125"/>
      <c r="X263" s="125"/>
      <c r="Y263" s="125"/>
      <c r="Z263" s="125"/>
      <c r="AA263" s="125"/>
      <c r="AB263" s="125"/>
      <c r="AC263" s="125"/>
      <c r="AD263" s="125"/>
      <c r="AE263" s="1"/>
      <c r="AG263" s="125"/>
      <c r="AH263" s="125"/>
      <c r="AI263" s="125"/>
      <c r="AJ263" s="125"/>
      <c r="AK263" s="125"/>
      <c r="AL263" s="125"/>
      <c r="AM263" s="125"/>
      <c r="AN263" s="125"/>
      <c r="AO263" s="125"/>
      <c r="AP263" s="125"/>
      <c r="AQ263" s="125"/>
      <c r="AR263" s="125"/>
      <c r="AS263" s="125"/>
    </row>
    <row r="264" spans="1:45" ht="15.75" customHeight="1">
      <c r="A264" s="125"/>
      <c r="B264" s="125"/>
      <c r="C264" s="125"/>
      <c r="D264" s="125"/>
      <c r="E264" s="125"/>
      <c r="F264" s="125"/>
      <c r="G264" s="125"/>
      <c r="H264" s="125"/>
      <c r="I264" s="125"/>
      <c r="J264" s="125"/>
      <c r="K264" s="125"/>
      <c r="L264" s="125"/>
      <c r="M264" s="1"/>
      <c r="N264" s="1"/>
      <c r="O264" s="125"/>
      <c r="P264" s="125"/>
      <c r="Q264" s="125"/>
      <c r="R264" s="125"/>
      <c r="S264" s="125"/>
      <c r="T264" s="125"/>
      <c r="U264" s="125"/>
      <c r="V264" s="125"/>
      <c r="W264" s="125"/>
      <c r="X264" s="125"/>
      <c r="Y264" s="125"/>
      <c r="Z264" s="125"/>
      <c r="AA264" s="125"/>
      <c r="AB264" s="125"/>
      <c r="AC264" s="125"/>
      <c r="AD264" s="125"/>
      <c r="AE264" s="1"/>
      <c r="AG264" s="125"/>
      <c r="AH264" s="125"/>
      <c r="AI264" s="125"/>
      <c r="AJ264" s="125"/>
      <c r="AK264" s="125"/>
      <c r="AL264" s="125"/>
      <c r="AM264" s="125"/>
      <c r="AN264" s="125"/>
      <c r="AO264" s="125"/>
      <c r="AP264" s="125"/>
      <c r="AQ264" s="125"/>
      <c r="AR264" s="125"/>
      <c r="AS264" s="125"/>
    </row>
    <row r="265" spans="1:45" ht="15.75" customHeight="1">
      <c r="A265" s="125"/>
      <c r="B265" s="125"/>
      <c r="C265" s="125"/>
      <c r="D265" s="125"/>
      <c r="E265" s="125"/>
      <c r="F265" s="125"/>
      <c r="G265" s="125"/>
      <c r="H265" s="125"/>
      <c r="I265" s="125"/>
      <c r="J265" s="125"/>
      <c r="K265" s="125"/>
      <c r="L265" s="125"/>
      <c r="M265" s="1"/>
      <c r="N265" s="1"/>
      <c r="O265" s="125"/>
      <c r="P265" s="125"/>
      <c r="Q265" s="125"/>
      <c r="R265" s="125"/>
      <c r="S265" s="125"/>
      <c r="T265" s="125"/>
      <c r="U265" s="125"/>
      <c r="V265" s="125"/>
      <c r="W265" s="125"/>
      <c r="X265" s="125"/>
      <c r="Y265" s="125"/>
      <c r="Z265" s="125"/>
      <c r="AA265" s="125"/>
      <c r="AB265" s="125"/>
      <c r="AC265" s="125"/>
      <c r="AD265" s="125"/>
      <c r="AE265" s="1"/>
      <c r="AG265" s="125"/>
      <c r="AH265" s="125"/>
      <c r="AI265" s="125"/>
      <c r="AJ265" s="125"/>
      <c r="AK265" s="125"/>
      <c r="AL265" s="125"/>
      <c r="AM265" s="125"/>
      <c r="AN265" s="125"/>
      <c r="AO265" s="125"/>
      <c r="AP265" s="125"/>
      <c r="AQ265" s="125"/>
      <c r="AR265" s="125"/>
      <c r="AS265" s="125"/>
    </row>
    <row r="266" spans="1:45" ht="15.75" customHeight="1">
      <c r="A266" s="125"/>
      <c r="B266" s="125"/>
      <c r="C266" s="125"/>
      <c r="D266" s="125"/>
      <c r="E266" s="125"/>
      <c r="F266" s="125"/>
      <c r="G266" s="125"/>
      <c r="H266" s="125"/>
      <c r="I266" s="125"/>
      <c r="J266" s="125"/>
      <c r="K266" s="125"/>
      <c r="L266" s="125"/>
      <c r="M266" s="1"/>
      <c r="N266" s="1"/>
      <c r="O266" s="125"/>
      <c r="P266" s="125"/>
      <c r="Q266" s="125"/>
      <c r="R266" s="125"/>
      <c r="S266" s="125"/>
      <c r="T266" s="125"/>
      <c r="U266" s="125"/>
      <c r="V266" s="125"/>
      <c r="W266" s="125"/>
      <c r="X266" s="125"/>
      <c r="Y266" s="125"/>
      <c r="Z266" s="125"/>
      <c r="AA266" s="125"/>
      <c r="AB266" s="125"/>
      <c r="AC266" s="125"/>
      <c r="AD266" s="125"/>
      <c r="AE266" s="1"/>
      <c r="AG266" s="125"/>
      <c r="AH266" s="125"/>
      <c r="AI266" s="125"/>
      <c r="AJ266" s="125"/>
      <c r="AK266" s="125"/>
      <c r="AL266" s="125"/>
      <c r="AM266" s="125"/>
      <c r="AN266" s="125"/>
      <c r="AO266" s="125"/>
      <c r="AP266" s="125"/>
      <c r="AQ266" s="125"/>
      <c r="AR266" s="125"/>
      <c r="AS266" s="125"/>
    </row>
    <row r="267" spans="1:45" ht="15.75" customHeight="1">
      <c r="A267" s="125"/>
      <c r="B267" s="125"/>
      <c r="C267" s="125"/>
      <c r="D267" s="125"/>
      <c r="E267" s="125"/>
      <c r="F267" s="125"/>
      <c r="G267" s="125"/>
      <c r="H267" s="125"/>
      <c r="I267" s="125"/>
      <c r="J267" s="125"/>
      <c r="K267" s="125"/>
      <c r="L267" s="125"/>
      <c r="M267" s="1"/>
      <c r="N267" s="1"/>
      <c r="O267" s="125"/>
      <c r="P267" s="125"/>
      <c r="Q267" s="125"/>
      <c r="R267" s="125"/>
      <c r="S267" s="125"/>
      <c r="T267" s="125"/>
      <c r="U267" s="125"/>
      <c r="V267" s="125"/>
      <c r="W267" s="125"/>
      <c r="X267" s="125"/>
      <c r="Y267" s="125"/>
      <c r="Z267" s="125"/>
      <c r="AA267" s="125"/>
      <c r="AB267" s="125"/>
      <c r="AC267" s="125"/>
      <c r="AD267" s="125"/>
      <c r="AE267" s="1"/>
      <c r="AG267" s="125"/>
      <c r="AH267" s="125"/>
      <c r="AI267" s="125"/>
      <c r="AJ267" s="125"/>
      <c r="AK267" s="125"/>
      <c r="AL267" s="125"/>
      <c r="AM267" s="125"/>
      <c r="AN267" s="125"/>
      <c r="AO267" s="125"/>
      <c r="AP267" s="125"/>
      <c r="AQ267" s="125"/>
      <c r="AR267" s="125"/>
      <c r="AS267" s="125"/>
    </row>
    <row r="268" spans="1:45" ht="15.75" customHeight="1">
      <c r="A268" s="125"/>
      <c r="B268" s="125"/>
      <c r="C268" s="125"/>
      <c r="D268" s="125"/>
      <c r="E268" s="125"/>
      <c r="F268" s="125"/>
      <c r="G268" s="125"/>
      <c r="H268" s="125"/>
      <c r="I268" s="125"/>
      <c r="J268" s="125"/>
      <c r="K268" s="125"/>
      <c r="L268" s="125"/>
      <c r="M268" s="1"/>
      <c r="N268" s="1"/>
      <c r="O268" s="125"/>
      <c r="P268" s="125"/>
      <c r="Q268" s="125"/>
      <c r="R268" s="125"/>
      <c r="S268" s="125"/>
      <c r="T268" s="125"/>
      <c r="U268" s="125"/>
      <c r="V268" s="125"/>
      <c r="W268" s="125"/>
      <c r="X268" s="125"/>
      <c r="Y268" s="125"/>
      <c r="Z268" s="125"/>
      <c r="AA268" s="125"/>
      <c r="AB268" s="125"/>
      <c r="AC268" s="125"/>
      <c r="AD268" s="125"/>
      <c r="AE268" s="1"/>
      <c r="AG268" s="125"/>
      <c r="AH268" s="125"/>
      <c r="AI268" s="125"/>
      <c r="AJ268" s="125"/>
      <c r="AK268" s="125"/>
      <c r="AL268" s="125"/>
      <c r="AM268" s="125"/>
      <c r="AN268" s="125"/>
      <c r="AO268" s="125"/>
      <c r="AP268" s="125"/>
      <c r="AQ268" s="125"/>
      <c r="AR268" s="125"/>
      <c r="AS268" s="125"/>
    </row>
    <row r="269" spans="1:45" ht="15.75" customHeight="1">
      <c r="A269" s="125"/>
      <c r="B269" s="125"/>
      <c r="C269" s="125"/>
      <c r="D269" s="125"/>
      <c r="E269" s="125"/>
      <c r="F269" s="125"/>
      <c r="G269" s="125"/>
      <c r="H269" s="125"/>
      <c r="I269" s="125"/>
      <c r="J269" s="125"/>
      <c r="K269" s="125"/>
      <c r="L269" s="125"/>
      <c r="M269" s="1"/>
      <c r="N269" s="1"/>
      <c r="O269" s="125"/>
      <c r="P269" s="125"/>
      <c r="Q269" s="125"/>
      <c r="R269" s="125"/>
      <c r="S269" s="125"/>
      <c r="T269" s="125"/>
      <c r="U269" s="125"/>
      <c r="V269" s="125"/>
      <c r="W269" s="125"/>
      <c r="X269" s="125"/>
      <c r="Y269" s="125"/>
      <c r="Z269" s="125"/>
      <c r="AA269" s="125"/>
      <c r="AB269" s="125"/>
      <c r="AC269" s="125"/>
      <c r="AD269" s="125"/>
      <c r="AE269" s="1"/>
      <c r="AG269" s="125"/>
      <c r="AH269" s="125"/>
      <c r="AI269" s="125"/>
      <c r="AJ269" s="125"/>
      <c r="AK269" s="125"/>
      <c r="AL269" s="125"/>
      <c r="AM269" s="125"/>
      <c r="AN269" s="125"/>
      <c r="AO269" s="125"/>
      <c r="AP269" s="125"/>
      <c r="AQ269" s="125"/>
      <c r="AR269" s="125"/>
      <c r="AS269" s="125"/>
    </row>
    <row r="270" spans="1:45" ht="15.75" customHeight="1">
      <c r="A270" s="125"/>
      <c r="B270" s="125"/>
      <c r="C270" s="125"/>
      <c r="D270" s="125"/>
      <c r="E270" s="125"/>
      <c r="F270" s="125"/>
      <c r="G270" s="125"/>
      <c r="H270" s="125"/>
      <c r="I270" s="125"/>
      <c r="J270" s="125"/>
      <c r="K270" s="125"/>
      <c r="L270" s="125"/>
      <c r="M270" s="1"/>
      <c r="N270" s="1"/>
      <c r="O270" s="125"/>
      <c r="P270" s="125"/>
      <c r="Q270" s="125"/>
      <c r="R270" s="125"/>
      <c r="S270" s="125"/>
      <c r="T270" s="125"/>
      <c r="U270" s="125"/>
      <c r="V270" s="125"/>
      <c r="W270" s="125"/>
      <c r="X270" s="125"/>
      <c r="Y270" s="125"/>
      <c r="Z270" s="125"/>
      <c r="AA270" s="125"/>
      <c r="AB270" s="125"/>
      <c r="AC270" s="125"/>
      <c r="AD270" s="125"/>
      <c r="AE270" s="1"/>
      <c r="AG270" s="125"/>
      <c r="AH270" s="125"/>
      <c r="AI270" s="125"/>
      <c r="AJ270" s="125"/>
      <c r="AK270" s="125"/>
      <c r="AL270" s="125"/>
      <c r="AM270" s="125"/>
      <c r="AN270" s="125"/>
      <c r="AO270" s="125"/>
      <c r="AP270" s="125"/>
      <c r="AQ270" s="125"/>
      <c r="AR270" s="125"/>
      <c r="AS270" s="125"/>
    </row>
    <row r="271" spans="1:45" ht="15.75" customHeight="1">
      <c r="A271" s="125"/>
      <c r="B271" s="125"/>
      <c r="C271" s="125"/>
      <c r="D271" s="125"/>
      <c r="E271" s="125"/>
      <c r="F271" s="125"/>
      <c r="G271" s="125"/>
      <c r="H271" s="125"/>
      <c r="I271" s="125"/>
      <c r="J271" s="125"/>
      <c r="K271" s="125"/>
      <c r="L271" s="125"/>
      <c r="M271" s="1"/>
      <c r="N271" s="1"/>
      <c r="O271" s="125"/>
      <c r="P271" s="125"/>
      <c r="Q271" s="125"/>
      <c r="R271" s="125"/>
      <c r="S271" s="125"/>
      <c r="T271" s="125"/>
      <c r="U271" s="125"/>
      <c r="V271" s="125"/>
      <c r="W271" s="125"/>
      <c r="X271" s="125"/>
      <c r="Y271" s="125"/>
      <c r="Z271" s="125"/>
      <c r="AA271" s="125"/>
      <c r="AB271" s="125"/>
      <c r="AC271" s="125"/>
      <c r="AD271" s="125"/>
      <c r="AE271" s="1"/>
      <c r="AG271" s="125"/>
      <c r="AH271" s="125"/>
      <c r="AI271" s="125"/>
      <c r="AJ271" s="125"/>
      <c r="AK271" s="125"/>
      <c r="AL271" s="125"/>
      <c r="AM271" s="125"/>
      <c r="AN271" s="125"/>
      <c r="AO271" s="125"/>
      <c r="AP271" s="125"/>
      <c r="AQ271" s="125"/>
      <c r="AR271" s="125"/>
      <c r="AS271" s="125"/>
    </row>
    <row r="272" spans="1:45" ht="15.75" customHeight="1">
      <c r="A272" s="125"/>
      <c r="B272" s="125"/>
      <c r="C272" s="125"/>
      <c r="D272" s="125"/>
      <c r="E272" s="125"/>
      <c r="F272" s="125"/>
      <c r="G272" s="125"/>
      <c r="H272" s="125"/>
      <c r="I272" s="125"/>
      <c r="J272" s="125"/>
      <c r="K272" s="125"/>
      <c r="L272" s="125"/>
      <c r="M272" s="1"/>
      <c r="N272" s="1"/>
      <c r="O272" s="125"/>
      <c r="P272" s="125"/>
      <c r="Q272" s="125"/>
      <c r="R272" s="125"/>
      <c r="S272" s="125"/>
      <c r="T272" s="125"/>
      <c r="U272" s="125"/>
      <c r="V272" s="125"/>
      <c r="W272" s="125"/>
      <c r="X272" s="125"/>
      <c r="Y272" s="125"/>
      <c r="Z272" s="125"/>
      <c r="AA272" s="125"/>
      <c r="AB272" s="125"/>
      <c r="AC272" s="125"/>
      <c r="AD272" s="125"/>
      <c r="AE272" s="1"/>
      <c r="AG272" s="125"/>
      <c r="AH272" s="125"/>
      <c r="AI272" s="125"/>
      <c r="AJ272" s="125"/>
      <c r="AK272" s="125"/>
      <c r="AL272" s="125"/>
      <c r="AM272" s="125"/>
      <c r="AN272" s="125"/>
      <c r="AO272" s="125"/>
      <c r="AP272" s="125"/>
      <c r="AQ272" s="125"/>
      <c r="AR272" s="125"/>
      <c r="AS272" s="125"/>
    </row>
    <row r="273" spans="1:45" ht="15.75" customHeight="1">
      <c r="A273" s="125"/>
      <c r="B273" s="125"/>
      <c r="C273" s="125"/>
      <c r="D273" s="125"/>
      <c r="E273" s="125"/>
      <c r="F273" s="125"/>
      <c r="G273" s="125"/>
      <c r="H273" s="125"/>
      <c r="I273" s="125"/>
      <c r="J273" s="125"/>
      <c r="K273" s="125"/>
      <c r="L273" s="125"/>
      <c r="M273" s="1"/>
      <c r="N273" s="1"/>
      <c r="O273" s="125"/>
      <c r="P273" s="125"/>
      <c r="Q273" s="125"/>
      <c r="R273" s="125"/>
      <c r="S273" s="125"/>
      <c r="T273" s="125"/>
      <c r="U273" s="125"/>
      <c r="V273" s="125"/>
      <c r="W273" s="125"/>
      <c r="X273" s="125"/>
      <c r="Y273" s="125"/>
      <c r="Z273" s="125"/>
      <c r="AA273" s="125"/>
      <c r="AB273" s="125"/>
      <c r="AC273" s="125"/>
      <c r="AD273" s="125"/>
      <c r="AE273" s="1"/>
      <c r="AG273" s="125"/>
      <c r="AH273" s="125"/>
      <c r="AI273" s="125"/>
      <c r="AJ273" s="125"/>
      <c r="AK273" s="125"/>
      <c r="AL273" s="125"/>
      <c r="AM273" s="125"/>
      <c r="AN273" s="125"/>
      <c r="AO273" s="125"/>
      <c r="AP273" s="125"/>
      <c r="AQ273" s="125"/>
      <c r="AR273" s="125"/>
      <c r="AS273" s="125"/>
    </row>
    <row r="274" spans="1:45" ht="15.75" customHeight="1">
      <c r="A274" s="125"/>
      <c r="B274" s="125"/>
      <c r="C274" s="125"/>
      <c r="D274" s="125"/>
      <c r="E274" s="125"/>
      <c r="F274" s="125"/>
      <c r="G274" s="125"/>
      <c r="H274" s="125"/>
      <c r="I274" s="125"/>
      <c r="J274" s="125"/>
      <c r="K274" s="125"/>
      <c r="L274" s="125"/>
      <c r="M274" s="1"/>
      <c r="N274" s="1"/>
      <c r="O274" s="125"/>
      <c r="P274" s="125"/>
      <c r="Q274" s="125"/>
      <c r="R274" s="125"/>
      <c r="S274" s="125"/>
      <c r="T274" s="125"/>
      <c r="U274" s="125"/>
      <c r="V274" s="125"/>
      <c r="W274" s="125"/>
      <c r="X274" s="125"/>
      <c r="Y274" s="125"/>
      <c r="Z274" s="125"/>
      <c r="AA274" s="125"/>
      <c r="AB274" s="125"/>
      <c r="AC274" s="125"/>
      <c r="AD274" s="125"/>
      <c r="AE274" s="1"/>
      <c r="AG274" s="125"/>
      <c r="AH274" s="125"/>
      <c r="AI274" s="125"/>
      <c r="AJ274" s="125"/>
      <c r="AK274" s="125"/>
      <c r="AL274" s="125"/>
      <c r="AM274" s="125"/>
      <c r="AN274" s="125"/>
      <c r="AO274" s="125"/>
      <c r="AP274" s="125"/>
      <c r="AQ274" s="125"/>
      <c r="AR274" s="125"/>
      <c r="AS274" s="125"/>
    </row>
    <row r="275" spans="1:45" ht="15.75" customHeight="1">
      <c r="A275" s="125"/>
      <c r="B275" s="125"/>
      <c r="C275" s="125"/>
      <c r="D275" s="125"/>
      <c r="E275" s="125"/>
      <c r="F275" s="125"/>
      <c r="G275" s="125"/>
      <c r="H275" s="125"/>
      <c r="I275" s="125"/>
      <c r="J275" s="125"/>
      <c r="K275" s="125"/>
      <c r="L275" s="125"/>
      <c r="M275" s="1"/>
      <c r="N275" s="1"/>
      <c r="O275" s="125"/>
      <c r="P275" s="125"/>
      <c r="Q275" s="125"/>
      <c r="R275" s="125"/>
      <c r="S275" s="125"/>
      <c r="T275" s="125"/>
      <c r="U275" s="125"/>
      <c r="V275" s="125"/>
      <c r="W275" s="125"/>
      <c r="X275" s="125"/>
      <c r="Y275" s="125"/>
      <c r="Z275" s="125"/>
      <c r="AA275" s="125"/>
      <c r="AB275" s="125"/>
      <c r="AC275" s="125"/>
      <c r="AD275" s="125"/>
      <c r="AE275" s="1"/>
      <c r="AG275" s="125"/>
      <c r="AH275" s="125"/>
      <c r="AI275" s="125"/>
      <c r="AJ275" s="125"/>
      <c r="AK275" s="125"/>
      <c r="AL275" s="125"/>
      <c r="AM275" s="125"/>
      <c r="AN275" s="125"/>
      <c r="AO275" s="125"/>
      <c r="AP275" s="125"/>
      <c r="AQ275" s="125"/>
      <c r="AR275" s="125"/>
      <c r="AS275" s="125"/>
    </row>
    <row r="276" spans="1:45" ht="15.75" customHeight="1">
      <c r="A276" s="125"/>
      <c r="B276" s="125"/>
      <c r="C276" s="125"/>
      <c r="D276" s="125"/>
      <c r="E276" s="125"/>
      <c r="F276" s="125"/>
      <c r="G276" s="125"/>
      <c r="H276" s="125"/>
      <c r="I276" s="125"/>
      <c r="J276" s="125"/>
      <c r="K276" s="125"/>
      <c r="L276" s="125"/>
      <c r="M276" s="1"/>
      <c r="N276" s="1"/>
      <c r="O276" s="125"/>
      <c r="P276" s="125"/>
      <c r="Q276" s="125"/>
      <c r="R276" s="125"/>
      <c r="S276" s="125"/>
      <c r="T276" s="125"/>
      <c r="U276" s="125"/>
      <c r="V276" s="125"/>
      <c r="W276" s="125"/>
      <c r="X276" s="125"/>
      <c r="Y276" s="125"/>
      <c r="Z276" s="125"/>
      <c r="AA276" s="125"/>
      <c r="AB276" s="125"/>
      <c r="AC276" s="125"/>
      <c r="AD276" s="125"/>
      <c r="AE276" s="1"/>
      <c r="AG276" s="125"/>
      <c r="AH276" s="125"/>
      <c r="AI276" s="125"/>
      <c r="AJ276" s="125"/>
      <c r="AK276" s="125"/>
      <c r="AL276" s="125"/>
      <c r="AM276" s="125"/>
      <c r="AN276" s="125"/>
      <c r="AO276" s="125"/>
      <c r="AP276" s="125"/>
      <c r="AQ276" s="125"/>
      <c r="AR276" s="125"/>
      <c r="AS276" s="125"/>
    </row>
    <row r="277" spans="1:45" ht="15.75" customHeight="1">
      <c r="A277" s="125"/>
      <c r="B277" s="125"/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"/>
      <c r="N277" s="1"/>
      <c r="O277" s="125"/>
      <c r="P277" s="125"/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  <c r="AA277" s="125"/>
      <c r="AB277" s="125"/>
      <c r="AC277" s="125"/>
      <c r="AD277" s="125"/>
      <c r="AE277" s="1"/>
      <c r="AG277" s="125"/>
      <c r="AH277" s="125"/>
      <c r="AI277" s="125"/>
      <c r="AJ277" s="125"/>
      <c r="AK277" s="125"/>
      <c r="AL277" s="125"/>
      <c r="AM277" s="125"/>
      <c r="AN277" s="125"/>
      <c r="AO277" s="125"/>
      <c r="AP277" s="125"/>
      <c r="AQ277" s="125"/>
      <c r="AR277" s="125"/>
      <c r="AS277" s="125"/>
    </row>
    <row r="278" spans="1:45" ht="15.75" customHeight="1">
      <c r="A278" s="125"/>
      <c r="B278" s="125"/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"/>
      <c r="N278" s="1"/>
      <c r="O278" s="125"/>
      <c r="P278" s="125"/>
      <c r="Q278" s="125"/>
      <c r="R278" s="125"/>
      <c r="S278" s="125"/>
      <c r="T278" s="125"/>
      <c r="U278" s="125"/>
      <c r="V278" s="125"/>
      <c r="W278" s="125"/>
      <c r="X278" s="125"/>
      <c r="Y278" s="125"/>
      <c r="Z278" s="125"/>
      <c r="AA278" s="125"/>
      <c r="AB278" s="125"/>
      <c r="AC278" s="125"/>
      <c r="AD278" s="125"/>
      <c r="AE278" s="1"/>
      <c r="AG278" s="125"/>
      <c r="AH278" s="125"/>
      <c r="AI278" s="125"/>
      <c r="AJ278" s="125"/>
      <c r="AK278" s="125"/>
      <c r="AL278" s="125"/>
      <c r="AM278" s="125"/>
      <c r="AN278" s="125"/>
      <c r="AO278" s="125"/>
      <c r="AP278" s="125"/>
      <c r="AQ278" s="125"/>
      <c r="AR278" s="125"/>
      <c r="AS278" s="125"/>
    </row>
    <row r="279" spans="1:45" ht="15.75" customHeight="1">
      <c r="A279" s="125"/>
      <c r="B279" s="125"/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"/>
      <c r="N279" s="1"/>
      <c r="O279" s="125"/>
      <c r="P279" s="125"/>
      <c r="Q279" s="125"/>
      <c r="R279" s="125"/>
      <c r="S279" s="125"/>
      <c r="T279" s="125"/>
      <c r="U279" s="125"/>
      <c r="V279" s="125"/>
      <c r="W279" s="125"/>
      <c r="X279" s="125"/>
      <c r="Y279" s="125"/>
      <c r="Z279" s="125"/>
      <c r="AA279" s="125"/>
      <c r="AB279" s="125"/>
      <c r="AC279" s="125"/>
      <c r="AD279" s="125"/>
      <c r="AE279" s="1"/>
      <c r="AG279" s="125"/>
      <c r="AH279" s="125"/>
      <c r="AI279" s="125"/>
      <c r="AJ279" s="125"/>
      <c r="AK279" s="125"/>
      <c r="AL279" s="125"/>
      <c r="AM279" s="125"/>
      <c r="AN279" s="125"/>
      <c r="AO279" s="125"/>
      <c r="AP279" s="125"/>
      <c r="AQ279" s="125"/>
      <c r="AR279" s="125"/>
      <c r="AS279" s="125"/>
    </row>
    <row r="280" spans="1:45" ht="15.75" customHeight="1">
      <c r="A280" s="125"/>
      <c r="B280" s="125"/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"/>
      <c r="N280" s="1"/>
      <c r="O280" s="125"/>
      <c r="P280" s="125"/>
      <c r="Q280" s="125"/>
      <c r="R280" s="125"/>
      <c r="S280" s="125"/>
      <c r="T280" s="125"/>
      <c r="U280" s="125"/>
      <c r="V280" s="125"/>
      <c r="W280" s="125"/>
      <c r="X280" s="125"/>
      <c r="Y280" s="125"/>
      <c r="Z280" s="125"/>
      <c r="AA280" s="125"/>
      <c r="AB280" s="125"/>
      <c r="AC280" s="125"/>
      <c r="AD280" s="125"/>
      <c r="AE280" s="1"/>
      <c r="AG280" s="125"/>
      <c r="AH280" s="125"/>
      <c r="AI280" s="125"/>
      <c r="AJ280" s="125"/>
      <c r="AK280" s="125"/>
      <c r="AL280" s="125"/>
      <c r="AM280" s="125"/>
      <c r="AN280" s="125"/>
      <c r="AO280" s="125"/>
      <c r="AP280" s="125"/>
      <c r="AQ280" s="125"/>
      <c r="AR280" s="125"/>
      <c r="AS280" s="125"/>
    </row>
    <row r="281" spans="1:45" ht="15.75" customHeight="1">
      <c r="A281" s="125"/>
      <c r="B281" s="125"/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"/>
      <c r="N281" s="1"/>
      <c r="O281" s="125"/>
      <c r="P281" s="125"/>
      <c r="Q281" s="125"/>
      <c r="R281" s="125"/>
      <c r="S281" s="125"/>
      <c r="T281" s="125"/>
      <c r="U281" s="125"/>
      <c r="V281" s="125"/>
      <c r="W281" s="125"/>
      <c r="X281" s="125"/>
      <c r="Y281" s="125"/>
      <c r="Z281" s="125"/>
      <c r="AA281" s="125"/>
      <c r="AB281" s="125"/>
      <c r="AC281" s="125"/>
      <c r="AD281" s="125"/>
      <c r="AE281" s="1"/>
      <c r="AG281" s="125"/>
      <c r="AH281" s="125"/>
      <c r="AI281" s="125"/>
      <c r="AJ281" s="125"/>
      <c r="AK281" s="125"/>
      <c r="AL281" s="125"/>
      <c r="AM281" s="125"/>
      <c r="AN281" s="125"/>
      <c r="AO281" s="125"/>
      <c r="AP281" s="125"/>
      <c r="AQ281" s="125"/>
      <c r="AR281" s="125"/>
      <c r="AS281" s="125"/>
    </row>
    <row r="282" spans="1:45" ht="15.75" customHeight="1">
      <c r="A282" s="125"/>
      <c r="B282" s="125"/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"/>
      <c r="N282" s="1"/>
      <c r="O282" s="125"/>
      <c r="P282" s="125"/>
      <c r="Q282" s="125"/>
      <c r="R282" s="125"/>
      <c r="S282" s="125"/>
      <c r="T282" s="125"/>
      <c r="U282" s="125"/>
      <c r="V282" s="125"/>
      <c r="W282" s="125"/>
      <c r="X282" s="125"/>
      <c r="Y282" s="125"/>
      <c r="Z282" s="125"/>
      <c r="AA282" s="125"/>
      <c r="AB282" s="125"/>
      <c r="AC282" s="125"/>
      <c r="AD282" s="125"/>
      <c r="AE282" s="1"/>
      <c r="AG282" s="125"/>
      <c r="AH282" s="125"/>
      <c r="AI282" s="125"/>
      <c r="AJ282" s="125"/>
      <c r="AK282" s="125"/>
      <c r="AL282" s="125"/>
      <c r="AM282" s="125"/>
      <c r="AN282" s="125"/>
      <c r="AO282" s="125"/>
      <c r="AP282" s="125"/>
      <c r="AQ282" s="125"/>
      <c r="AR282" s="125"/>
      <c r="AS282" s="125"/>
    </row>
    <row r="283" spans="1:45" ht="15.75" customHeight="1">
      <c r="A283" s="125"/>
      <c r="B283" s="125"/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"/>
      <c r="N283" s="1"/>
      <c r="O283" s="125"/>
      <c r="P283" s="125"/>
      <c r="Q283" s="125"/>
      <c r="R283" s="125"/>
      <c r="S283" s="125"/>
      <c r="T283" s="125"/>
      <c r="U283" s="125"/>
      <c r="V283" s="125"/>
      <c r="W283" s="125"/>
      <c r="X283" s="125"/>
      <c r="Y283" s="125"/>
      <c r="Z283" s="125"/>
      <c r="AA283" s="125"/>
      <c r="AB283" s="125"/>
      <c r="AC283" s="125"/>
      <c r="AD283" s="125"/>
      <c r="AE283" s="1"/>
      <c r="AG283" s="125"/>
      <c r="AH283" s="125"/>
      <c r="AI283" s="125"/>
      <c r="AJ283" s="125"/>
      <c r="AK283" s="125"/>
      <c r="AL283" s="125"/>
      <c r="AM283" s="125"/>
      <c r="AN283" s="125"/>
      <c r="AO283" s="125"/>
      <c r="AP283" s="125"/>
      <c r="AQ283" s="125"/>
      <c r="AR283" s="125"/>
      <c r="AS283" s="125"/>
    </row>
    <row r="284" spans="1:45" ht="15.75" customHeight="1">
      <c r="A284" s="125"/>
      <c r="B284" s="125"/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"/>
      <c r="N284" s="1"/>
      <c r="O284" s="125"/>
      <c r="P284" s="125"/>
      <c r="Q284" s="125"/>
      <c r="R284" s="125"/>
      <c r="S284" s="125"/>
      <c r="T284" s="125"/>
      <c r="U284" s="125"/>
      <c r="V284" s="125"/>
      <c r="W284" s="125"/>
      <c r="X284" s="125"/>
      <c r="Y284" s="125"/>
      <c r="Z284" s="125"/>
      <c r="AA284" s="125"/>
      <c r="AB284" s="125"/>
      <c r="AC284" s="125"/>
      <c r="AD284" s="125"/>
      <c r="AE284" s="1"/>
      <c r="AG284" s="125"/>
      <c r="AH284" s="125"/>
      <c r="AI284" s="125"/>
      <c r="AJ284" s="125"/>
      <c r="AK284" s="125"/>
      <c r="AL284" s="125"/>
      <c r="AM284" s="125"/>
      <c r="AN284" s="125"/>
      <c r="AO284" s="125"/>
      <c r="AP284" s="125"/>
      <c r="AQ284" s="125"/>
      <c r="AR284" s="125"/>
      <c r="AS284" s="125"/>
    </row>
    <row r="285" spans="1:45" ht="15.75" customHeight="1">
      <c r="A285" s="125"/>
      <c r="B285" s="125"/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"/>
      <c r="N285" s="1"/>
      <c r="O285" s="125"/>
      <c r="P285" s="125"/>
      <c r="Q285" s="125"/>
      <c r="R285" s="125"/>
      <c r="S285" s="125"/>
      <c r="T285" s="125"/>
      <c r="U285" s="125"/>
      <c r="V285" s="125"/>
      <c r="W285" s="125"/>
      <c r="X285" s="125"/>
      <c r="Y285" s="125"/>
      <c r="Z285" s="125"/>
      <c r="AA285" s="125"/>
      <c r="AB285" s="125"/>
      <c r="AC285" s="125"/>
      <c r="AD285" s="125"/>
      <c r="AE285" s="1"/>
      <c r="AG285" s="125"/>
      <c r="AH285" s="125"/>
      <c r="AI285" s="125"/>
      <c r="AJ285" s="125"/>
      <c r="AK285" s="125"/>
      <c r="AL285" s="125"/>
      <c r="AM285" s="125"/>
      <c r="AN285" s="125"/>
      <c r="AO285" s="125"/>
      <c r="AP285" s="125"/>
      <c r="AQ285" s="125"/>
      <c r="AR285" s="125"/>
      <c r="AS285" s="125"/>
    </row>
    <row r="286" spans="1:45" ht="15.75" customHeight="1">
      <c r="A286" s="125"/>
      <c r="B286" s="125"/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"/>
      <c r="N286" s="1"/>
      <c r="O286" s="125"/>
      <c r="P286" s="125"/>
      <c r="Q286" s="125"/>
      <c r="R286" s="125"/>
      <c r="S286" s="125"/>
      <c r="T286" s="125"/>
      <c r="U286" s="125"/>
      <c r="V286" s="125"/>
      <c r="W286" s="125"/>
      <c r="X286" s="125"/>
      <c r="Y286" s="125"/>
      <c r="Z286" s="125"/>
      <c r="AA286" s="125"/>
      <c r="AB286" s="125"/>
      <c r="AC286" s="125"/>
      <c r="AD286" s="125"/>
      <c r="AE286" s="1"/>
      <c r="AG286" s="125"/>
      <c r="AH286" s="125"/>
      <c r="AI286" s="125"/>
      <c r="AJ286" s="125"/>
      <c r="AK286" s="125"/>
      <c r="AL286" s="125"/>
      <c r="AM286" s="125"/>
      <c r="AN286" s="125"/>
      <c r="AO286" s="125"/>
      <c r="AP286" s="125"/>
      <c r="AQ286" s="125"/>
      <c r="AR286" s="125"/>
      <c r="AS286" s="125"/>
    </row>
    <row r="287" spans="1:45" ht="15.75" customHeight="1">
      <c r="A287" s="125"/>
      <c r="B287" s="125"/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"/>
      <c r="N287" s="1"/>
      <c r="O287" s="125"/>
      <c r="P287" s="125"/>
      <c r="Q287" s="125"/>
      <c r="R287" s="125"/>
      <c r="S287" s="125"/>
      <c r="T287" s="125"/>
      <c r="U287" s="125"/>
      <c r="V287" s="125"/>
      <c r="W287" s="125"/>
      <c r="X287" s="125"/>
      <c r="Y287" s="125"/>
      <c r="Z287" s="125"/>
      <c r="AA287" s="125"/>
      <c r="AB287" s="125"/>
      <c r="AC287" s="125"/>
      <c r="AD287" s="125"/>
      <c r="AE287" s="1"/>
      <c r="AG287" s="125"/>
      <c r="AH287" s="125"/>
      <c r="AI287" s="125"/>
      <c r="AJ287" s="125"/>
      <c r="AK287" s="125"/>
      <c r="AL287" s="125"/>
      <c r="AM287" s="125"/>
      <c r="AN287" s="125"/>
      <c r="AO287" s="125"/>
      <c r="AP287" s="125"/>
      <c r="AQ287" s="125"/>
      <c r="AR287" s="125"/>
      <c r="AS287" s="125"/>
    </row>
    <row r="288" spans="1:45" ht="15.75" customHeight="1">
      <c r="A288" s="125"/>
      <c r="B288" s="125"/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"/>
      <c r="N288" s="1"/>
      <c r="O288" s="125"/>
      <c r="P288" s="125"/>
      <c r="Q288" s="125"/>
      <c r="R288" s="125"/>
      <c r="S288" s="125"/>
      <c r="T288" s="125"/>
      <c r="U288" s="125"/>
      <c r="V288" s="125"/>
      <c r="W288" s="125"/>
      <c r="X288" s="125"/>
      <c r="Y288" s="125"/>
      <c r="Z288" s="125"/>
      <c r="AA288" s="125"/>
      <c r="AB288" s="125"/>
      <c r="AC288" s="125"/>
      <c r="AD288" s="125"/>
      <c r="AE288" s="1"/>
      <c r="AG288" s="125"/>
      <c r="AH288" s="125"/>
      <c r="AI288" s="125"/>
      <c r="AJ288" s="125"/>
      <c r="AK288" s="125"/>
      <c r="AL288" s="125"/>
      <c r="AM288" s="125"/>
      <c r="AN288" s="125"/>
      <c r="AO288" s="125"/>
      <c r="AP288" s="125"/>
      <c r="AQ288" s="125"/>
      <c r="AR288" s="125"/>
      <c r="AS288" s="125"/>
    </row>
    <row r="289" spans="1:45" ht="15.75" customHeight="1">
      <c r="A289" s="125"/>
      <c r="B289" s="125"/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"/>
      <c r="N289" s="1"/>
      <c r="O289" s="125"/>
      <c r="P289" s="125"/>
      <c r="Q289" s="125"/>
      <c r="R289" s="125"/>
      <c r="S289" s="125"/>
      <c r="T289" s="125"/>
      <c r="U289" s="125"/>
      <c r="V289" s="125"/>
      <c r="W289" s="125"/>
      <c r="X289" s="125"/>
      <c r="Y289" s="125"/>
      <c r="Z289" s="125"/>
      <c r="AA289" s="125"/>
      <c r="AB289" s="125"/>
      <c r="AC289" s="125"/>
      <c r="AD289" s="125"/>
      <c r="AE289" s="1"/>
    </row>
    <row r="290" spans="1:45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45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45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45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45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45" ht="15.75" customHeight="1">
      <c r="A295" s="135" t="s">
        <v>49</v>
      </c>
      <c r="B295" s="135"/>
      <c r="C295" s="135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45" ht="15.75" customHeight="1">
      <c r="D296" s="1"/>
      <c r="E296" s="1"/>
      <c r="F296" s="1"/>
      <c r="G296" s="1"/>
      <c r="H296" s="1"/>
      <c r="I296" s="1"/>
      <c r="K296" s="21"/>
      <c r="L296" s="21"/>
      <c r="M296" s="1"/>
      <c r="O296" s="1"/>
      <c r="P296" s="1"/>
      <c r="T296" s="21"/>
      <c r="U296" s="21"/>
      <c r="V296" s="1"/>
      <c r="W296" s="1"/>
      <c r="X296" s="1"/>
      <c r="Y296" s="1"/>
      <c r="Z296" s="1"/>
      <c r="AA296" s="1"/>
      <c r="AB296" s="1"/>
      <c r="AC296" s="1"/>
      <c r="AD296" s="1"/>
    </row>
    <row r="297" spans="1:45" ht="15.75" customHeight="1">
      <c r="A297" s="131" t="s">
        <v>46</v>
      </c>
      <c r="B297" s="131"/>
      <c r="C297" s="13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31" t="s">
        <v>47</v>
      </c>
      <c r="P297" s="131"/>
      <c r="Q297" s="13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G297" s="131" t="s">
        <v>48</v>
      </c>
      <c r="AH297" s="131"/>
      <c r="AI297" s="131"/>
    </row>
    <row r="298" spans="1:45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45" ht="15.75" customHeight="1">
      <c r="A299" s="125"/>
      <c r="B299" s="125"/>
      <c r="C299" s="125"/>
      <c r="D299" s="125"/>
      <c r="E299" s="125"/>
      <c r="F299" s="125"/>
      <c r="G299" s="125"/>
      <c r="H299" s="125"/>
      <c r="I299" s="125"/>
      <c r="J299" s="125"/>
      <c r="K299" s="125"/>
      <c r="L299" s="125"/>
      <c r="M299" s="1"/>
      <c r="N299" s="1"/>
      <c r="O299" s="125"/>
      <c r="P299" s="125"/>
      <c r="Q299" s="125"/>
      <c r="R299" s="125"/>
      <c r="S299" s="125"/>
      <c r="T299" s="125"/>
      <c r="U299" s="125"/>
      <c r="V299" s="125"/>
      <c r="W299" s="125"/>
      <c r="X299" s="125"/>
      <c r="Y299" s="125"/>
      <c r="Z299" s="125"/>
      <c r="AA299" s="125"/>
      <c r="AB299" s="125"/>
      <c r="AC299" s="125"/>
      <c r="AD299" s="125"/>
      <c r="AE299" s="1"/>
      <c r="AG299" s="125"/>
      <c r="AH299" s="125"/>
      <c r="AI299" s="125"/>
      <c r="AJ299" s="125"/>
      <c r="AK299" s="125"/>
      <c r="AL299" s="125"/>
      <c r="AM299" s="125"/>
      <c r="AN299" s="125"/>
      <c r="AO299" s="125"/>
      <c r="AP299" s="125"/>
      <c r="AQ299" s="125"/>
      <c r="AR299" s="125"/>
      <c r="AS299" s="125"/>
    </row>
    <row r="300" spans="1:45" ht="15.75" customHeight="1">
      <c r="A300" s="125"/>
      <c r="B300" s="125"/>
      <c r="C300" s="125"/>
      <c r="D300" s="125"/>
      <c r="E300" s="125"/>
      <c r="F300" s="125"/>
      <c r="G300" s="125"/>
      <c r="H300" s="125"/>
      <c r="I300" s="125"/>
      <c r="J300" s="125"/>
      <c r="K300" s="125"/>
      <c r="L300" s="125"/>
      <c r="M300" s="1"/>
      <c r="N300" s="1"/>
      <c r="O300" s="125"/>
      <c r="P300" s="125"/>
      <c r="Q300" s="125"/>
      <c r="R300" s="125"/>
      <c r="S300" s="125"/>
      <c r="T300" s="125"/>
      <c r="U300" s="125"/>
      <c r="V300" s="125"/>
      <c r="W300" s="125"/>
      <c r="X300" s="125"/>
      <c r="Y300" s="125"/>
      <c r="Z300" s="125"/>
      <c r="AA300" s="125"/>
      <c r="AB300" s="125"/>
      <c r="AC300" s="125"/>
      <c r="AD300" s="125"/>
      <c r="AE300" s="1"/>
      <c r="AG300" s="125"/>
      <c r="AH300" s="125"/>
      <c r="AI300" s="125"/>
      <c r="AJ300" s="125"/>
      <c r="AK300" s="125"/>
      <c r="AL300" s="125"/>
      <c r="AM300" s="125"/>
      <c r="AN300" s="125"/>
      <c r="AO300" s="125"/>
      <c r="AP300" s="125"/>
      <c r="AQ300" s="125"/>
      <c r="AR300" s="125"/>
      <c r="AS300" s="125"/>
    </row>
    <row r="301" spans="1:45" ht="15.75" customHeight="1">
      <c r="A301" s="125"/>
      <c r="B301" s="125"/>
      <c r="C301" s="125"/>
      <c r="D301" s="125"/>
      <c r="E301" s="125"/>
      <c r="F301" s="125"/>
      <c r="G301" s="125"/>
      <c r="H301" s="125"/>
      <c r="I301" s="125"/>
      <c r="J301" s="125"/>
      <c r="K301" s="125"/>
      <c r="L301" s="125"/>
      <c r="M301" s="1"/>
      <c r="N301" s="1"/>
      <c r="O301" s="125"/>
      <c r="P301" s="125"/>
      <c r="Q301" s="125"/>
      <c r="R301" s="125"/>
      <c r="S301" s="125"/>
      <c r="T301" s="125"/>
      <c r="U301" s="125"/>
      <c r="V301" s="125"/>
      <c r="W301" s="125"/>
      <c r="X301" s="125"/>
      <c r="Y301" s="125"/>
      <c r="Z301" s="125"/>
      <c r="AA301" s="125"/>
      <c r="AB301" s="125"/>
      <c r="AC301" s="125"/>
      <c r="AD301" s="125"/>
      <c r="AE301" s="1"/>
      <c r="AG301" s="125"/>
      <c r="AH301" s="125"/>
      <c r="AI301" s="125"/>
      <c r="AJ301" s="125"/>
      <c r="AK301" s="125"/>
      <c r="AL301" s="125"/>
      <c r="AM301" s="125"/>
      <c r="AN301" s="125"/>
      <c r="AO301" s="125"/>
      <c r="AP301" s="125"/>
      <c r="AQ301" s="125"/>
      <c r="AR301" s="125"/>
      <c r="AS301" s="125"/>
    </row>
    <row r="302" spans="1:45" ht="15.75" customHeight="1">
      <c r="A302" s="125"/>
      <c r="B302" s="125"/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"/>
      <c r="N302" s="1"/>
      <c r="O302" s="125"/>
      <c r="P302" s="125"/>
      <c r="Q302" s="125"/>
      <c r="R302" s="125"/>
      <c r="S302" s="125"/>
      <c r="T302" s="125"/>
      <c r="U302" s="125"/>
      <c r="V302" s="125"/>
      <c r="W302" s="125"/>
      <c r="X302" s="125"/>
      <c r="Y302" s="125"/>
      <c r="Z302" s="125"/>
      <c r="AA302" s="125"/>
      <c r="AB302" s="125"/>
      <c r="AC302" s="125"/>
      <c r="AD302" s="125"/>
      <c r="AE302" s="1"/>
      <c r="AG302" s="125"/>
      <c r="AH302" s="125"/>
      <c r="AI302" s="125"/>
      <c r="AJ302" s="125"/>
      <c r="AK302" s="125"/>
      <c r="AL302" s="125"/>
      <c r="AM302" s="125"/>
      <c r="AN302" s="125"/>
      <c r="AO302" s="125"/>
      <c r="AP302" s="125"/>
      <c r="AQ302" s="125"/>
      <c r="AR302" s="125"/>
      <c r="AS302" s="125"/>
    </row>
    <row r="303" spans="1:45" ht="15.75" customHeight="1">
      <c r="A303" s="125"/>
      <c r="B303" s="125"/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"/>
      <c r="N303" s="1"/>
      <c r="O303" s="125"/>
      <c r="P303" s="125"/>
      <c r="Q303" s="125"/>
      <c r="R303" s="125"/>
      <c r="S303" s="125"/>
      <c r="T303" s="125"/>
      <c r="U303" s="125"/>
      <c r="V303" s="125"/>
      <c r="W303" s="125"/>
      <c r="X303" s="125"/>
      <c r="Y303" s="125"/>
      <c r="Z303" s="125"/>
      <c r="AA303" s="125"/>
      <c r="AB303" s="125"/>
      <c r="AC303" s="125"/>
      <c r="AD303" s="125"/>
      <c r="AE303" s="1"/>
      <c r="AG303" s="125"/>
      <c r="AH303" s="125"/>
      <c r="AI303" s="125"/>
      <c r="AJ303" s="125"/>
      <c r="AK303" s="125"/>
      <c r="AL303" s="125"/>
      <c r="AM303" s="125"/>
      <c r="AN303" s="125"/>
      <c r="AO303" s="125"/>
      <c r="AP303" s="125"/>
      <c r="AQ303" s="125"/>
      <c r="AR303" s="125"/>
      <c r="AS303" s="125"/>
    </row>
    <row r="304" spans="1:45" ht="15.75" customHeight="1">
      <c r="A304" s="125"/>
      <c r="B304" s="125"/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"/>
      <c r="N304" s="1"/>
      <c r="O304" s="125"/>
      <c r="P304" s="125"/>
      <c r="Q304" s="125"/>
      <c r="R304" s="125"/>
      <c r="S304" s="125"/>
      <c r="T304" s="125"/>
      <c r="U304" s="125"/>
      <c r="V304" s="125"/>
      <c r="W304" s="125"/>
      <c r="X304" s="125"/>
      <c r="Y304" s="125"/>
      <c r="Z304" s="125"/>
      <c r="AA304" s="125"/>
      <c r="AB304" s="125"/>
      <c r="AC304" s="125"/>
      <c r="AD304" s="125"/>
      <c r="AE304" s="1"/>
      <c r="AG304" s="125"/>
      <c r="AH304" s="125"/>
      <c r="AI304" s="125"/>
      <c r="AJ304" s="125"/>
      <c r="AK304" s="125"/>
      <c r="AL304" s="125"/>
      <c r="AM304" s="125"/>
      <c r="AN304" s="125"/>
      <c r="AO304" s="125"/>
      <c r="AP304" s="125"/>
      <c r="AQ304" s="125"/>
      <c r="AR304" s="125"/>
      <c r="AS304" s="125"/>
    </row>
    <row r="305" spans="1:45" ht="15.75" customHeight="1">
      <c r="A305" s="125"/>
      <c r="B305" s="125"/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"/>
      <c r="N305" s="1"/>
      <c r="O305" s="125"/>
      <c r="P305" s="125"/>
      <c r="Q305" s="125"/>
      <c r="R305" s="125"/>
      <c r="S305" s="125"/>
      <c r="T305" s="125"/>
      <c r="U305" s="125"/>
      <c r="V305" s="125"/>
      <c r="W305" s="125"/>
      <c r="X305" s="125"/>
      <c r="Y305" s="125"/>
      <c r="Z305" s="125"/>
      <c r="AA305" s="125"/>
      <c r="AB305" s="125"/>
      <c r="AC305" s="125"/>
      <c r="AD305" s="125"/>
      <c r="AE305" s="1"/>
      <c r="AG305" s="125"/>
      <c r="AH305" s="125"/>
      <c r="AI305" s="125"/>
      <c r="AJ305" s="125"/>
      <c r="AK305" s="125"/>
      <c r="AL305" s="125"/>
      <c r="AM305" s="125"/>
      <c r="AN305" s="125"/>
      <c r="AO305" s="125"/>
      <c r="AP305" s="125"/>
      <c r="AQ305" s="125"/>
      <c r="AR305" s="125"/>
      <c r="AS305" s="125"/>
    </row>
    <row r="306" spans="1:45" ht="15.75" customHeight="1">
      <c r="A306" s="125"/>
      <c r="B306" s="125"/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"/>
      <c r="N306" s="1"/>
      <c r="O306" s="125"/>
      <c r="P306" s="125"/>
      <c r="Q306" s="125"/>
      <c r="R306" s="125"/>
      <c r="S306" s="125"/>
      <c r="T306" s="125"/>
      <c r="U306" s="125"/>
      <c r="V306" s="125"/>
      <c r="W306" s="125"/>
      <c r="X306" s="125"/>
      <c r="Y306" s="125"/>
      <c r="Z306" s="125"/>
      <c r="AA306" s="125"/>
      <c r="AB306" s="125"/>
      <c r="AC306" s="125"/>
      <c r="AD306" s="125"/>
      <c r="AE306" s="1"/>
      <c r="AG306" s="125"/>
      <c r="AH306" s="125"/>
      <c r="AI306" s="125"/>
      <c r="AJ306" s="125"/>
      <c r="AK306" s="125"/>
      <c r="AL306" s="125"/>
      <c r="AM306" s="125"/>
      <c r="AN306" s="125"/>
      <c r="AO306" s="125"/>
      <c r="AP306" s="125"/>
      <c r="AQ306" s="125"/>
      <c r="AR306" s="125"/>
      <c r="AS306" s="125"/>
    </row>
    <row r="307" spans="1:45" ht="15.75" customHeight="1">
      <c r="A307" s="125"/>
      <c r="B307" s="125"/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"/>
      <c r="N307" s="1"/>
      <c r="O307" s="125"/>
      <c r="P307" s="125"/>
      <c r="Q307" s="125"/>
      <c r="R307" s="125"/>
      <c r="S307" s="125"/>
      <c r="T307" s="125"/>
      <c r="U307" s="125"/>
      <c r="V307" s="125"/>
      <c r="W307" s="125"/>
      <c r="X307" s="125"/>
      <c r="Y307" s="125"/>
      <c r="Z307" s="125"/>
      <c r="AA307" s="125"/>
      <c r="AB307" s="125"/>
      <c r="AC307" s="125"/>
      <c r="AD307" s="125"/>
      <c r="AE307" s="1"/>
      <c r="AG307" s="125"/>
      <c r="AH307" s="125"/>
      <c r="AI307" s="125"/>
      <c r="AJ307" s="125"/>
      <c r="AK307" s="125"/>
      <c r="AL307" s="125"/>
      <c r="AM307" s="125"/>
      <c r="AN307" s="125"/>
      <c r="AO307" s="125"/>
      <c r="AP307" s="125"/>
      <c r="AQ307" s="125"/>
      <c r="AR307" s="125"/>
      <c r="AS307" s="125"/>
    </row>
    <row r="308" spans="1:45" ht="15.75" customHeight="1">
      <c r="A308" s="125"/>
      <c r="B308" s="125"/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"/>
      <c r="N308" s="1"/>
      <c r="O308" s="125"/>
      <c r="P308" s="125"/>
      <c r="Q308" s="125"/>
      <c r="R308" s="125"/>
      <c r="S308" s="125"/>
      <c r="T308" s="125"/>
      <c r="U308" s="125"/>
      <c r="V308" s="125"/>
      <c r="W308" s="125"/>
      <c r="X308" s="125"/>
      <c r="Y308" s="125"/>
      <c r="Z308" s="125"/>
      <c r="AA308" s="125"/>
      <c r="AB308" s="125"/>
      <c r="AC308" s="125"/>
      <c r="AD308" s="125"/>
      <c r="AE308" s="1"/>
      <c r="AG308" s="125"/>
      <c r="AH308" s="125"/>
      <c r="AI308" s="125"/>
      <c r="AJ308" s="125"/>
      <c r="AK308" s="125"/>
      <c r="AL308" s="125"/>
      <c r="AM308" s="125"/>
      <c r="AN308" s="125"/>
      <c r="AO308" s="125"/>
      <c r="AP308" s="125"/>
      <c r="AQ308" s="125"/>
      <c r="AR308" s="125"/>
      <c r="AS308" s="125"/>
    </row>
    <row r="309" spans="1:45" ht="15.75" customHeight="1">
      <c r="A309" s="125"/>
      <c r="B309" s="125"/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"/>
      <c r="N309" s="1"/>
      <c r="O309" s="125"/>
      <c r="P309" s="125"/>
      <c r="Q309" s="125"/>
      <c r="R309" s="125"/>
      <c r="S309" s="125"/>
      <c r="T309" s="125"/>
      <c r="U309" s="125"/>
      <c r="V309" s="125"/>
      <c r="W309" s="125"/>
      <c r="X309" s="125"/>
      <c r="Y309" s="125"/>
      <c r="Z309" s="125"/>
      <c r="AA309" s="125"/>
      <c r="AB309" s="125"/>
      <c r="AC309" s="125"/>
      <c r="AD309" s="125"/>
      <c r="AE309" s="1"/>
      <c r="AG309" s="125"/>
      <c r="AH309" s="125"/>
      <c r="AI309" s="125"/>
      <c r="AJ309" s="125"/>
      <c r="AK309" s="125"/>
      <c r="AL309" s="125"/>
      <c r="AM309" s="125"/>
      <c r="AN309" s="125"/>
      <c r="AO309" s="125"/>
      <c r="AP309" s="125"/>
      <c r="AQ309" s="125"/>
      <c r="AR309" s="125"/>
      <c r="AS309" s="125"/>
    </row>
    <row r="310" spans="1:45" ht="15.75" customHeight="1">
      <c r="A310" s="125"/>
      <c r="B310" s="125"/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"/>
      <c r="N310" s="1"/>
      <c r="O310" s="125"/>
      <c r="P310" s="125"/>
      <c r="Q310" s="125"/>
      <c r="R310" s="125"/>
      <c r="S310" s="125"/>
      <c r="T310" s="125"/>
      <c r="U310" s="125"/>
      <c r="V310" s="125"/>
      <c r="W310" s="125"/>
      <c r="X310" s="125"/>
      <c r="Y310" s="125"/>
      <c r="Z310" s="125"/>
      <c r="AA310" s="125"/>
      <c r="AB310" s="125"/>
      <c r="AC310" s="125"/>
      <c r="AD310" s="125"/>
      <c r="AE310" s="1"/>
      <c r="AG310" s="125"/>
      <c r="AH310" s="125"/>
      <c r="AI310" s="125"/>
      <c r="AJ310" s="125"/>
      <c r="AK310" s="125"/>
      <c r="AL310" s="125"/>
      <c r="AM310" s="125"/>
      <c r="AN310" s="125"/>
      <c r="AO310" s="125"/>
      <c r="AP310" s="125"/>
      <c r="AQ310" s="125"/>
      <c r="AR310" s="125"/>
      <c r="AS310" s="125"/>
    </row>
    <row r="311" spans="1:45" ht="15.75" customHeight="1">
      <c r="A311" s="125"/>
      <c r="B311" s="125"/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"/>
      <c r="N311" s="1"/>
      <c r="O311" s="125"/>
      <c r="P311" s="125"/>
      <c r="Q311" s="125"/>
      <c r="R311" s="125"/>
      <c r="S311" s="125"/>
      <c r="T311" s="125"/>
      <c r="U311" s="125"/>
      <c r="V311" s="125"/>
      <c r="W311" s="125"/>
      <c r="X311" s="125"/>
      <c r="Y311" s="125"/>
      <c r="Z311" s="125"/>
      <c r="AA311" s="125"/>
      <c r="AB311" s="125"/>
      <c r="AC311" s="125"/>
      <c r="AD311" s="125"/>
      <c r="AE311" s="1"/>
      <c r="AG311" s="125"/>
      <c r="AH311" s="125"/>
      <c r="AI311" s="125"/>
      <c r="AJ311" s="125"/>
      <c r="AK311" s="125"/>
      <c r="AL311" s="125"/>
      <c r="AM311" s="125"/>
      <c r="AN311" s="125"/>
      <c r="AO311" s="125"/>
      <c r="AP311" s="125"/>
      <c r="AQ311" s="125"/>
      <c r="AR311" s="125"/>
      <c r="AS311" s="125"/>
    </row>
    <row r="312" spans="1:45" ht="15.75" customHeight="1">
      <c r="A312" s="125"/>
      <c r="B312" s="125"/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"/>
      <c r="N312" s="1"/>
      <c r="O312" s="125"/>
      <c r="P312" s="125"/>
      <c r="Q312" s="125"/>
      <c r="R312" s="125"/>
      <c r="S312" s="125"/>
      <c r="T312" s="125"/>
      <c r="U312" s="125"/>
      <c r="V312" s="125"/>
      <c r="W312" s="125"/>
      <c r="X312" s="125"/>
      <c r="Y312" s="125"/>
      <c r="Z312" s="125"/>
      <c r="AA312" s="125"/>
      <c r="AB312" s="125"/>
      <c r="AC312" s="125"/>
      <c r="AD312" s="125"/>
      <c r="AE312" s="1"/>
      <c r="AG312" s="125"/>
      <c r="AH312" s="125"/>
      <c r="AI312" s="125"/>
      <c r="AJ312" s="125"/>
      <c r="AK312" s="125"/>
      <c r="AL312" s="125"/>
      <c r="AM312" s="125"/>
      <c r="AN312" s="125"/>
      <c r="AO312" s="125"/>
      <c r="AP312" s="125"/>
      <c r="AQ312" s="125"/>
      <c r="AR312" s="125"/>
      <c r="AS312" s="125"/>
    </row>
    <row r="313" spans="1:45" ht="15.75" customHeight="1">
      <c r="A313" s="125"/>
      <c r="B313" s="125"/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"/>
      <c r="N313" s="1"/>
      <c r="O313" s="125"/>
      <c r="P313" s="125"/>
      <c r="Q313" s="125"/>
      <c r="R313" s="125"/>
      <c r="S313" s="125"/>
      <c r="T313" s="125"/>
      <c r="U313" s="125"/>
      <c r="V313" s="125"/>
      <c r="W313" s="125"/>
      <c r="X313" s="125"/>
      <c r="Y313" s="125"/>
      <c r="Z313" s="125"/>
      <c r="AA313" s="125"/>
      <c r="AB313" s="125"/>
      <c r="AC313" s="125"/>
      <c r="AD313" s="125"/>
      <c r="AE313" s="1"/>
      <c r="AG313" s="125"/>
      <c r="AH313" s="125"/>
      <c r="AI313" s="125"/>
      <c r="AJ313" s="125"/>
      <c r="AK313" s="125"/>
      <c r="AL313" s="125"/>
      <c r="AM313" s="125"/>
      <c r="AN313" s="125"/>
      <c r="AO313" s="125"/>
      <c r="AP313" s="125"/>
      <c r="AQ313" s="125"/>
      <c r="AR313" s="125"/>
      <c r="AS313" s="125"/>
    </row>
    <row r="314" spans="1:45" ht="15.75" customHeight="1">
      <c r="A314" s="125"/>
      <c r="B314" s="125"/>
      <c r="C314" s="125"/>
      <c r="D314" s="125"/>
      <c r="E314" s="125"/>
      <c r="F314" s="125"/>
      <c r="G314" s="125"/>
      <c r="H314" s="125"/>
      <c r="I314" s="125"/>
      <c r="J314" s="125"/>
      <c r="K314" s="125"/>
      <c r="L314" s="125"/>
      <c r="M314" s="1"/>
      <c r="N314" s="1"/>
      <c r="O314" s="125"/>
      <c r="P314" s="125"/>
      <c r="Q314" s="125"/>
      <c r="R314" s="125"/>
      <c r="S314" s="125"/>
      <c r="T314" s="125"/>
      <c r="U314" s="125"/>
      <c r="V314" s="125"/>
      <c r="W314" s="125"/>
      <c r="X314" s="125"/>
      <c r="Y314" s="125"/>
      <c r="Z314" s="125"/>
      <c r="AA314" s="125"/>
      <c r="AB314" s="125"/>
      <c r="AC314" s="125"/>
      <c r="AD314" s="125"/>
      <c r="AE314" s="1"/>
      <c r="AG314" s="125"/>
      <c r="AH314" s="125"/>
      <c r="AI314" s="125"/>
      <c r="AJ314" s="125"/>
      <c r="AK314" s="125"/>
      <c r="AL314" s="125"/>
      <c r="AM314" s="125"/>
      <c r="AN314" s="125"/>
      <c r="AO314" s="125"/>
      <c r="AP314" s="125"/>
      <c r="AQ314" s="125"/>
      <c r="AR314" s="125"/>
      <c r="AS314" s="125"/>
    </row>
    <row r="315" spans="1:45" ht="15.75" customHeight="1">
      <c r="A315" s="125"/>
      <c r="B315" s="125"/>
      <c r="C315" s="125"/>
      <c r="D315" s="125"/>
      <c r="E315" s="125"/>
      <c r="F315" s="125"/>
      <c r="G315" s="125"/>
      <c r="H315" s="125"/>
      <c r="I315" s="125"/>
      <c r="J315" s="125"/>
      <c r="K315" s="125"/>
      <c r="L315" s="125"/>
      <c r="M315" s="1"/>
      <c r="N315" s="1"/>
      <c r="O315" s="125"/>
      <c r="P315" s="125"/>
      <c r="Q315" s="125"/>
      <c r="R315" s="125"/>
      <c r="S315" s="125"/>
      <c r="T315" s="125"/>
      <c r="U315" s="125"/>
      <c r="V315" s="125"/>
      <c r="W315" s="125"/>
      <c r="X315" s="125"/>
      <c r="Y315" s="125"/>
      <c r="Z315" s="125"/>
      <c r="AA315" s="125"/>
      <c r="AB315" s="125"/>
      <c r="AC315" s="125"/>
      <c r="AD315" s="125"/>
      <c r="AE315" s="1"/>
      <c r="AG315" s="125"/>
      <c r="AH315" s="125"/>
      <c r="AI315" s="125"/>
      <c r="AJ315" s="125"/>
      <c r="AK315" s="125"/>
      <c r="AL315" s="125"/>
      <c r="AM315" s="125"/>
      <c r="AN315" s="125"/>
      <c r="AO315" s="125"/>
      <c r="AP315" s="125"/>
      <c r="AQ315" s="125"/>
      <c r="AR315" s="125"/>
      <c r="AS315" s="125"/>
    </row>
    <row r="316" spans="1:45" ht="15.75" customHeight="1">
      <c r="A316" s="125"/>
      <c r="B316" s="125"/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"/>
      <c r="N316" s="1"/>
      <c r="O316" s="125"/>
      <c r="P316" s="125"/>
      <c r="Q316" s="125"/>
      <c r="R316" s="125"/>
      <c r="S316" s="125"/>
      <c r="T316" s="125"/>
      <c r="U316" s="125"/>
      <c r="V316" s="125"/>
      <c r="W316" s="125"/>
      <c r="X316" s="125"/>
      <c r="Y316" s="125"/>
      <c r="Z316" s="125"/>
      <c r="AA316" s="125"/>
      <c r="AB316" s="125"/>
      <c r="AC316" s="125"/>
      <c r="AD316" s="125"/>
      <c r="AE316" s="1"/>
      <c r="AG316" s="125"/>
      <c r="AH316" s="125"/>
      <c r="AI316" s="125"/>
      <c r="AJ316" s="125"/>
      <c r="AK316" s="125"/>
      <c r="AL316" s="125"/>
      <c r="AM316" s="125"/>
      <c r="AN316" s="125"/>
      <c r="AO316" s="125"/>
      <c r="AP316" s="125"/>
      <c r="AQ316" s="125"/>
      <c r="AR316" s="125"/>
      <c r="AS316" s="125"/>
    </row>
    <row r="317" spans="1:45" ht="15.75" customHeight="1">
      <c r="A317" s="125"/>
      <c r="B317" s="125"/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"/>
      <c r="N317" s="1"/>
      <c r="O317" s="125"/>
      <c r="P317" s="125"/>
      <c r="Q317" s="125"/>
      <c r="R317" s="125"/>
      <c r="S317" s="125"/>
      <c r="T317" s="125"/>
      <c r="U317" s="125"/>
      <c r="V317" s="125"/>
      <c r="W317" s="125"/>
      <c r="X317" s="125"/>
      <c r="Y317" s="125"/>
      <c r="Z317" s="125"/>
      <c r="AA317" s="125"/>
      <c r="AB317" s="125"/>
      <c r="AC317" s="125"/>
      <c r="AD317" s="125"/>
      <c r="AE317" s="1"/>
      <c r="AG317" s="125"/>
      <c r="AH317" s="125"/>
      <c r="AI317" s="125"/>
      <c r="AJ317" s="125"/>
      <c r="AK317" s="125"/>
      <c r="AL317" s="125"/>
      <c r="AM317" s="125"/>
      <c r="AN317" s="125"/>
      <c r="AO317" s="125"/>
      <c r="AP317" s="125"/>
      <c r="AQ317" s="125"/>
      <c r="AR317" s="125"/>
      <c r="AS317" s="125"/>
    </row>
    <row r="318" spans="1:45" ht="15.75" customHeight="1">
      <c r="A318" s="125"/>
      <c r="B318" s="125"/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"/>
      <c r="N318" s="1"/>
      <c r="O318" s="125"/>
      <c r="P318" s="125"/>
      <c r="Q318" s="125"/>
      <c r="R318" s="125"/>
      <c r="S318" s="125"/>
      <c r="T318" s="125"/>
      <c r="U318" s="125"/>
      <c r="V318" s="125"/>
      <c r="W318" s="125"/>
      <c r="X318" s="125"/>
      <c r="Y318" s="125"/>
      <c r="Z318" s="125"/>
      <c r="AA318" s="125"/>
      <c r="AB318" s="125"/>
      <c r="AC318" s="125"/>
      <c r="AD318" s="125"/>
      <c r="AE318" s="1"/>
      <c r="AG318" s="125"/>
      <c r="AH318" s="125"/>
      <c r="AI318" s="125"/>
      <c r="AJ318" s="125"/>
      <c r="AK318" s="125"/>
      <c r="AL318" s="125"/>
      <c r="AM318" s="125"/>
      <c r="AN318" s="125"/>
      <c r="AO318" s="125"/>
      <c r="AP318" s="125"/>
      <c r="AQ318" s="125"/>
      <c r="AR318" s="125"/>
      <c r="AS318" s="125"/>
    </row>
    <row r="319" spans="1:45" ht="15.75" customHeight="1">
      <c r="A319" s="125"/>
      <c r="B319" s="125"/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"/>
      <c r="N319" s="1"/>
      <c r="O319" s="125"/>
      <c r="P319" s="125"/>
      <c r="Q319" s="125"/>
      <c r="R319" s="125"/>
      <c r="S319" s="125"/>
      <c r="T319" s="125"/>
      <c r="U319" s="125"/>
      <c r="V319" s="125"/>
      <c r="W319" s="125"/>
      <c r="X319" s="125"/>
      <c r="Y319" s="125"/>
      <c r="Z319" s="125"/>
      <c r="AA319" s="125"/>
      <c r="AB319" s="125"/>
      <c r="AC319" s="125"/>
      <c r="AD319" s="125"/>
      <c r="AE319" s="1"/>
      <c r="AG319" s="125"/>
      <c r="AH319" s="125"/>
      <c r="AI319" s="125"/>
      <c r="AJ319" s="125"/>
      <c r="AK319" s="125"/>
      <c r="AL319" s="125"/>
      <c r="AM319" s="125"/>
      <c r="AN319" s="125"/>
      <c r="AO319" s="125"/>
      <c r="AP319" s="125"/>
      <c r="AQ319" s="125"/>
      <c r="AR319" s="125"/>
      <c r="AS319" s="125"/>
    </row>
    <row r="320" spans="1:45" ht="15.75" customHeight="1">
      <c r="A320" s="125"/>
      <c r="B320" s="125"/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"/>
      <c r="N320" s="1"/>
      <c r="O320" s="125"/>
      <c r="P320" s="125"/>
      <c r="Q320" s="125"/>
      <c r="R320" s="125"/>
      <c r="S320" s="125"/>
      <c r="T320" s="125"/>
      <c r="U320" s="125"/>
      <c r="V320" s="125"/>
      <c r="W320" s="125"/>
      <c r="X320" s="125"/>
      <c r="Y320" s="125"/>
      <c r="Z320" s="125"/>
      <c r="AA320" s="125"/>
      <c r="AB320" s="125"/>
      <c r="AC320" s="125"/>
      <c r="AD320" s="125"/>
      <c r="AE320" s="1"/>
      <c r="AG320" s="125"/>
      <c r="AH320" s="125"/>
      <c r="AI320" s="125"/>
      <c r="AJ320" s="125"/>
      <c r="AK320" s="125"/>
      <c r="AL320" s="125"/>
      <c r="AM320" s="125"/>
      <c r="AN320" s="125"/>
      <c r="AO320" s="125"/>
      <c r="AP320" s="125"/>
      <c r="AQ320" s="125"/>
      <c r="AR320" s="125"/>
      <c r="AS320" s="125"/>
    </row>
    <row r="321" spans="1:45" ht="15.75" customHeight="1">
      <c r="A321" s="125"/>
      <c r="B321" s="125"/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"/>
      <c r="N321" s="1"/>
      <c r="O321" s="125"/>
      <c r="P321" s="125"/>
      <c r="Q321" s="125"/>
      <c r="R321" s="125"/>
      <c r="S321" s="125"/>
      <c r="T321" s="125"/>
      <c r="U321" s="125"/>
      <c r="V321" s="125"/>
      <c r="W321" s="125"/>
      <c r="X321" s="125"/>
      <c r="Y321" s="125"/>
      <c r="Z321" s="125"/>
      <c r="AA321" s="125"/>
      <c r="AB321" s="125"/>
      <c r="AC321" s="125"/>
      <c r="AD321" s="125"/>
      <c r="AE321" s="1"/>
      <c r="AG321" s="125"/>
      <c r="AH321" s="125"/>
      <c r="AI321" s="125"/>
      <c r="AJ321" s="125"/>
      <c r="AK321" s="125"/>
      <c r="AL321" s="125"/>
      <c r="AM321" s="125"/>
      <c r="AN321" s="125"/>
      <c r="AO321" s="125"/>
      <c r="AP321" s="125"/>
      <c r="AQ321" s="125"/>
      <c r="AR321" s="125"/>
      <c r="AS321" s="125"/>
    </row>
    <row r="322" spans="1:45" ht="15.75" customHeight="1">
      <c r="A322" s="125"/>
      <c r="B322" s="125"/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"/>
      <c r="N322" s="1"/>
      <c r="O322" s="125"/>
      <c r="P322" s="125"/>
      <c r="Q322" s="125"/>
      <c r="R322" s="125"/>
      <c r="S322" s="125"/>
      <c r="T322" s="125"/>
      <c r="U322" s="125"/>
      <c r="V322" s="125"/>
      <c r="W322" s="125"/>
      <c r="X322" s="125"/>
      <c r="Y322" s="125"/>
      <c r="Z322" s="125"/>
      <c r="AA322" s="125"/>
      <c r="AB322" s="125"/>
      <c r="AC322" s="125"/>
      <c r="AD322" s="125"/>
      <c r="AE322" s="1"/>
      <c r="AG322" s="125"/>
      <c r="AH322" s="125"/>
      <c r="AI322" s="125"/>
      <c r="AJ322" s="125"/>
      <c r="AK322" s="125"/>
      <c r="AL322" s="125"/>
      <c r="AM322" s="125"/>
      <c r="AN322" s="125"/>
      <c r="AO322" s="125"/>
      <c r="AP322" s="125"/>
      <c r="AQ322" s="125"/>
      <c r="AR322" s="125"/>
      <c r="AS322" s="125"/>
    </row>
    <row r="323" spans="1:45" ht="15.75" customHeight="1">
      <c r="A323" s="125"/>
      <c r="B323" s="125"/>
      <c r="C323" s="125"/>
      <c r="D323" s="125"/>
      <c r="E323" s="125"/>
      <c r="F323" s="125"/>
      <c r="G323" s="125"/>
      <c r="H323" s="125"/>
      <c r="I323" s="125"/>
      <c r="J323" s="125"/>
      <c r="K323" s="125"/>
      <c r="L323" s="125"/>
      <c r="M323" s="1"/>
      <c r="N323" s="1"/>
      <c r="O323" s="125"/>
      <c r="P323" s="125"/>
      <c r="Q323" s="125"/>
      <c r="R323" s="125"/>
      <c r="S323" s="125"/>
      <c r="T323" s="125"/>
      <c r="U323" s="125"/>
      <c r="V323" s="125"/>
      <c r="W323" s="125"/>
      <c r="X323" s="125"/>
      <c r="Y323" s="125"/>
      <c r="Z323" s="125"/>
      <c r="AA323" s="125"/>
      <c r="AB323" s="125"/>
      <c r="AC323" s="125"/>
      <c r="AD323" s="125"/>
      <c r="AE323" s="1"/>
      <c r="AG323" s="125"/>
      <c r="AH323" s="125"/>
      <c r="AI323" s="125"/>
      <c r="AJ323" s="125"/>
      <c r="AK323" s="125"/>
      <c r="AL323" s="125"/>
      <c r="AM323" s="125"/>
      <c r="AN323" s="125"/>
      <c r="AO323" s="125"/>
      <c r="AP323" s="125"/>
      <c r="AQ323" s="125"/>
      <c r="AR323" s="125"/>
      <c r="AS323" s="125"/>
    </row>
    <row r="324" spans="1:45" ht="15.75" customHeight="1">
      <c r="A324" s="125"/>
      <c r="B324" s="125"/>
      <c r="C324" s="125"/>
      <c r="D324" s="125"/>
      <c r="E324" s="125"/>
      <c r="F324" s="125"/>
      <c r="G324" s="125"/>
      <c r="H324" s="125"/>
      <c r="I324" s="125"/>
      <c r="J324" s="125"/>
      <c r="K324" s="125"/>
      <c r="L324" s="125"/>
      <c r="M324" s="1"/>
      <c r="N324" s="1"/>
      <c r="O324" s="125"/>
      <c r="P324" s="125"/>
      <c r="Q324" s="125"/>
      <c r="R324" s="125"/>
      <c r="S324" s="125"/>
      <c r="T324" s="125"/>
      <c r="U324" s="125"/>
      <c r="V324" s="125"/>
      <c r="W324" s="125"/>
      <c r="X324" s="125"/>
      <c r="Y324" s="125"/>
      <c r="Z324" s="125"/>
      <c r="AA324" s="125"/>
      <c r="AB324" s="125"/>
      <c r="AC324" s="125"/>
      <c r="AD324" s="125"/>
      <c r="AE324" s="1"/>
      <c r="AG324" s="125"/>
      <c r="AH324" s="125"/>
      <c r="AI324" s="125"/>
      <c r="AJ324" s="125"/>
      <c r="AK324" s="125"/>
      <c r="AL324" s="125"/>
      <c r="AM324" s="125"/>
      <c r="AN324" s="125"/>
      <c r="AO324" s="125"/>
      <c r="AP324" s="125"/>
      <c r="AQ324" s="125"/>
      <c r="AR324" s="125"/>
      <c r="AS324" s="125"/>
    </row>
    <row r="325" spans="1:45" ht="15.75" customHeight="1">
      <c r="A325" s="125"/>
      <c r="B325" s="125"/>
      <c r="C325" s="125"/>
      <c r="D325" s="125"/>
      <c r="E325" s="125"/>
      <c r="F325" s="125"/>
      <c r="G325" s="125"/>
      <c r="H325" s="125"/>
      <c r="I325" s="125"/>
      <c r="J325" s="125"/>
      <c r="K325" s="125"/>
      <c r="L325" s="125"/>
      <c r="M325" s="1"/>
      <c r="N325" s="1"/>
      <c r="O325" s="125"/>
      <c r="P325" s="125"/>
      <c r="Q325" s="125"/>
      <c r="R325" s="125"/>
      <c r="S325" s="125"/>
      <c r="T325" s="125"/>
      <c r="U325" s="125"/>
      <c r="V325" s="125"/>
      <c r="W325" s="125"/>
      <c r="X325" s="125"/>
      <c r="Y325" s="125"/>
      <c r="Z325" s="125"/>
      <c r="AA325" s="125"/>
      <c r="AB325" s="125"/>
      <c r="AC325" s="125"/>
      <c r="AD325" s="125"/>
      <c r="AE325" s="1"/>
      <c r="AG325" s="125"/>
      <c r="AH325" s="125"/>
      <c r="AI325" s="125"/>
      <c r="AJ325" s="125"/>
      <c r="AK325" s="125"/>
      <c r="AL325" s="125"/>
      <c r="AM325" s="125"/>
      <c r="AN325" s="125"/>
      <c r="AO325" s="125"/>
      <c r="AP325" s="125"/>
      <c r="AQ325" s="125"/>
      <c r="AR325" s="125"/>
      <c r="AS325" s="125"/>
    </row>
    <row r="326" spans="1:45" ht="15.75" customHeight="1">
      <c r="A326" s="125"/>
      <c r="B326" s="125"/>
      <c r="C326" s="125"/>
      <c r="D326" s="125"/>
      <c r="E326" s="125"/>
      <c r="F326" s="125"/>
      <c r="G326" s="125"/>
      <c r="H326" s="125"/>
      <c r="I326" s="125"/>
      <c r="J326" s="125"/>
      <c r="K326" s="125"/>
      <c r="L326" s="125"/>
      <c r="M326" s="1"/>
      <c r="N326" s="1"/>
      <c r="O326" s="125"/>
      <c r="P326" s="125"/>
      <c r="Q326" s="125"/>
      <c r="R326" s="125"/>
      <c r="S326" s="125"/>
      <c r="T326" s="125"/>
      <c r="U326" s="125"/>
      <c r="V326" s="125"/>
      <c r="W326" s="125"/>
      <c r="X326" s="125"/>
      <c r="Y326" s="125"/>
      <c r="Z326" s="125"/>
      <c r="AA326" s="125"/>
      <c r="AB326" s="125"/>
      <c r="AC326" s="125"/>
      <c r="AD326" s="125"/>
      <c r="AE326" s="1"/>
      <c r="AG326" s="125"/>
      <c r="AH326" s="125"/>
      <c r="AI326" s="125"/>
      <c r="AJ326" s="125"/>
      <c r="AK326" s="125"/>
      <c r="AL326" s="125"/>
      <c r="AM326" s="125"/>
      <c r="AN326" s="125"/>
      <c r="AO326" s="125"/>
      <c r="AP326" s="125"/>
      <c r="AQ326" s="125"/>
      <c r="AR326" s="125"/>
      <c r="AS326" s="125"/>
    </row>
    <row r="327" spans="1:45" ht="15.75" customHeight="1">
      <c r="A327" s="125"/>
      <c r="B327" s="125"/>
      <c r="C327" s="125"/>
      <c r="D327" s="125"/>
      <c r="E327" s="125"/>
      <c r="F327" s="125"/>
      <c r="G327" s="125"/>
      <c r="H327" s="125"/>
      <c r="I327" s="125"/>
      <c r="J327" s="125"/>
      <c r="K327" s="125"/>
      <c r="L327" s="125"/>
      <c r="M327" s="1"/>
      <c r="N327" s="1"/>
      <c r="O327" s="125"/>
      <c r="P327" s="125"/>
      <c r="Q327" s="125"/>
      <c r="R327" s="125"/>
      <c r="S327" s="125"/>
      <c r="T327" s="125"/>
      <c r="U327" s="125"/>
      <c r="V327" s="125"/>
      <c r="W327" s="125"/>
      <c r="X327" s="125"/>
      <c r="Y327" s="125"/>
      <c r="Z327" s="125"/>
      <c r="AA327" s="125"/>
      <c r="AB327" s="125"/>
      <c r="AC327" s="125"/>
      <c r="AD327" s="125"/>
      <c r="AE327" s="1"/>
      <c r="AG327" s="125"/>
      <c r="AH327" s="125"/>
      <c r="AI327" s="125"/>
      <c r="AJ327" s="125"/>
      <c r="AK327" s="125"/>
      <c r="AL327" s="125"/>
      <c r="AM327" s="125"/>
      <c r="AN327" s="125"/>
      <c r="AO327" s="125"/>
      <c r="AP327" s="125"/>
      <c r="AQ327" s="125"/>
      <c r="AR327" s="125"/>
      <c r="AS327" s="125"/>
    </row>
    <row r="328" spans="1:45" ht="15.75" customHeight="1">
      <c r="A328" s="125"/>
      <c r="B328" s="125"/>
      <c r="C328" s="125"/>
      <c r="D328" s="125"/>
      <c r="E328" s="125"/>
      <c r="F328" s="125"/>
      <c r="G328" s="125"/>
      <c r="H328" s="125"/>
      <c r="I328" s="125"/>
      <c r="J328" s="125"/>
      <c r="K328" s="125"/>
      <c r="L328" s="125"/>
      <c r="M328" s="1"/>
      <c r="N328" s="1"/>
      <c r="O328" s="125"/>
      <c r="P328" s="125"/>
      <c r="Q328" s="125"/>
      <c r="R328" s="125"/>
      <c r="S328" s="125"/>
      <c r="T328" s="125"/>
      <c r="U328" s="125"/>
      <c r="V328" s="125"/>
      <c r="W328" s="125"/>
      <c r="X328" s="125"/>
      <c r="Y328" s="125"/>
      <c r="Z328" s="125"/>
      <c r="AA328" s="125"/>
      <c r="AB328" s="125"/>
      <c r="AC328" s="125"/>
      <c r="AD328" s="125"/>
      <c r="AE328" s="1"/>
      <c r="AG328" s="125"/>
      <c r="AH328" s="125"/>
      <c r="AI328" s="125"/>
      <c r="AJ328" s="125"/>
      <c r="AK328" s="125"/>
      <c r="AL328" s="125"/>
      <c r="AM328" s="125"/>
      <c r="AN328" s="125"/>
      <c r="AO328" s="125"/>
      <c r="AP328" s="125"/>
      <c r="AQ328" s="125"/>
      <c r="AR328" s="125"/>
      <c r="AS328" s="125"/>
    </row>
    <row r="329" spans="1:45" ht="15.75" customHeight="1">
      <c r="A329" s="125"/>
      <c r="B329" s="125"/>
      <c r="C329" s="125"/>
      <c r="D329" s="125"/>
      <c r="E329" s="125"/>
      <c r="F329" s="125"/>
      <c r="G329" s="125"/>
      <c r="H329" s="125"/>
      <c r="I329" s="125"/>
      <c r="J329" s="125"/>
      <c r="K329" s="125"/>
      <c r="L329" s="125"/>
      <c r="M329" s="1"/>
      <c r="N329" s="1"/>
      <c r="O329" s="125"/>
      <c r="P329" s="125"/>
      <c r="Q329" s="125"/>
      <c r="R329" s="125"/>
      <c r="S329" s="125"/>
      <c r="T329" s="125"/>
      <c r="U329" s="125"/>
      <c r="V329" s="125"/>
      <c r="W329" s="125"/>
      <c r="X329" s="125"/>
      <c r="Y329" s="125"/>
      <c r="Z329" s="125"/>
      <c r="AA329" s="125"/>
      <c r="AB329" s="125"/>
      <c r="AC329" s="125"/>
      <c r="AD329" s="125"/>
      <c r="AE329" s="1"/>
    </row>
    <row r="330" spans="1:45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1:45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1:45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1:45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1:45" ht="15.75" customHeight="1" thickBot="1">
      <c r="A334" s="133" t="s">
        <v>50</v>
      </c>
      <c r="B334" s="133"/>
      <c r="C334" s="133"/>
      <c r="D334" s="133"/>
      <c r="E334" s="133"/>
      <c r="F334" s="4"/>
      <c r="G334" s="5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1"/>
      <c r="Z334" s="1"/>
      <c r="AA334" s="1"/>
      <c r="AB334" s="1"/>
      <c r="AC334" s="1"/>
      <c r="AD334" s="1"/>
      <c r="AE334" s="1"/>
    </row>
    <row r="335" spans="1:4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1:45" ht="15.75" customHeight="1">
      <c r="A336" s="135" t="s">
        <v>51</v>
      </c>
      <c r="B336" s="135"/>
      <c r="C336" s="135"/>
      <c r="D336" s="21"/>
      <c r="E336" s="2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1:76" ht="15.75" customHeight="1">
      <c r="A337" s="139" t="s">
        <v>52</v>
      </c>
      <c r="B337" s="139"/>
      <c r="C337" s="139"/>
      <c r="D337" s="21"/>
      <c r="E337" s="2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1:7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1:76" s="26" customFormat="1" ht="15.75" customHeight="1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</row>
    <row r="340" spans="1:76" ht="15.75" customHeight="1">
      <c r="A340" s="132" t="s">
        <v>90</v>
      </c>
      <c r="B340" s="132"/>
      <c r="C340" s="132"/>
      <c r="D340" s="35" t="s">
        <v>72</v>
      </c>
      <c r="E340" s="35" t="s">
        <v>70</v>
      </c>
      <c r="F340" s="29" t="s">
        <v>74</v>
      </c>
      <c r="G340" s="28" t="s">
        <v>75</v>
      </c>
      <c r="H340" s="28" t="s">
        <v>76</v>
      </c>
      <c r="I340" s="28" t="s">
        <v>77</v>
      </c>
      <c r="J340" s="28" t="s">
        <v>84</v>
      </c>
      <c r="K340" s="28" t="s">
        <v>85</v>
      </c>
      <c r="L340" s="50" t="s">
        <v>171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</row>
    <row r="341" spans="1:76" ht="15.75" customHeight="1">
      <c r="A341" s="132" t="s">
        <v>70</v>
      </c>
      <c r="B341" s="132"/>
      <c r="C341" s="132"/>
      <c r="D341" s="37"/>
      <c r="E341" s="37"/>
      <c r="F341" s="30">
        <f>DUT_VIN*0.95</f>
        <v>0</v>
      </c>
      <c r="G341" s="30">
        <f>DUT_VIN*1.05</f>
        <v>0</v>
      </c>
      <c r="H341" s="28">
        <f>E341-F341</f>
        <v>0</v>
      </c>
      <c r="I341" s="28">
        <f>G341-D341</f>
        <v>0</v>
      </c>
      <c r="J341" s="34" t="e">
        <f t="shared" ref="J341:K344" si="21">H341/DUT_VIN*100</f>
        <v>#DIV/0!</v>
      </c>
      <c r="K341" s="34" t="e">
        <f t="shared" si="21"/>
        <v>#DIV/0!</v>
      </c>
      <c r="L341" s="53" t="e">
        <f>(ABS(D341-E341)/DUT_VIN)*100</f>
        <v>#DIV/0!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76" ht="15.75" customHeight="1">
      <c r="A342" s="132" t="s">
        <v>71</v>
      </c>
      <c r="B342" s="132"/>
      <c r="C342" s="132"/>
      <c r="D342" s="37"/>
      <c r="E342" s="37"/>
      <c r="F342" s="30">
        <f>DUT_VIN*0.95</f>
        <v>0</v>
      </c>
      <c r="G342" s="30">
        <f>DUT_VIN*1.05</f>
        <v>0</v>
      </c>
      <c r="H342" s="28">
        <f t="shared" ref="H342:H344" si="22">E342-F342</f>
        <v>0</v>
      </c>
      <c r="I342" s="28">
        <f t="shared" ref="I342:I344" si="23">G342-D342</f>
        <v>0</v>
      </c>
      <c r="J342" s="34" t="e">
        <f t="shared" si="21"/>
        <v>#DIV/0!</v>
      </c>
      <c r="K342" s="34" t="e">
        <f t="shared" si="21"/>
        <v>#DIV/0!</v>
      </c>
      <c r="L342" s="53" t="e">
        <f>(ABS(D342-E342)/DUT_VIN)*100</f>
        <v>#DIV/0!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76" ht="15.75" customHeight="1">
      <c r="A343" s="132" t="s">
        <v>72</v>
      </c>
      <c r="B343" s="132"/>
      <c r="C343" s="132"/>
      <c r="D343" s="37"/>
      <c r="E343" s="37"/>
      <c r="F343" s="30">
        <f>DUT_VIN*0.95</f>
        <v>0</v>
      </c>
      <c r="G343" s="30">
        <f>DUT_VIN*1.05</f>
        <v>0</v>
      </c>
      <c r="H343" s="28">
        <f t="shared" si="22"/>
        <v>0</v>
      </c>
      <c r="I343" s="28">
        <f t="shared" si="23"/>
        <v>0</v>
      </c>
      <c r="J343" s="34" t="e">
        <f t="shared" si="21"/>
        <v>#DIV/0!</v>
      </c>
      <c r="K343" s="34" t="e">
        <f t="shared" si="21"/>
        <v>#DIV/0!</v>
      </c>
      <c r="L343" s="53" t="e">
        <f>(ABS(D343-E343)/DUT_VIN)*100</f>
        <v>#DIV/0!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76" ht="15.75" customHeight="1">
      <c r="A344" s="132" t="s">
        <v>91</v>
      </c>
      <c r="B344" s="132"/>
      <c r="C344" s="132"/>
      <c r="D344" s="37"/>
      <c r="E344" s="37"/>
      <c r="F344" s="30">
        <f>DUT_VIN*0.95</f>
        <v>0</v>
      </c>
      <c r="G344" s="30">
        <f>DUT_VIN*1.05</f>
        <v>0</v>
      </c>
      <c r="H344" s="28">
        <f t="shared" si="22"/>
        <v>0</v>
      </c>
      <c r="I344" s="28">
        <f t="shared" si="23"/>
        <v>0</v>
      </c>
      <c r="J344" s="34" t="e">
        <f t="shared" si="21"/>
        <v>#DIV/0!</v>
      </c>
      <c r="K344" s="34" t="e">
        <f t="shared" si="21"/>
        <v>#DIV/0!</v>
      </c>
      <c r="L344" s="53" t="e">
        <f>(ABS(D344-E344)/DUT_VIN)*100</f>
        <v>#DIV/0!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7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1:7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7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7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7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7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1:76" ht="15.75" customHeight="1">
      <c r="A351" s="131" t="s">
        <v>41</v>
      </c>
      <c r="B351" s="131"/>
      <c r="C351" s="131"/>
      <c r="D351" s="1"/>
      <c r="E351" s="1"/>
      <c r="F351" s="1"/>
      <c r="G351" s="1"/>
      <c r="H351" s="1"/>
      <c r="I351" s="1"/>
      <c r="K351" s="21"/>
      <c r="L351" s="21"/>
      <c r="M351" s="1"/>
      <c r="O351" s="131" t="s">
        <v>42</v>
      </c>
      <c r="P351" s="131"/>
      <c r="Q351" s="13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G351" s="131" t="s">
        <v>68</v>
      </c>
      <c r="AH351" s="131"/>
      <c r="AI351" s="131"/>
      <c r="AN351" s="1"/>
      <c r="AO351" s="1"/>
      <c r="AP351" s="1"/>
      <c r="AQ351" s="1"/>
      <c r="AR351" s="1"/>
      <c r="AS351" s="1"/>
      <c r="AT351" s="1"/>
      <c r="AU351" s="1"/>
      <c r="AV351" s="131" t="s">
        <v>53</v>
      </c>
      <c r="AW351" s="131"/>
      <c r="AX351" s="131"/>
    </row>
    <row r="352" spans="1:7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</row>
    <row r="353" spans="1:60" ht="15.75" customHeight="1">
      <c r="A353" s="125"/>
      <c r="B353" s="125"/>
      <c r="C353" s="125"/>
      <c r="D353" s="125"/>
      <c r="E353" s="125"/>
      <c r="F353" s="125"/>
      <c r="G353" s="125"/>
      <c r="H353" s="125"/>
      <c r="I353" s="125"/>
      <c r="J353" s="125"/>
      <c r="K353" s="125"/>
      <c r="L353" s="125"/>
      <c r="M353" s="1"/>
      <c r="N353" s="1"/>
      <c r="O353" s="125"/>
      <c r="P353" s="125"/>
      <c r="Q353" s="125"/>
      <c r="R353" s="125"/>
      <c r="S353" s="125"/>
      <c r="T353" s="125"/>
      <c r="U353" s="125"/>
      <c r="V353" s="125"/>
      <c r="W353" s="125"/>
      <c r="X353" s="125"/>
      <c r="Y353" s="125"/>
      <c r="Z353" s="125"/>
      <c r="AA353" s="125"/>
      <c r="AB353" s="125"/>
      <c r="AC353" s="125"/>
      <c r="AD353" s="125"/>
      <c r="AE353" s="1"/>
      <c r="AG353" s="125"/>
      <c r="AH353" s="125"/>
      <c r="AI353" s="125"/>
      <c r="AJ353" s="125"/>
      <c r="AK353" s="125"/>
      <c r="AL353" s="125"/>
      <c r="AM353" s="125"/>
      <c r="AN353" s="125"/>
      <c r="AO353" s="125"/>
      <c r="AP353" s="125"/>
      <c r="AQ353" s="125"/>
      <c r="AR353" s="125"/>
      <c r="AS353" s="125"/>
      <c r="AT353" s="1"/>
      <c r="AU353" s="1"/>
      <c r="AV353" s="125"/>
      <c r="AW353" s="125"/>
      <c r="AX353" s="125"/>
      <c r="AY353" s="125"/>
      <c r="AZ353" s="125"/>
      <c r="BA353" s="125"/>
      <c r="BB353" s="125"/>
      <c r="BC353" s="125"/>
      <c r="BD353" s="125"/>
      <c r="BE353" s="125"/>
      <c r="BF353" s="125"/>
      <c r="BG353" s="125"/>
      <c r="BH353" s="125"/>
    </row>
    <row r="354" spans="1:60" ht="15.75" customHeight="1">
      <c r="A354" s="125"/>
      <c r="B354" s="125"/>
      <c r="C354" s="125"/>
      <c r="D354" s="125"/>
      <c r="E354" s="125"/>
      <c r="F354" s="125"/>
      <c r="G354" s="125"/>
      <c r="H354" s="125"/>
      <c r="I354" s="125"/>
      <c r="J354" s="125"/>
      <c r="K354" s="125"/>
      <c r="L354" s="125"/>
      <c r="M354" s="1"/>
      <c r="N354" s="1"/>
      <c r="O354" s="125"/>
      <c r="P354" s="125"/>
      <c r="Q354" s="125"/>
      <c r="R354" s="125"/>
      <c r="S354" s="125"/>
      <c r="T354" s="125"/>
      <c r="U354" s="125"/>
      <c r="V354" s="125"/>
      <c r="W354" s="125"/>
      <c r="X354" s="125"/>
      <c r="Y354" s="125"/>
      <c r="Z354" s="125"/>
      <c r="AA354" s="125"/>
      <c r="AB354" s="125"/>
      <c r="AC354" s="125"/>
      <c r="AD354" s="125"/>
      <c r="AE354" s="1"/>
      <c r="AG354" s="125"/>
      <c r="AH354" s="125"/>
      <c r="AI354" s="125"/>
      <c r="AJ354" s="125"/>
      <c r="AK354" s="125"/>
      <c r="AL354" s="125"/>
      <c r="AM354" s="125"/>
      <c r="AN354" s="125"/>
      <c r="AO354" s="125"/>
      <c r="AP354" s="125"/>
      <c r="AQ354" s="125"/>
      <c r="AR354" s="125"/>
      <c r="AS354" s="125"/>
      <c r="AT354" s="1"/>
      <c r="AU354" s="1"/>
      <c r="AV354" s="125"/>
      <c r="AW354" s="125"/>
      <c r="AX354" s="125"/>
      <c r="AY354" s="125"/>
      <c r="AZ354" s="125"/>
      <c r="BA354" s="125"/>
      <c r="BB354" s="125"/>
      <c r="BC354" s="125"/>
      <c r="BD354" s="125"/>
      <c r="BE354" s="125"/>
      <c r="BF354" s="125"/>
      <c r="BG354" s="125"/>
      <c r="BH354" s="125"/>
    </row>
    <row r="355" spans="1:60" ht="15.75" customHeight="1">
      <c r="A355" s="125"/>
      <c r="B355" s="125"/>
      <c r="C355" s="125"/>
      <c r="D355" s="125"/>
      <c r="E355" s="125"/>
      <c r="F355" s="125"/>
      <c r="G355" s="125"/>
      <c r="H355" s="125"/>
      <c r="I355" s="125"/>
      <c r="J355" s="125"/>
      <c r="K355" s="125"/>
      <c r="L355" s="125"/>
      <c r="M355" s="1"/>
      <c r="N355" s="1"/>
      <c r="O355" s="125"/>
      <c r="P355" s="125"/>
      <c r="Q355" s="125"/>
      <c r="R355" s="125"/>
      <c r="S355" s="125"/>
      <c r="T355" s="125"/>
      <c r="U355" s="125"/>
      <c r="V355" s="125"/>
      <c r="W355" s="125"/>
      <c r="X355" s="125"/>
      <c r="Y355" s="125"/>
      <c r="Z355" s="125"/>
      <c r="AA355" s="125"/>
      <c r="AB355" s="125"/>
      <c r="AC355" s="125"/>
      <c r="AD355" s="125"/>
      <c r="AE355" s="1"/>
      <c r="AG355" s="125"/>
      <c r="AH355" s="125"/>
      <c r="AI355" s="125"/>
      <c r="AJ355" s="125"/>
      <c r="AK355" s="125"/>
      <c r="AL355" s="125"/>
      <c r="AM355" s="125"/>
      <c r="AN355" s="125"/>
      <c r="AO355" s="125"/>
      <c r="AP355" s="125"/>
      <c r="AQ355" s="125"/>
      <c r="AR355" s="125"/>
      <c r="AS355" s="125"/>
      <c r="AT355" s="1"/>
      <c r="AU355" s="1"/>
      <c r="AV355" s="125"/>
      <c r="AW355" s="125"/>
      <c r="AX355" s="125"/>
      <c r="AY355" s="125"/>
      <c r="AZ355" s="125"/>
      <c r="BA355" s="125"/>
      <c r="BB355" s="125"/>
      <c r="BC355" s="125"/>
      <c r="BD355" s="125"/>
      <c r="BE355" s="125"/>
      <c r="BF355" s="125"/>
      <c r="BG355" s="125"/>
      <c r="BH355" s="125"/>
    </row>
    <row r="356" spans="1:60" ht="15.75" customHeight="1">
      <c r="A356" s="125"/>
      <c r="B356" s="125"/>
      <c r="C356" s="125"/>
      <c r="D356" s="125"/>
      <c r="E356" s="125"/>
      <c r="F356" s="125"/>
      <c r="G356" s="125"/>
      <c r="H356" s="125"/>
      <c r="I356" s="125"/>
      <c r="J356" s="125"/>
      <c r="K356" s="125"/>
      <c r="L356" s="125"/>
      <c r="M356" s="1"/>
      <c r="N356" s="1"/>
      <c r="O356" s="125"/>
      <c r="P356" s="125"/>
      <c r="Q356" s="125"/>
      <c r="R356" s="125"/>
      <c r="S356" s="125"/>
      <c r="T356" s="125"/>
      <c r="U356" s="125"/>
      <c r="V356" s="125"/>
      <c r="W356" s="125"/>
      <c r="X356" s="125"/>
      <c r="Y356" s="125"/>
      <c r="Z356" s="125"/>
      <c r="AA356" s="125"/>
      <c r="AB356" s="125"/>
      <c r="AC356" s="125"/>
      <c r="AD356" s="125"/>
      <c r="AE356" s="1"/>
      <c r="AG356" s="125"/>
      <c r="AH356" s="125"/>
      <c r="AI356" s="125"/>
      <c r="AJ356" s="125"/>
      <c r="AK356" s="125"/>
      <c r="AL356" s="125"/>
      <c r="AM356" s="125"/>
      <c r="AN356" s="125"/>
      <c r="AO356" s="125"/>
      <c r="AP356" s="125"/>
      <c r="AQ356" s="125"/>
      <c r="AR356" s="125"/>
      <c r="AS356" s="125"/>
      <c r="AT356" s="1"/>
      <c r="AU356" s="1"/>
      <c r="AV356" s="125"/>
      <c r="AW356" s="125"/>
      <c r="AX356" s="125"/>
      <c r="AY356" s="125"/>
      <c r="AZ356" s="125"/>
      <c r="BA356" s="125"/>
      <c r="BB356" s="125"/>
      <c r="BC356" s="125"/>
      <c r="BD356" s="125"/>
      <c r="BE356" s="125"/>
      <c r="BF356" s="125"/>
      <c r="BG356" s="125"/>
      <c r="BH356" s="125"/>
    </row>
    <row r="357" spans="1:60" ht="15.75" customHeight="1">
      <c r="A357" s="125"/>
      <c r="B357" s="125"/>
      <c r="C357" s="125"/>
      <c r="D357" s="125"/>
      <c r="E357" s="125"/>
      <c r="F357" s="125"/>
      <c r="G357" s="125"/>
      <c r="H357" s="125"/>
      <c r="I357" s="125"/>
      <c r="J357" s="125"/>
      <c r="K357" s="125"/>
      <c r="L357" s="125"/>
      <c r="M357" s="1"/>
      <c r="N357" s="1"/>
      <c r="O357" s="125"/>
      <c r="P357" s="125"/>
      <c r="Q357" s="125"/>
      <c r="R357" s="125"/>
      <c r="S357" s="125"/>
      <c r="T357" s="125"/>
      <c r="U357" s="125"/>
      <c r="V357" s="125"/>
      <c r="W357" s="125"/>
      <c r="X357" s="125"/>
      <c r="Y357" s="125"/>
      <c r="Z357" s="125"/>
      <c r="AA357" s="125"/>
      <c r="AB357" s="125"/>
      <c r="AC357" s="125"/>
      <c r="AD357" s="125"/>
      <c r="AE357" s="1"/>
      <c r="AG357" s="125"/>
      <c r="AH357" s="125"/>
      <c r="AI357" s="125"/>
      <c r="AJ357" s="125"/>
      <c r="AK357" s="125"/>
      <c r="AL357" s="125"/>
      <c r="AM357" s="125"/>
      <c r="AN357" s="125"/>
      <c r="AO357" s="125"/>
      <c r="AP357" s="125"/>
      <c r="AQ357" s="125"/>
      <c r="AR357" s="125"/>
      <c r="AS357" s="125"/>
      <c r="AT357" s="1"/>
      <c r="AU357" s="1"/>
      <c r="AV357" s="125"/>
      <c r="AW357" s="125"/>
      <c r="AX357" s="125"/>
      <c r="AY357" s="125"/>
      <c r="AZ357" s="125"/>
      <c r="BA357" s="125"/>
      <c r="BB357" s="125"/>
      <c r="BC357" s="125"/>
      <c r="BD357" s="125"/>
      <c r="BE357" s="125"/>
      <c r="BF357" s="125"/>
      <c r="BG357" s="125"/>
      <c r="BH357" s="125"/>
    </row>
    <row r="358" spans="1:60" ht="15.75" customHeight="1">
      <c r="A358" s="125"/>
      <c r="B358" s="125"/>
      <c r="C358" s="125"/>
      <c r="D358" s="125"/>
      <c r="E358" s="125"/>
      <c r="F358" s="125"/>
      <c r="G358" s="125"/>
      <c r="H358" s="125"/>
      <c r="I358" s="125"/>
      <c r="J358" s="125"/>
      <c r="K358" s="125"/>
      <c r="L358" s="125"/>
      <c r="M358" s="1"/>
      <c r="N358" s="1"/>
      <c r="O358" s="125"/>
      <c r="P358" s="125"/>
      <c r="Q358" s="125"/>
      <c r="R358" s="125"/>
      <c r="S358" s="125"/>
      <c r="T358" s="125"/>
      <c r="U358" s="125"/>
      <c r="V358" s="125"/>
      <c r="W358" s="125"/>
      <c r="X358" s="125"/>
      <c r="Y358" s="125"/>
      <c r="Z358" s="125"/>
      <c r="AA358" s="125"/>
      <c r="AB358" s="125"/>
      <c r="AC358" s="125"/>
      <c r="AD358" s="125"/>
      <c r="AE358" s="1"/>
      <c r="AG358" s="125"/>
      <c r="AH358" s="125"/>
      <c r="AI358" s="125"/>
      <c r="AJ358" s="125"/>
      <c r="AK358" s="125"/>
      <c r="AL358" s="125"/>
      <c r="AM358" s="125"/>
      <c r="AN358" s="125"/>
      <c r="AO358" s="125"/>
      <c r="AP358" s="125"/>
      <c r="AQ358" s="125"/>
      <c r="AR358" s="125"/>
      <c r="AS358" s="125"/>
      <c r="AT358" s="1"/>
      <c r="AU358" s="1"/>
      <c r="AV358" s="125"/>
      <c r="AW358" s="125"/>
      <c r="AX358" s="125"/>
      <c r="AY358" s="125"/>
      <c r="AZ358" s="125"/>
      <c r="BA358" s="125"/>
      <c r="BB358" s="125"/>
      <c r="BC358" s="125"/>
      <c r="BD358" s="125"/>
      <c r="BE358" s="125"/>
      <c r="BF358" s="125"/>
      <c r="BG358" s="125"/>
      <c r="BH358" s="125"/>
    </row>
    <row r="359" spans="1:60" ht="15.75" customHeight="1">
      <c r="A359" s="125"/>
      <c r="B359" s="125"/>
      <c r="C359" s="125"/>
      <c r="D359" s="125"/>
      <c r="E359" s="125"/>
      <c r="F359" s="125"/>
      <c r="G359" s="125"/>
      <c r="H359" s="125"/>
      <c r="I359" s="125"/>
      <c r="J359" s="125"/>
      <c r="K359" s="125"/>
      <c r="L359" s="125"/>
      <c r="M359" s="1"/>
      <c r="N359" s="1"/>
      <c r="O359" s="125"/>
      <c r="P359" s="125"/>
      <c r="Q359" s="125"/>
      <c r="R359" s="125"/>
      <c r="S359" s="125"/>
      <c r="T359" s="125"/>
      <c r="U359" s="125"/>
      <c r="V359" s="125"/>
      <c r="W359" s="125"/>
      <c r="X359" s="125"/>
      <c r="Y359" s="125"/>
      <c r="Z359" s="125"/>
      <c r="AA359" s="125"/>
      <c r="AB359" s="125"/>
      <c r="AC359" s="125"/>
      <c r="AD359" s="125"/>
      <c r="AE359" s="1"/>
      <c r="AG359" s="125"/>
      <c r="AH359" s="125"/>
      <c r="AI359" s="125"/>
      <c r="AJ359" s="125"/>
      <c r="AK359" s="125"/>
      <c r="AL359" s="125"/>
      <c r="AM359" s="125"/>
      <c r="AN359" s="125"/>
      <c r="AO359" s="125"/>
      <c r="AP359" s="125"/>
      <c r="AQ359" s="125"/>
      <c r="AR359" s="125"/>
      <c r="AS359" s="125"/>
      <c r="AT359" s="1"/>
      <c r="AU359" s="1"/>
      <c r="AV359" s="125"/>
      <c r="AW359" s="125"/>
      <c r="AX359" s="125"/>
      <c r="AY359" s="125"/>
      <c r="AZ359" s="125"/>
      <c r="BA359" s="125"/>
      <c r="BB359" s="125"/>
      <c r="BC359" s="125"/>
      <c r="BD359" s="125"/>
      <c r="BE359" s="125"/>
      <c r="BF359" s="125"/>
      <c r="BG359" s="125"/>
      <c r="BH359" s="125"/>
    </row>
    <row r="360" spans="1:60" ht="15.75" customHeight="1">
      <c r="A360" s="125"/>
      <c r="B360" s="125"/>
      <c r="C360" s="125"/>
      <c r="D360" s="125"/>
      <c r="E360" s="125"/>
      <c r="F360" s="125"/>
      <c r="G360" s="125"/>
      <c r="H360" s="125"/>
      <c r="I360" s="125"/>
      <c r="J360" s="125"/>
      <c r="K360" s="125"/>
      <c r="L360" s="125"/>
      <c r="M360" s="1"/>
      <c r="N360" s="1"/>
      <c r="O360" s="125"/>
      <c r="P360" s="125"/>
      <c r="Q360" s="125"/>
      <c r="R360" s="125"/>
      <c r="S360" s="125"/>
      <c r="T360" s="125"/>
      <c r="U360" s="125"/>
      <c r="V360" s="125"/>
      <c r="W360" s="125"/>
      <c r="X360" s="125"/>
      <c r="Y360" s="125"/>
      <c r="Z360" s="125"/>
      <c r="AA360" s="125"/>
      <c r="AB360" s="125"/>
      <c r="AC360" s="125"/>
      <c r="AD360" s="125"/>
      <c r="AE360" s="1"/>
      <c r="AG360" s="125"/>
      <c r="AH360" s="125"/>
      <c r="AI360" s="125"/>
      <c r="AJ360" s="125"/>
      <c r="AK360" s="125"/>
      <c r="AL360" s="125"/>
      <c r="AM360" s="125"/>
      <c r="AN360" s="125"/>
      <c r="AO360" s="125"/>
      <c r="AP360" s="125"/>
      <c r="AQ360" s="125"/>
      <c r="AR360" s="125"/>
      <c r="AS360" s="125"/>
      <c r="AT360" s="1"/>
      <c r="AU360" s="1"/>
      <c r="AV360" s="125"/>
      <c r="AW360" s="125"/>
      <c r="AX360" s="125"/>
      <c r="AY360" s="125"/>
      <c r="AZ360" s="125"/>
      <c r="BA360" s="125"/>
      <c r="BB360" s="125"/>
      <c r="BC360" s="125"/>
      <c r="BD360" s="125"/>
      <c r="BE360" s="125"/>
      <c r="BF360" s="125"/>
      <c r="BG360" s="125"/>
      <c r="BH360" s="125"/>
    </row>
    <row r="361" spans="1:60" ht="15.75" customHeight="1">
      <c r="A361" s="125"/>
      <c r="B361" s="125"/>
      <c r="C361" s="125"/>
      <c r="D361" s="125"/>
      <c r="E361" s="125"/>
      <c r="F361" s="125"/>
      <c r="G361" s="125"/>
      <c r="H361" s="125"/>
      <c r="I361" s="125"/>
      <c r="J361" s="125"/>
      <c r="K361" s="125"/>
      <c r="L361" s="125"/>
      <c r="M361" s="1"/>
      <c r="N361" s="1"/>
      <c r="O361" s="125"/>
      <c r="P361" s="125"/>
      <c r="Q361" s="125"/>
      <c r="R361" s="125"/>
      <c r="S361" s="125"/>
      <c r="T361" s="125"/>
      <c r="U361" s="125"/>
      <c r="V361" s="125"/>
      <c r="W361" s="125"/>
      <c r="X361" s="125"/>
      <c r="Y361" s="125"/>
      <c r="Z361" s="125"/>
      <c r="AA361" s="125"/>
      <c r="AB361" s="125"/>
      <c r="AC361" s="125"/>
      <c r="AD361" s="125"/>
      <c r="AE361" s="1"/>
      <c r="AG361" s="125"/>
      <c r="AH361" s="125"/>
      <c r="AI361" s="125"/>
      <c r="AJ361" s="125"/>
      <c r="AK361" s="125"/>
      <c r="AL361" s="125"/>
      <c r="AM361" s="125"/>
      <c r="AN361" s="125"/>
      <c r="AO361" s="125"/>
      <c r="AP361" s="125"/>
      <c r="AQ361" s="125"/>
      <c r="AR361" s="125"/>
      <c r="AS361" s="125"/>
      <c r="AT361" s="1"/>
      <c r="AU361" s="1"/>
      <c r="AV361" s="125"/>
      <c r="AW361" s="125"/>
      <c r="AX361" s="125"/>
      <c r="AY361" s="125"/>
      <c r="AZ361" s="125"/>
      <c r="BA361" s="125"/>
      <c r="BB361" s="125"/>
      <c r="BC361" s="125"/>
      <c r="BD361" s="125"/>
      <c r="BE361" s="125"/>
      <c r="BF361" s="125"/>
      <c r="BG361" s="125"/>
      <c r="BH361" s="125"/>
    </row>
    <row r="362" spans="1:60" ht="15.75" customHeight="1">
      <c r="A362" s="125"/>
      <c r="B362" s="125"/>
      <c r="C362" s="125"/>
      <c r="D362" s="125"/>
      <c r="E362" s="125"/>
      <c r="F362" s="125"/>
      <c r="G362" s="125"/>
      <c r="H362" s="125"/>
      <c r="I362" s="125"/>
      <c r="J362" s="125"/>
      <c r="K362" s="125"/>
      <c r="L362" s="125"/>
      <c r="M362" s="1"/>
      <c r="N362" s="1"/>
      <c r="O362" s="125"/>
      <c r="P362" s="125"/>
      <c r="Q362" s="125"/>
      <c r="R362" s="125"/>
      <c r="S362" s="125"/>
      <c r="T362" s="125"/>
      <c r="U362" s="125"/>
      <c r="V362" s="125"/>
      <c r="W362" s="125"/>
      <c r="X362" s="125"/>
      <c r="Y362" s="125"/>
      <c r="Z362" s="125"/>
      <c r="AA362" s="125"/>
      <c r="AB362" s="125"/>
      <c r="AC362" s="125"/>
      <c r="AD362" s="125"/>
      <c r="AE362" s="1"/>
      <c r="AG362" s="125"/>
      <c r="AH362" s="125"/>
      <c r="AI362" s="125"/>
      <c r="AJ362" s="125"/>
      <c r="AK362" s="125"/>
      <c r="AL362" s="125"/>
      <c r="AM362" s="125"/>
      <c r="AN362" s="125"/>
      <c r="AO362" s="125"/>
      <c r="AP362" s="125"/>
      <c r="AQ362" s="125"/>
      <c r="AR362" s="125"/>
      <c r="AS362" s="125"/>
      <c r="AT362" s="1"/>
      <c r="AU362" s="1"/>
      <c r="AV362" s="125"/>
      <c r="AW362" s="125"/>
      <c r="AX362" s="125"/>
      <c r="AY362" s="125"/>
      <c r="AZ362" s="125"/>
      <c r="BA362" s="125"/>
      <c r="BB362" s="125"/>
      <c r="BC362" s="125"/>
      <c r="BD362" s="125"/>
      <c r="BE362" s="125"/>
      <c r="BF362" s="125"/>
      <c r="BG362" s="125"/>
      <c r="BH362" s="125"/>
    </row>
    <row r="363" spans="1:60" ht="15.75" customHeight="1">
      <c r="A363" s="125"/>
      <c r="B363" s="125"/>
      <c r="C363" s="125"/>
      <c r="D363" s="125"/>
      <c r="E363" s="125"/>
      <c r="F363" s="125"/>
      <c r="G363" s="125"/>
      <c r="H363" s="125"/>
      <c r="I363" s="125"/>
      <c r="J363" s="125"/>
      <c r="K363" s="125"/>
      <c r="L363" s="125"/>
      <c r="M363" s="1"/>
      <c r="N363" s="1"/>
      <c r="O363" s="125"/>
      <c r="P363" s="125"/>
      <c r="Q363" s="125"/>
      <c r="R363" s="125"/>
      <c r="S363" s="125"/>
      <c r="T363" s="125"/>
      <c r="U363" s="125"/>
      <c r="V363" s="125"/>
      <c r="W363" s="125"/>
      <c r="X363" s="125"/>
      <c r="Y363" s="125"/>
      <c r="Z363" s="125"/>
      <c r="AA363" s="125"/>
      <c r="AB363" s="125"/>
      <c r="AC363" s="125"/>
      <c r="AD363" s="125"/>
      <c r="AE363" s="1"/>
      <c r="AG363" s="125"/>
      <c r="AH363" s="125"/>
      <c r="AI363" s="125"/>
      <c r="AJ363" s="125"/>
      <c r="AK363" s="125"/>
      <c r="AL363" s="125"/>
      <c r="AM363" s="125"/>
      <c r="AN363" s="125"/>
      <c r="AO363" s="125"/>
      <c r="AP363" s="125"/>
      <c r="AQ363" s="125"/>
      <c r="AR363" s="125"/>
      <c r="AS363" s="125"/>
      <c r="AT363" s="1"/>
      <c r="AU363" s="1"/>
      <c r="AV363" s="125"/>
      <c r="AW363" s="125"/>
      <c r="AX363" s="125"/>
      <c r="AY363" s="125"/>
      <c r="AZ363" s="125"/>
      <c r="BA363" s="125"/>
      <c r="BB363" s="125"/>
      <c r="BC363" s="125"/>
      <c r="BD363" s="125"/>
      <c r="BE363" s="125"/>
      <c r="BF363" s="125"/>
      <c r="BG363" s="125"/>
      <c r="BH363" s="125"/>
    </row>
    <row r="364" spans="1:60" ht="15.75" customHeight="1">
      <c r="A364" s="125"/>
      <c r="B364" s="125"/>
      <c r="C364" s="125"/>
      <c r="D364" s="125"/>
      <c r="E364" s="125"/>
      <c r="F364" s="125"/>
      <c r="G364" s="125"/>
      <c r="H364" s="125"/>
      <c r="I364" s="125"/>
      <c r="J364" s="125"/>
      <c r="K364" s="125"/>
      <c r="L364" s="125"/>
      <c r="M364" s="1"/>
      <c r="N364" s="1"/>
      <c r="O364" s="125"/>
      <c r="P364" s="125"/>
      <c r="Q364" s="125"/>
      <c r="R364" s="125"/>
      <c r="S364" s="125"/>
      <c r="T364" s="125"/>
      <c r="U364" s="125"/>
      <c r="V364" s="125"/>
      <c r="W364" s="125"/>
      <c r="X364" s="125"/>
      <c r="Y364" s="125"/>
      <c r="Z364" s="125"/>
      <c r="AA364" s="125"/>
      <c r="AB364" s="125"/>
      <c r="AC364" s="125"/>
      <c r="AD364" s="125"/>
      <c r="AE364" s="1"/>
      <c r="AG364" s="125"/>
      <c r="AH364" s="125"/>
      <c r="AI364" s="125"/>
      <c r="AJ364" s="125"/>
      <c r="AK364" s="125"/>
      <c r="AL364" s="125"/>
      <c r="AM364" s="125"/>
      <c r="AN364" s="125"/>
      <c r="AO364" s="125"/>
      <c r="AP364" s="125"/>
      <c r="AQ364" s="125"/>
      <c r="AR364" s="125"/>
      <c r="AS364" s="125"/>
      <c r="AT364" s="1"/>
      <c r="AU364" s="1"/>
      <c r="AV364" s="125"/>
      <c r="AW364" s="125"/>
      <c r="AX364" s="125"/>
      <c r="AY364" s="125"/>
      <c r="AZ364" s="125"/>
      <c r="BA364" s="125"/>
      <c r="BB364" s="125"/>
      <c r="BC364" s="125"/>
      <c r="BD364" s="125"/>
      <c r="BE364" s="125"/>
      <c r="BF364" s="125"/>
      <c r="BG364" s="125"/>
      <c r="BH364" s="125"/>
    </row>
    <row r="365" spans="1:60" ht="15.75" customHeight="1">
      <c r="A365" s="125"/>
      <c r="B365" s="125"/>
      <c r="C365" s="125"/>
      <c r="D365" s="125"/>
      <c r="E365" s="125"/>
      <c r="F365" s="125"/>
      <c r="G365" s="125"/>
      <c r="H365" s="125"/>
      <c r="I365" s="125"/>
      <c r="J365" s="125"/>
      <c r="K365" s="125"/>
      <c r="L365" s="125"/>
      <c r="M365" s="1"/>
      <c r="N365" s="1"/>
      <c r="O365" s="125"/>
      <c r="P365" s="125"/>
      <c r="Q365" s="125"/>
      <c r="R365" s="125"/>
      <c r="S365" s="125"/>
      <c r="T365" s="125"/>
      <c r="U365" s="125"/>
      <c r="V365" s="125"/>
      <c r="W365" s="125"/>
      <c r="X365" s="125"/>
      <c r="Y365" s="125"/>
      <c r="Z365" s="125"/>
      <c r="AA365" s="125"/>
      <c r="AB365" s="125"/>
      <c r="AC365" s="125"/>
      <c r="AD365" s="125"/>
      <c r="AE365" s="1"/>
      <c r="AG365" s="125"/>
      <c r="AH365" s="125"/>
      <c r="AI365" s="125"/>
      <c r="AJ365" s="125"/>
      <c r="AK365" s="125"/>
      <c r="AL365" s="125"/>
      <c r="AM365" s="125"/>
      <c r="AN365" s="125"/>
      <c r="AO365" s="125"/>
      <c r="AP365" s="125"/>
      <c r="AQ365" s="125"/>
      <c r="AR365" s="125"/>
      <c r="AS365" s="125"/>
      <c r="AT365" s="1"/>
      <c r="AU365" s="1"/>
      <c r="AV365" s="125"/>
      <c r="AW365" s="125"/>
      <c r="AX365" s="125"/>
      <c r="AY365" s="125"/>
      <c r="AZ365" s="125"/>
      <c r="BA365" s="125"/>
      <c r="BB365" s="125"/>
      <c r="BC365" s="125"/>
      <c r="BD365" s="125"/>
      <c r="BE365" s="125"/>
      <c r="BF365" s="125"/>
      <c r="BG365" s="125"/>
      <c r="BH365" s="125"/>
    </row>
    <row r="366" spans="1:60" ht="15.75" customHeight="1">
      <c r="A366" s="125"/>
      <c r="B366" s="125"/>
      <c r="C366" s="125"/>
      <c r="D366" s="125"/>
      <c r="E366" s="125"/>
      <c r="F366" s="125"/>
      <c r="G366" s="125"/>
      <c r="H366" s="125"/>
      <c r="I366" s="125"/>
      <c r="J366" s="125"/>
      <c r="K366" s="125"/>
      <c r="L366" s="125"/>
      <c r="M366" s="1"/>
      <c r="N366" s="1"/>
      <c r="O366" s="125"/>
      <c r="P366" s="125"/>
      <c r="Q366" s="125"/>
      <c r="R366" s="125"/>
      <c r="S366" s="125"/>
      <c r="T366" s="125"/>
      <c r="U366" s="125"/>
      <c r="V366" s="125"/>
      <c r="W366" s="125"/>
      <c r="X366" s="125"/>
      <c r="Y366" s="125"/>
      <c r="Z366" s="125"/>
      <c r="AA366" s="125"/>
      <c r="AB366" s="125"/>
      <c r="AC366" s="125"/>
      <c r="AD366" s="125"/>
      <c r="AE366" s="1"/>
      <c r="AG366" s="125"/>
      <c r="AH366" s="125"/>
      <c r="AI366" s="125"/>
      <c r="AJ366" s="125"/>
      <c r="AK366" s="125"/>
      <c r="AL366" s="125"/>
      <c r="AM366" s="125"/>
      <c r="AN366" s="125"/>
      <c r="AO366" s="125"/>
      <c r="AP366" s="125"/>
      <c r="AQ366" s="125"/>
      <c r="AR366" s="125"/>
      <c r="AS366" s="125"/>
      <c r="AT366" s="1"/>
      <c r="AU366" s="1"/>
      <c r="AV366" s="125"/>
      <c r="AW366" s="125"/>
      <c r="AX366" s="125"/>
      <c r="AY366" s="125"/>
      <c r="AZ366" s="125"/>
      <c r="BA366" s="125"/>
      <c r="BB366" s="125"/>
      <c r="BC366" s="125"/>
      <c r="BD366" s="125"/>
      <c r="BE366" s="125"/>
      <c r="BF366" s="125"/>
      <c r="BG366" s="125"/>
      <c r="BH366" s="125"/>
    </row>
    <row r="367" spans="1:60" ht="15.75" customHeight="1">
      <c r="A367" s="125"/>
      <c r="B367" s="125"/>
      <c r="C367" s="125"/>
      <c r="D367" s="125"/>
      <c r="E367" s="125"/>
      <c r="F367" s="125"/>
      <c r="G367" s="125"/>
      <c r="H367" s="125"/>
      <c r="I367" s="125"/>
      <c r="J367" s="125"/>
      <c r="K367" s="125"/>
      <c r="L367" s="125"/>
      <c r="M367" s="1"/>
      <c r="N367" s="1"/>
      <c r="O367" s="125"/>
      <c r="P367" s="125"/>
      <c r="Q367" s="125"/>
      <c r="R367" s="125"/>
      <c r="S367" s="125"/>
      <c r="T367" s="125"/>
      <c r="U367" s="125"/>
      <c r="V367" s="125"/>
      <c r="W367" s="125"/>
      <c r="X367" s="125"/>
      <c r="Y367" s="125"/>
      <c r="Z367" s="125"/>
      <c r="AA367" s="125"/>
      <c r="AB367" s="125"/>
      <c r="AC367" s="125"/>
      <c r="AD367" s="125"/>
      <c r="AE367" s="1"/>
      <c r="AG367" s="125"/>
      <c r="AH367" s="125"/>
      <c r="AI367" s="125"/>
      <c r="AJ367" s="125"/>
      <c r="AK367" s="125"/>
      <c r="AL367" s="125"/>
      <c r="AM367" s="125"/>
      <c r="AN367" s="125"/>
      <c r="AO367" s="125"/>
      <c r="AP367" s="125"/>
      <c r="AQ367" s="125"/>
      <c r="AR367" s="125"/>
      <c r="AS367" s="125"/>
      <c r="AT367" s="1"/>
      <c r="AU367" s="1"/>
      <c r="AV367" s="125"/>
      <c r="AW367" s="125"/>
      <c r="AX367" s="125"/>
      <c r="AY367" s="125"/>
      <c r="AZ367" s="125"/>
      <c r="BA367" s="125"/>
      <c r="BB367" s="125"/>
      <c r="BC367" s="125"/>
      <c r="BD367" s="125"/>
      <c r="BE367" s="125"/>
      <c r="BF367" s="125"/>
      <c r="BG367" s="125"/>
      <c r="BH367" s="125"/>
    </row>
    <row r="368" spans="1:60" ht="15.75" customHeight="1">
      <c r="A368" s="125"/>
      <c r="B368" s="125"/>
      <c r="C368" s="125"/>
      <c r="D368" s="125"/>
      <c r="E368" s="125"/>
      <c r="F368" s="125"/>
      <c r="G368" s="125"/>
      <c r="H368" s="125"/>
      <c r="I368" s="125"/>
      <c r="J368" s="125"/>
      <c r="K368" s="125"/>
      <c r="L368" s="125"/>
      <c r="M368" s="1"/>
      <c r="N368" s="1"/>
      <c r="O368" s="125"/>
      <c r="P368" s="125"/>
      <c r="Q368" s="125"/>
      <c r="R368" s="125"/>
      <c r="S368" s="125"/>
      <c r="T368" s="125"/>
      <c r="U368" s="125"/>
      <c r="V368" s="125"/>
      <c r="W368" s="125"/>
      <c r="X368" s="125"/>
      <c r="Y368" s="125"/>
      <c r="Z368" s="125"/>
      <c r="AA368" s="125"/>
      <c r="AB368" s="125"/>
      <c r="AC368" s="125"/>
      <c r="AD368" s="125"/>
      <c r="AE368" s="1"/>
      <c r="AG368" s="125"/>
      <c r="AH368" s="125"/>
      <c r="AI368" s="125"/>
      <c r="AJ368" s="125"/>
      <c r="AK368" s="125"/>
      <c r="AL368" s="125"/>
      <c r="AM368" s="125"/>
      <c r="AN368" s="125"/>
      <c r="AO368" s="125"/>
      <c r="AP368" s="125"/>
      <c r="AQ368" s="125"/>
      <c r="AR368" s="125"/>
      <c r="AS368" s="125"/>
      <c r="AT368" s="1"/>
      <c r="AU368" s="1"/>
      <c r="AV368" s="125"/>
      <c r="AW368" s="125"/>
      <c r="AX368" s="125"/>
      <c r="AY368" s="125"/>
      <c r="AZ368" s="125"/>
      <c r="BA368" s="125"/>
      <c r="BB368" s="125"/>
      <c r="BC368" s="125"/>
      <c r="BD368" s="125"/>
      <c r="BE368" s="125"/>
      <c r="BF368" s="125"/>
      <c r="BG368" s="125"/>
      <c r="BH368" s="125"/>
    </row>
    <row r="369" spans="1:60" ht="15.75" customHeight="1">
      <c r="A369" s="125"/>
      <c r="B369" s="125"/>
      <c r="C369" s="125"/>
      <c r="D369" s="125"/>
      <c r="E369" s="125"/>
      <c r="F369" s="125"/>
      <c r="G369" s="125"/>
      <c r="H369" s="125"/>
      <c r="I369" s="125"/>
      <c r="J369" s="125"/>
      <c r="K369" s="125"/>
      <c r="L369" s="125"/>
      <c r="M369" s="1"/>
      <c r="N369" s="1"/>
      <c r="O369" s="125"/>
      <c r="P369" s="125"/>
      <c r="Q369" s="125"/>
      <c r="R369" s="125"/>
      <c r="S369" s="125"/>
      <c r="T369" s="125"/>
      <c r="U369" s="125"/>
      <c r="V369" s="125"/>
      <c r="W369" s="125"/>
      <c r="X369" s="125"/>
      <c r="Y369" s="125"/>
      <c r="Z369" s="125"/>
      <c r="AA369" s="125"/>
      <c r="AB369" s="125"/>
      <c r="AC369" s="125"/>
      <c r="AD369" s="125"/>
      <c r="AE369" s="1"/>
      <c r="AG369" s="125"/>
      <c r="AH369" s="125"/>
      <c r="AI369" s="125"/>
      <c r="AJ369" s="125"/>
      <c r="AK369" s="125"/>
      <c r="AL369" s="125"/>
      <c r="AM369" s="125"/>
      <c r="AN369" s="125"/>
      <c r="AO369" s="125"/>
      <c r="AP369" s="125"/>
      <c r="AQ369" s="125"/>
      <c r="AR369" s="125"/>
      <c r="AS369" s="125"/>
      <c r="AT369" s="1"/>
      <c r="AU369" s="1"/>
      <c r="AV369" s="125"/>
      <c r="AW369" s="125"/>
      <c r="AX369" s="125"/>
      <c r="AY369" s="125"/>
      <c r="AZ369" s="125"/>
      <c r="BA369" s="125"/>
      <c r="BB369" s="125"/>
      <c r="BC369" s="125"/>
      <c r="BD369" s="125"/>
      <c r="BE369" s="125"/>
      <c r="BF369" s="125"/>
      <c r="BG369" s="125"/>
      <c r="BH369" s="125"/>
    </row>
    <row r="370" spans="1:60" ht="15.75" customHeight="1">
      <c r="A370" s="125"/>
      <c r="B370" s="125"/>
      <c r="C370" s="125"/>
      <c r="D370" s="125"/>
      <c r="E370" s="125"/>
      <c r="F370" s="125"/>
      <c r="G370" s="125"/>
      <c r="H370" s="125"/>
      <c r="I370" s="125"/>
      <c r="J370" s="125"/>
      <c r="K370" s="125"/>
      <c r="L370" s="125"/>
      <c r="M370" s="1"/>
      <c r="N370" s="1"/>
      <c r="O370" s="125"/>
      <c r="P370" s="125"/>
      <c r="Q370" s="125"/>
      <c r="R370" s="125"/>
      <c r="S370" s="125"/>
      <c r="T370" s="125"/>
      <c r="U370" s="125"/>
      <c r="V370" s="125"/>
      <c r="W370" s="125"/>
      <c r="X370" s="125"/>
      <c r="Y370" s="125"/>
      <c r="Z370" s="125"/>
      <c r="AA370" s="125"/>
      <c r="AB370" s="125"/>
      <c r="AC370" s="125"/>
      <c r="AD370" s="125"/>
      <c r="AE370" s="1"/>
      <c r="AG370" s="125"/>
      <c r="AH370" s="125"/>
      <c r="AI370" s="125"/>
      <c r="AJ370" s="125"/>
      <c r="AK370" s="125"/>
      <c r="AL370" s="125"/>
      <c r="AM370" s="125"/>
      <c r="AN370" s="125"/>
      <c r="AO370" s="125"/>
      <c r="AP370" s="125"/>
      <c r="AQ370" s="125"/>
      <c r="AR370" s="125"/>
      <c r="AS370" s="125"/>
      <c r="AT370" s="1"/>
      <c r="AU370" s="1"/>
      <c r="AV370" s="125"/>
      <c r="AW370" s="125"/>
      <c r="AX370" s="125"/>
      <c r="AY370" s="125"/>
      <c r="AZ370" s="125"/>
      <c r="BA370" s="125"/>
      <c r="BB370" s="125"/>
      <c r="BC370" s="125"/>
      <c r="BD370" s="125"/>
      <c r="BE370" s="125"/>
      <c r="BF370" s="125"/>
      <c r="BG370" s="125"/>
      <c r="BH370" s="125"/>
    </row>
    <row r="371" spans="1:60" ht="15.75" customHeight="1">
      <c r="A371" s="125"/>
      <c r="B371" s="125"/>
      <c r="C371" s="125"/>
      <c r="D371" s="125"/>
      <c r="E371" s="125"/>
      <c r="F371" s="125"/>
      <c r="G371" s="125"/>
      <c r="H371" s="125"/>
      <c r="I371" s="125"/>
      <c r="J371" s="125"/>
      <c r="K371" s="125"/>
      <c r="L371" s="125"/>
      <c r="M371" s="1"/>
      <c r="N371" s="1"/>
      <c r="O371" s="125"/>
      <c r="P371" s="125"/>
      <c r="Q371" s="125"/>
      <c r="R371" s="125"/>
      <c r="S371" s="125"/>
      <c r="T371" s="125"/>
      <c r="U371" s="125"/>
      <c r="V371" s="125"/>
      <c r="W371" s="125"/>
      <c r="X371" s="125"/>
      <c r="Y371" s="125"/>
      <c r="Z371" s="125"/>
      <c r="AA371" s="125"/>
      <c r="AB371" s="125"/>
      <c r="AC371" s="125"/>
      <c r="AD371" s="125"/>
      <c r="AE371" s="1"/>
      <c r="AG371" s="125"/>
      <c r="AH371" s="125"/>
      <c r="AI371" s="125"/>
      <c r="AJ371" s="125"/>
      <c r="AK371" s="125"/>
      <c r="AL371" s="125"/>
      <c r="AM371" s="125"/>
      <c r="AN371" s="125"/>
      <c r="AO371" s="125"/>
      <c r="AP371" s="125"/>
      <c r="AQ371" s="125"/>
      <c r="AR371" s="125"/>
      <c r="AS371" s="125"/>
      <c r="AT371" s="1"/>
      <c r="AU371" s="1"/>
      <c r="AV371" s="125"/>
      <c r="AW371" s="125"/>
      <c r="AX371" s="125"/>
      <c r="AY371" s="125"/>
      <c r="AZ371" s="125"/>
      <c r="BA371" s="125"/>
      <c r="BB371" s="125"/>
      <c r="BC371" s="125"/>
      <c r="BD371" s="125"/>
      <c r="BE371" s="125"/>
      <c r="BF371" s="125"/>
      <c r="BG371" s="125"/>
      <c r="BH371" s="125"/>
    </row>
    <row r="372" spans="1:60" ht="15.75" customHeight="1">
      <c r="A372" s="125"/>
      <c r="B372" s="125"/>
      <c r="C372" s="125"/>
      <c r="D372" s="125"/>
      <c r="E372" s="125"/>
      <c r="F372" s="125"/>
      <c r="G372" s="125"/>
      <c r="H372" s="125"/>
      <c r="I372" s="125"/>
      <c r="J372" s="125"/>
      <c r="K372" s="125"/>
      <c r="L372" s="125"/>
      <c r="M372" s="1"/>
      <c r="N372" s="1"/>
      <c r="O372" s="125"/>
      <c r="P372" s="125"/>
      <c r="Q372" s="125"/>
      <c r="R372" s="125"/>
      <c r="S372" s="125"/>
      <c r="T372" s="125"/>
      <c r="U372" s="125"/>
      <c r="V372" s="125"/>
      <c r="W372" s="125"/>
      <c r="X372" s="125"/>
      <c r="Y372" s="125"/>
      <c r="Z372" s="125"/>
      <c r="AA372" s="125"/>
      <c r="AB372" s="125"/>
      <c r="AC372" s="125"/>
      <c r="AD372" s="125"/>
      <c r="AE372" s="1"/>
      <c r="AG372" s="125"/>
      <c r="AH372" s="125"/>
      <c r="AI372" s="125"/>
      <c r="AJ372" s="125"/>
      <c r="AK372" s="125"/>
      <c r="AL372" s="125"/>
      <c r="AM372" s="125"/>
      <c r="AN372" s="125"/>
      <c r="AO372" s="125"/>
      <c r="AP372" s="125"/>
      <c r="AQ372" s="125"/>
      <c r="AR372" s="125"/>
      <c r="AS372" s="125"/>
      <c r="AT372" s="1"/>
      <c r="AU372" s="1"/>
      <c r="AV372" s="125"/>
      <c r="AW372" s="125"/>
      <c r="AX372" s="125"/>
      <c r="AY372" s="125"/>
      <c r="AZ372" s="125"/>
      <c r="BA372" s="125"/>
      <c r="BB372" s="125"/>
      <c r="BC372" s="125"/>
      <c r="BD372" s="125"/>
      <c r="BE372" s="125"/>
      <c r="BF372" s="125"/>
      <c r="BG372" s="125"/>
      <c r="BH372" s="125"/>
    </row>
    <row r="373" spans="1:60" ht="15.75" customHeight="1">
      <c r="A373" s="125"/>
      <c r="B373" s="125"/>
      <c r="C373" s="125"/>
      <c r="D373" s="125"/>
      <c r="E373" s="125"/>
      <c r="F373" s="125"/>
      <c r="G373" s="125"/>
      <c r="H373" s="125"/>
      <c r="I373" s="125"/>
      <c r="J373" s="125"/>
      <c r="K373" s="125"/>
      <c r="L373" s="125"/>
      <c r="M373" s="1"/>
      <c r="N373" s="1"/>
      <c r="O373" s="125"/>
      <c r="P373" s="125"/>
      <c r="Q373" s="125"/>
      <c r="R373" s="125"/>
      <c r="S373" s="125"/>
      <c r="T373" s="125"/>
      <c r="U373" s="125"/>
      <c r="V373" s="125"/>
      <c r="W373" s="125"/>
      <c r="X373" s="125"/>
      <c r="Y373" s="125"/>
      <c r="Z373" s="125"/>
      <c r="AA373" s="125"/>
      <c r="AB373" s="125"/>
      <c r="AC373" s="125"/>
      <c r="AD373" s="125"/>
      <c r="AE373" s="1"/>
      <c r="AG373" s="125"/>
      <c r="AH373" s="125"/>
      <c r="AI373" s="125"/>
      <c r="AJ373" s="125"/>
      <c r="AK373" s="125"/>
      <c r="AL373" s="125"/>
      <c r="AM373" s="125"/>
      <c r="AN373" s="125"/>
      <c r="AO373" s="125"/>
      <c r="AP373" s="125"/>
      <c r="AQ373" s="125"/>
      <c r="AR373" s="125"/>
      <c r="AS373" s="125"/>
      <c r="AT373" s="1"/>
      <c r="AU373" s="1"/>
      <c r="AV373" s="125"/>
      <c r="AW373" s="125"/>
      <c r="AX373" s="125"/>
      <c r="AY373" s="125"/>
      <c r="AZ373" s="125"/>
      <c r="BA373" s="125"/>
      <c r="BB373" s="125"/>
      <c r="BC373" s="125"/>
      <c r="BD373" s="125"/>
      <c r="BE373" s="125"/>
      <c r="BF373" s="125"/>
      <c r="BG373" s="125"/>
      <c r="BH373" s="125"/>
    </row>
    <row r="374" spans="1:60" ht="15.75" customHeight="1">
      <c r="A374" s="125"/>
      <c r="B374" s="125"/>
      <c r="C374" s="125"/>
      <c r="D374" s="125"/>
      <c r="E374" s="125"/>
      <c r="F374" s="125"/>
      <c r="G374" s="125"/>
      <c r="H374" s="125"/>
      <c r="I374" s="125"/>
      <c r="J374" s="125"/>
      <c r="K374" s="125"/>
      <c r="L374" s="125"/>
      <c r="M374" s="1"/>
      <c r="N374" s="1"/>
      <c r="O374" s="125"/>
      <c r="P374" s="125"/>
      <c r="Q374" s="125"/>
      <c r="R374" s="125"/>
      <c r="S374" s="125"/>
      <c r="T374" s="125"/>
      <c r="U374" s="125"/>
      <c r="V374" s="125"/>
      <c r="W374" s="125"/>
      <c r="X374" s="125"/>
      <c r="Y374" s="125"/>
      <c r="Z374" s="125"/>
      <c r="AA374" s="125"/>
      <c r="AB374" s="125"/>
      <c r="AC374" s="125"/>
      <c r="AD374" s="125"/>
      <c r="AE374" s="1"/>
      <c r="AG374" s="125"/>
      <c r="AH374" s="125"/>
      <c r="AI374" s="125"/>
      <c r="AJ374" s="125"/>
      <c r="AK374" s="125"/>
      <c r="AL374" s="125"/>
      <c r="AM374" s="125"/>
      <c r="AN374" s="125"/>
      <c r="AO374" s="125"/>
      <c r="AP374" s="125"/>
      <c r="AQ374" s="125"/>
      <c r="AR374" s="125"/>
      <c r="AS374" s="125"/>
      <c r="AT374" s="1"/>
      <c r="AU374" s="1"/>
      <c r="AV374" s="125"/>
      <c r="AW374" s="125"/>
      <c r="AX374" s="125"/>
      <c r="AY374" s="125"/>
      <c r="AZ374" s="125"/>
      <c r="BA374" s="125"/>
      <c r="BB374" s="125"/>
      <c r="BC374" s="125"/>
      <c r="BD374" s="125"/>
      <c r="BE374" s="125"/>
      <c r="BF374" s="125"/>
      <c r="BG374" s="125"/>
      <c r="BH374" s="125"/>
    </row>
    <row r="375" spans="1:60" ht="15.75" customHeight="1">
      <c r="A375" s="125"/>
      <c r="B375" s="125"/>
      <c r="C375" s="125"/>
      <c r="D375" s="125"/>
      <c r="E375" s="125"/>
      <c r="F375" s="125"/>
      <c r="G375" s="125"/>
      <c r="H375" s="125"/>
      <c r="I375" s="125"/>
      <c r="J375" s="125"/>
      <c r="K375" s="125"/>
      <c r="L375" s="125"/>
      <c r="M375" s="1"/>
      <c r="N375" s="1"/>
      <c r="O375" s="125"/>
      <c r="P375" s="125"/>
      <c r="Q375" s="125"/>
      <c r="R375" s="125"/>
      <c r="S375" s="125"/>
      <c r="T375" s="125"/>
      <c r="U375" s="125"/>
      <c r="V375" s="125"/>
      <c r="W375" s="125"/>
      <c r="X375" s="125"/>
      <c r="Y375" s="125"/>
      <c r="Z375" s="125"/>
      <c r="AA375" s="125"/>
      <c r="AB375" s="125"/>
      <c r="AC375" s="125"/>
      <c r="AD375" s="125"/>
      <c r="AE375" s="1"/>
      <c r="AG375" s="125"/>
      <c r="AH375" s="125"/>
      <c r="AI375" s="125"/>
      <c r="AJ375" s="125"/>
      <c r="AK375" s="125"/>
      <c r="AL375" s="125"/>
      <c r="AM375" s="125"/>
      <c r="AN375" s="125"/>
      <c r="AO375" s="125"/>
      <c r="AP375" s="125"/>
      <c r="AQ375" s="125"/>
      <c r="AR375" s="125"/>
      <c r="AS375" s="125"/>
      <c r="AT375" s="1"/>
      <c r="AU375" s="1"/>
      <c r="AV375" s="125"/>
      <c r="AW375" s="125"/>
      <c r="AX375" s="125"/>
      <c r="AY375" s="125"/>
      <c r="AZ375" s="125"/>
      <c r="BA375" s="125"/>
      <c r="BB375" s="125"/>
      <c r="BC375" s="125"/>
      <c r="BD375" s="125"/>
      <c r="BE375" s="125"/>
      <c r="BF375" s="125"/>
      <c r="BG375" s="125"/>
      <c r="BH375" s="125"/>
    </row>
    <row r="376" spans="1:60" ht="15.75" customHeight="1">
      <c r="A376" s="125"/>
      <c r="B376" s="125"/>
      <c r="C376" s="125"/>
      <c r="D376" s="125"/>
      <c r="E376" s="125"/>
      <c r="F376" s="125"/>
      <c r="G376" s="125"/>
      <c r="H376" s="125"/>
      <c r="I376" s="125"/>
      <c r="J376" s="125"/>
      <c r="K376" s="125"/>
      <c r="L376" s="125"/>
      <c r="M376" s="1"/>
      <c r="N376" s="1"/>
      <c r="O376" s="125"/>
      <c r="P376" s="125"/>
      <c r="Q376" s="125"/>
      <c r="R376" s="125"/>
      <c r="S376" s="125"/>
      <c r="T376" s="125"/>
      <c r="U376" s="125"/>
      <c r="V376" s="125"/>
      <c r="W376" s="125"/>
      <c r="X376" s="125"/>
      <c r="Y376" s="125"/>
      <c r="Z376" s="125"/>
      <c r="AA376" s="125"/>
      <c r="AB376" s="125"/>
      <c r="AC376" s="125"/>
      <c r="AD376" s="125"/>
      <c r="AE376" s="1"/>
      <c r="AG376" s="125"/>
      <c r="AH376" s="125"/>
      <c r="AI376" s="125"/>
      <c r="AJ376" s="125"/>
      <c r="AK376" s="125"/>
      <c r="AL376" s="125"/>
      <c r="AM376" s="125"/>
      <c r="AN376" s="125"/>
      <c r="AO376" s="125"/>
      <c r="AP376" s="125"/>
      <c r="AQ376" s="125"/>
      <c r="AR376" s="125"/>
      <c r="AS376" s="125"/>
      <c r="AT376" s="1"/>
      <c r="AU376" s="1"/>
      <c r="AV376" s="125"/>
      <c r="AW376" s="125"/>
      <c r="AX376" s="125"/>
      <c r="AY376" s="125"/>
      <c r="AZ376" s="125"/>
      <c r="BA376" s="125"/>
      <c r="BB376" s="125"/>
      <c r="BC376" s="125"/>
      <c r="BD376" s="125"/>
      <c r="BE376" s="125"/>
      <c r="BF376" s="125"/>
      <c r="BG376" s="125"/>
      <c r="BH376" s="125"/>
    </row>
    <row r="377" spans="1:60" ht="15.75" customHeight="1">
      <c r="A377" s="125"/>
      <c r="B377" s="125"/>
      <c r="C377" s="125"/>
      <c r="D377" s="125"/>
      <c r="E377" s="125"/>
      <c r="F377" s="125"/>
      <c r="G377" s="125"/>
      <c r="H377" s="125"/>
      <c r="I377" s="125"/>
      <c r="J377" s="125"/>
      <c r="K377" s="125"/>
      <c r="L377" s="125"/>
      <c r="M377" s="1"/>
      <c r="N377" s="1"/>
      <c r="O377" s="125"/>
      <c r="P377" s="125"/>
      <c r="Q377" s="125"/>
      <c r="R377" s="125"/>
      <c r="S377" s="125"/>
      <c r="T377" s="125"/>
      <c r="U377" s="125"/>
      <c r="V377" s="125"/>
      <c r="W377" s="125"/>
      <c r="X377" s="125"/>
      <c r="Y377" s="125"/>
      <c r="Z377" s="125"/>
      <c r="AA377" s="125"/>
      <c r="AB377" s="125"/>
      <c r="AC377" s="125"/>
      <c r="AD377" s="125"/>
      <c r="AE377" s="1"/>
      <c r="AG377" s="125"/>
      <c r="AH377" s="125"/>
      <c r="AI377" s="125"/>
      <c r="AJ377" s="125"/>
      <c r="AK377" s="125"/>
      <c r="AL377" s="125"/>
      <c r="AM377" s="125"/>
      <c r="AN377" s="125"/>
      <c r="AO377" s="125"/>
      <c r="AP377" s="125"/>
      <c r="AQ377" s="125"/>
      <c r="AR377" s="125"/>
      <c r="AS377" s="125"/>
      <c r="AT377" s="1"/>
      <c r="AU377" s="1"/>
      <c r="AV377" s="125"/>
      <c r="AW377" s="125"/>
      <c r="AX377" s="125"/>
      <c r="AY377" s="125"/>
      <c r="AZ377" s="125"/>
      <c r="BA377" s="125"/>
      <c r="BB377" s="125"/>
      <c r="BC377" s="125"/>
      <c r="BD377" s="125"/>
      <c r="BE377" s="125"/>
      <c r="BF377" s="125"/>
      <c r="BG377" s="125"/>
      <c r="BH377" s="125"/>
    </row>
    <row r="378" spans="1:60" ht="15.75" customHeight="1">
      <c r="A378" s="125"/>
      <c r="B378" s="125"/>
      <c r="C378" s="125"/>
      <c r="D378" s="125"/>
      <c r="E378" s="125"/>
      <c r="F378" s="125"/>
      <c r="G378" s="125"/>
      <c r="H378" s="125"/>
      <c r="I378" s="125"/>
      <c r="J378" s="125"/>
      <c r="K378" s="125"/>
      <c r="L378" s="125"/>
      <c r="M378" s="1"/>
      <c r="N378" s="1"/>
      <c r="O378" s="125"/>
      <c r="P378" s="125"/>
      <c r="Q378" s="125"/>
      <c r="R378" s="125"/>
      <c r="S378" s="125"/>
      <c r="T378" s="125"/>
      <c r="U378" s="125"/>
      <c r="V378" s="125"/>
      <c r="W378" s="125"/>
      <c r="X378" s="125"/>
      <c r="Y378" s="125"/>
      <c r="Z378" s="125"/>
      <c r="AA378" s="125"/>
      <c r="AB378" s="125"/>
      <c r="AC378" s="125"/>
      <c r="AD378" s="125"/>
      <c r="AE378" s="1"/>
      <c r="AG378" s="125"/>
      <c r="AH378" s="125"/>
      <c r="AI378" s="125"/>
      <c r="AJ378" s="125"/>
      <c r="AK378" s="125"/>
      <c r="AL378" s="125"/>
      <c r="AM378" s="125"/>
      <c r="AN378" s="125"/>
      <c r="AO378" s="125"/>
      <c r="AP378" s="125"/>
      <c r="AQ378" s="125"/>
      <c r="AR378" s="125"/>
      <c r="AS378" s="125"/>
      <c r="AT378" s="1"/>
      <c r="AU378" s="1"/>
      <c r="AV378" s="125"/>
      <c r="AW378" s="125"/>
      <c r="AX378" s="125"/>
      <c r="AY378" s="125"/>
      <c r="AZ378" s="125"/>
      <c r="BA378" s="125"/>
      <c r="BB378" s="125"/>
      <c r="BC378" s="125"/>
      <c r="BD378" s="125"/>
      <c r="BE378" s="125"/>
      <c r="BF378" s="125"/>
      <c r="BG378" s="125"/>
      <c r="BH378" s="125"/>
    </row>
    <row r="379" spans="1:60" ht="15.75" customHeight="1">
      <c r="A379" s="125"/>
      <c r="B379" s="125"/>
      <c r="C379" s="125"/>
      <c r="D379" s="125"/>
      <c r="E379" s="125"/>
      <c r="F379" s="125"/>
      <c r="G379" s="125"/>
      <c r="H379" s="125"/>
      <c r="I379" s="125"/>
      <c r="J379" s="125"/>
      <c r="K379" s="125"/>
      <c r="L379" s="125"/>
      <c r="M379" s="1"/>
      <c r="N379" s="1"/>
      <c r="O379" s="125"/>
      <c r="P379" s="125"/>
      <c r="Q379" s="125"/>
      <c r="R379" s="125"/>
      <c r="S379" s="125"/>
      <c r="T379" s="125"/>
      <c r="U379" s="125"/>
      <c r="V379" s="125"/>
      <c r="W379" s="125"/>
      <c r="X379" s="125"/>
      <c r="Y379" s="125"/>
      <c r="Z379" s="125"/>
      <c r="AA379" s="125"/>
      <c r="AB379" s="125"/>
      <c r="AC379" s="125"/>
      <c r="AD379" s="125"/>
      <c r="AE379" s="1"/>
      <c r="AG379" s="125"/>
      <c r="AH379" s="125"/>
      <c r="AI379" s="125"/>
      <c r="AJ379" s="125"/>
      <c r="AK379" s="125"/>
      <c r="AL379" s="125"/>
      <c r="AM379" s="125"/>
      <c r="AN379" s="125"/>
      <c r="AO379" s="125"/>
      <c r="AP379" s="125"/>
      <c r="AQ379" s="125"/>
      <c r="AR379" s="125"/>
      <c r="AS379" s="125"/>
      <c r="AT379" s="1"/>
      <c r="AU379" s="1"/>
      <c r="AV379" s="125"/>
      <c r="AW379" s="125"/>
      <c r="AX379" s="125"/>
      <c r="AY379" s="125"/>
      <c r="AZ379" s="125"/>
      <c r="BA379" s="125"/>
      <c r="BB379" s="125"/>
      <c r="BC379" s="125"/>
      <c r="BD379" s="125"/>
      <c r="BE379" s="125"/>
      <c r="BF379" s="125"/>
      <c r="BG379" s="125"/>
      <c r="BH379" s="125"/>
    </row>
    <row r="380" spans="1:60" ht="15.75" customHeight="1">
      <c r="A380" s="125"/>
      <c r="B380" s="125"/>
      <c r="C380" s="125"/>
      <c r="D380" s="125"/>
      <c r="E380" s="125"/>
      <c r="F380" s="125"/>
      <c r="G380" s="125"/>
      <c r="H380" s="125"/>
      <c r="I380" s="125"/>
      <c r="J380" s="125"/>
      <c r="K380" s="125"/>
      <c r="L380" s="125"/>
      <c r="M380" s="1"/>
      <c r="N380" s="1"/>
      <c r="O380" s="125"/>
      <c r="P380" s="125"/>
      <c r="Q380" s="125"/>
      <c r="R380" s="125"/>
      <c r="S380" s="125"/>
      <c r="T380" s="125"/>
      <c r="U380" s="125"/>
      <c r="V380" s="125"/>
      <c r="W380" s="125"/>
      <c r="X380" s="125"/>
      <c r="Y380" s="125"/>
      <c r="Z380" s="125"/>
      <c r="AA380" s="125"/>
      <c r="AB380" s="125"/>
      <c r="AC380" s="125"/>
      <c r="AD380" s="125"/>
      <c r="AE380" s="1"/>
      <c r="AG380" s="125"/>
      <c r="AH380" s="125"/>
      <c r="AI380" s="125"/>
      <c r="AJ380" s="125"/>
      <c r="AK380" s="125"/>
      <c r="AL380" s="125"/>
      <c r="AM380" s="125"/>
      <c r="AN380" s="125"/>
      <c r="AO380" s="125"/>
      <c r="AP380" s="125"/>
      <c r="AQ380" s="125"/>
      <c r="AR380" s="125"/>
      <c r="AS380" s="125"/>
      <c r="AT380" s="1"/>
      <c r="AU380" s="1"/>
      <c r="AV380" s="125"/>
      <c r="AW380" s="125"/>
      <c r="AX380" s="125"/>
      <c r="AY380" s="125"/>
      <c r="AZ380" s="125"/>
      <c r="BA380" s="125"/>
      <c r="BB380" s="125"/>
      <c r="BC380" s="125"/>
      <c r="BD380" s="125"/>
      <c r="BE380" s="125"/>
      <c r="BF380" s="125"/>
      <c r="BG380" s="125"/>
      <c r="BH380" s="125"/>
    </row>
    <row r="381" spans="1:60" ht="15.75" customHeight="1">
      <c r="A381" s="125"/>
      <c r="B381" s="125"/>
      <c r="C381" s="125"/>
      <c r="D381" s="125"/>
      <c r="E381" s="125"/>
      <c r="F381" s="125"/>
      <c r="G381" s="125"/>
      <c r="H381" s="125"/>
      <c r="I381" s="125"/>
      <c r="J381" s="125"/>
      <c r="K381" s="125"/>
      <c r="L381" s="125"/>
      <c r="M381" s="1"/>
      <c r="N381" s="1"/>
      <c r="O381" s="125"/>
      <c r="P381" s="125"/>
      <c r="Q381" s="125"/>
      <c r="R381" s="125"/>
      <c r="S381" s="125"/>
      <c r="T381" s="125"/>
      <c r="U381" s="125"/>
      <c r="V381" s="125"/>
      <c r="W381" s="125"/>
      <c r="X381" s="125"/>
      <c r="Y381" s="125"/>
      <c r="Z381" s="125"/>
      <c r="AA381" s="125"/>
      <c r="AB381" s="125"/>
      <c r="AC381" s="125"/>
      <c r="AD381" s="125"/>
      <c r="AE381" s="1"/>
      <c r="AG381" s="125"/>
      <c r="AH381" s="125"/>
      <c r="AI381" s="125"/>
      <c r="AJ381" s="125"/>
      <c r="AK381" s="125"/>
      <c r="AL381" s="125"/>
      <c r="AM381" s="125"/>
      <c r="AN381" s="125"/>
      <c r="AO381" s="125"/>
      <c r="AP381" s="125"/>
      <c r="AQ381" s="125"/>
      <c r="AR381" s="125"/>
      <c r="AS381" s="125"/>
      <c r="AT381" s="1"/>
      <c r="AU381" s="1"/>
      <c r="AV381" s="125"/>
      <c r="AW381" s="125"/>
      <c r="AX381" s="125"/>
      <c r="AY381" s="125"/>
      <c r="AZ381" s="125"/>
      <c r="BA381" s="125"/>
      <c r="BB381" s="125"/>
      <c r="BC381" s="125"/>
      <c r="BD381" s="125"/>
      <c r="BE381" s="125"/>
      <c r="BF381" s="125"/>
      <c r="BG381" s="125"/>
      <c r="BH381" s="125"/>
    </row>
    <row r="382" spans="1:60" ht="15.75" customHeight="1">
      <c r="A382" s="125"/>
      <c r="B382" s="125"/>
      <c r="C382" s="125"/>
      <c r="D382" s="125"/>
      <c r="E382" s="125"/>
      <c r="F382" s="125"/>
      <c r="G382" s="125"/>
      <c r="H382" s="125"/>
      <c r="I382" s="125"/>
      <c r="J382" s="125"/>
      <c r="K382" s="125"/>
      <c r="L382" s="125"/>
      <c r="M382" s="1"/>
      <c r="N382" s="1"/>
      <c r="O382" s="125"/>
      <c r="P382" s="125"/>
      <c r="Q382" s="125"/>
      <c r="R382" s="125"/>
      <c r="S382" s="125"/>
      <c r="T382" s="125"/>
      <c r="U382" s="125"/>
      <c r="V382" s="125"/>
      <c r="W382" s="125"/>
      <c r="X382" s="125"/>
      <c r="Y382" s="125"/>
      <c r="Z382" s="125"/>
      <c r="AA382" s="125"/>
      <c r="AB382" s="125"/>
      <c r="AC382" s="125"/>
      <c r="AD382" s="125"/>
      <c r="AE382" s="1"/>
      <c r="AG382" s="125"/>
      <c r="AH382" s="125"/>
      <c r="AI382" s="125"/>
      <c r="AJ382" s="125"/>
      <c r="AK382" s="125"/>
      <c r="AL382" s="125"/>
      <c r="AM382" s="125"/>
      <c r="AN382" s="125"/>
      <c r="AO382" s="125"/>
      <c r="AP382" s="125"/>
      <c r="AQ382" s="125"/>
      <c r="AR382" s="125"/>
      <c r="AS382" s="125"/>
      <c r="AT382" s="1"/>
      <c r="AU382" s="1"/>
      <c r="AV382" s="125"/>
      <c r="AW382" s="125"/>
      <c r="AX382" s="125"/>
      <c r="AY382" s="125"/>
      <c r="AZ382" s="125"/>
      <c r="BA382" s="125"/>
      <c r="BB382" s="125"/>
      <c r="BC382" s="125"/>
      <c r="BD382" s="125"/>
      <c r="BE382" s="125"/>
      <c r="BF382" s="125"/>
      <c r="BG382" s="125"/>
      <c r="BH382" s="125"/>
    </row>
    <row r="383" spans="1:60" ht="15.75" customHeight="1">
      <c r="A383" s="125"/>
      <c r="B383" s="125"/>
      <c r="C383" s="125"/>
      <c r="D383" s="125"/>
      <c r="E383" s="125"/>
      <c r="F383" s="125"/>
      <c r="G383" s="125"/>
      <c r="H383" s="125"/>
      <c r="I383" s="125"/>
      <c r="J383" s="125"/>
      <c r="K383" s="125"/>
      <c r="L383" s="125"/>
      <c r="M383" s="1"/>
      <c r="N383" s="1"/>
      <c r="O383" s="125"/>
      <c r="P383" s="125"/>
      <c r="Q383" s="125"/>
      <c r="R383" s="125"/>
      <c r="S383" s="125"/>
      <c r="T383" s="125"/>
      <c r="U383" s="125"/>
      <c r="V383" s="125"/>
      <c r="W383" s="125"/>
      <c r="X383" s="125"/>
      <c r="Y383" s="125"/>
      <c r="Z383" s="125"/>
      <c r="AA383" s="125"/>
      <c r="AB383" s="125"/>
      <c r="AC383" s="125"/>
      <c r="AD383" s="125"/>
      <c r="AE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</row>
    <row r="384" spans="1:60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</row>
    <row r="385" spans="1:48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</row>
    <row r="386" spans="1:48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</row>
    <row r="387" spans="1:48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1:4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1:48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1:48" ht="20.25" customHeight="1" thickBot="1">
      <c r="A390" s="133" t="s">
        <v>14</v>
      </c>
      <c r="B390" s="133"/>
      <c r="C390" s="133"/>
      <c r="D390" s="133"/>
      <c r="E390" s="133"/>
      <c r="F390" s="4"/>
      <c r="G390" s="5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1"/>
      <c r="Z390" s="1"/>
      <c r="AA390" s="1"/>
      <c r="AB390" s="1"/>
      <c r="AC390" s="1"/>
      <c r="AD390" s="1"/>
      <c r="AE390" s="1"/>
    </row>
    <row r="391" spans="1:48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48" ht="15.75" customHeight="1">
      <c r="A392" s="135" t="s">
        <v>54</v>
      </c>
      <c r="B392" s="135"/>
      <c r="C392" s="135"/>
      <c r="D392" s="21"/>
      <c r="E392" s="2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48" ht="15.75" customHeight="1">
      <c r="B393" s="21"/>
      <c r="C393" s="21"/>
      <c r="D393" s="21"/>
      <c r="E393" s="2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48" ht="15.75" customHeight="1">
      <c r="A394" s="25"/>
      <c r="B394" s="25"/>
      <c r="C394" s="25"/>
      <c r="D394" s="132" t="s">
        <v>88</v>
      </c>
      <c r="E394" s="132"/>
      <c r="F394" s="132"/>
      <c r="G394" s="132" t="s">
        <v>89</v>
      </c>
      <c r="H394" s="132"/>
      <c r="I394" s="132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48" ht="15.75" customHeight="1">
      <c r="A395" s="132" t="s">
        <v>86</v>
      </c>
      <c r="B395" s="132"/>
      <c r="C395" s="132"/>
      <c r="D395" s="35" t="s">
        <v>70</v>
      </c>
      <c r="E395" s="35" t="s">
        <v>73</v>
      </c>
      <c r="F395" s="35" t="s">
        <v>72</v>
      </c>
      <c r="G395" s="35" t="s">
        <v>70</v>
      </c>
      <c r="H395" s="35" t="s">
        <v>72</v>
      </c>
      <c r="I395" s="35" t="s">
        <v>87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48" ht="15.75" customHeight="1">
      <c r="A396" s="132" t="s">
        <v>70</v>
      </c>
      <c r="B396" s="132"/>
      <c r="C396" s="132"/>
      <c r="D396" s="36"/>
      <c r="E396" s="36"/>
      <c r="F396" s="36"/>
      <c r="G396" s="36"/>
      <c r="H396" s="36"/>
      <c r="I396" s="36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48" ht="15.75" customHeight="1">
      <c r="A397" s="132" t="s">
        <v>71</v>
      </c>
      <c r="B397" s="132"/>
      <c r="C397" s="132"/>
      <c r="D397" s="36"/>
      <c r="E397" s="36"/>
      <c r="F397" s="36"/>
      <c r="G397" s="36"/>
      <c r="H397" s="36"/>
      <c r="I397" s="36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48" ht="15.75" customHeight="1">
      <c r="A398" s="132" t="s">
        <v>72</v>
      </c>
      <c r="B398" s="132"/>
      <c r="C398" s="132"/>
      <c r="D398" s="36"/>
      <c r="E398" s="36"/>
      <c r="F398" s="36"/>
      <c r="G398" s="36"/>
      <c r="H398" s="36"/>
      <c r="I398" s="36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</row>
    <row r="399" spans="1:48" ht="15.75" customHeight="1">
      <c r="B399" s="21"/>
      <c r="C399" s="21"/>
      <c r="D399" s="21"/>
      <c r="E399" s="2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48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45" ht="15.75" customHeight="1">
      <c r="A401" s="131" t="s">
        <v>41</v>
      </c>
      <c r="B401" s="131"/>
      <c r="C401" s="131"/>
      <c r="D401" s="1"/>
      <c r="E401" s="1"/>
      <c r="F401" s="1"/>
      <c r="G401" s="1"/>
      <c r="H401" s="1"/>
      <c r="I401" s="1"/>
      <c r="K401" s="21"/>
      <c r="L401" s="21"/>
      <c r="M401" s="1"/>
      <c r="O401" s="131" t="s">
        <v>42</v>
      </c>
      <c r="P401" s="131"/>
      <c r="Q401" s="13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G401" s="131" t="s">
        <v>68</v>
      </c>
      <c r="AH401" s="131"/>
      <c r="AI401" s="131"/>
    </row>
    <row r="402" spans="1:45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45" ht="15.75" customHeight="1">
      <c r="A403" s="125"/>
      <c r="B403" s="125"/>
      <c r="C403" s="125"/>
      <c r="D403" s="125"/>
      <c r="E403" s="125"/>
      <c r="F403" s="125"/>
      <c r="G403" s="125"/>
      <c r="H403" s="125"/>
      <c r="I403" s="125"/>
      <c r="J403" s="125"/>
      <c r="K403" s="125"/>
      <c r="L403" s="125"/>
      <c r="M403" s="1"/>
      <c r="N403" s="1"/>
      <c r="O403" s="125"/>
      <c r="P403" s="125"/>
      <c r="Q403" s="125"/>
      <c r="R403" s="125"/>
      <c r="S403" s="125"/>
      <c r="T403" s="125"/>
      <c r="U403" s="125"/>
      <c r="V403" s="125"/>
      <c r="W403" s="125"/>
      <c r="X403" s="125"/>
      <c r="Y403" s="125"/>
      <c r="Z403" s="125"/>
      <c r="AA403" s="125"/>
      <c r="AB403" s="125"/>
      <c r="AC403" s="125"/>
      <c r="AD403" s="125"/>
      <c r="AE403" s="1"/>
      <c r="AG403" s="125"/>
      <c r="AH403" s="125"/>
      <c r="AI403" s="125"/>
      <c r="AJ403" s="125"/>
      <c r="AK403" s="125"/>
      <c r="AL403" s="125"/>
      <c r="AM403" s="125"/>
      <c r="AN403" s="125"/>
      <c r="AO403" s="125"/>
      <c r="AP403" s="125"/>
      <c r="AQ403" s="125"/>
      <c r="AR403" s="125"/>
      <c r="AS403" s="125"/>
    </row>
    <row r="404" spans="1:45" ht="15.75" customHeight="1">
      <c r="A404" s="125"/>
      <c r="B404" s="125"/>
      <c r="C404" s="125"/>
      <c r="D404" s="125"/>
      <c r="E404" s="125"/>
      <c r="F404" s="125"/>
      <c r="G404" s="125"/>
      <c r="H404" s="125"/>
      <c r="I404" s="125"/>
      <c r="J404" s="125"/>
      <c r="K404" s="125"/>
      <c r="L404" s="125"/>
      <c r="M404" s="1"/>
      <c r="N404" s="1"/>
      <c r="O404" s="125"/>
      <c r="P404" s="125"/>
      <c r="Q404" s="125"/>
      <c r="R404" s="125"/>
      <c r="S404" s="125"/>
      <c r="T404" s="125"/>
      <c r="U404" s="125"/>
      <c r="V404" s="125"/>
      <c r="W404" s="125"/>
      <c r="X404" s="125"/>
      <c r="Y404" s="125"/>
      <c r="Z404" s="125"/>
      <c r="AA404" s="125"/>
      <c r="AB404" s="125"/>
      <c r="AC404" s="125"/>
      <c r="AD404" s="125"/>
      <c r="AE404" s="1"/>
      <c r="AG404" s="125"/>
      <c r="AH404" s="125"/>
      <c r="AI404" s="125"/>
      <c r="AJ404" s="125"/>
      <c r="AK404" s="125"/>
      <c r="AL404" s="125"/>
      <c r="AM404" s="125"/>
      <c r="AN404" s="125"/>
      <c r="AO404" s="125"/>
      <c r="AP404" s="125"/>
      <c r="AQ404" s="125"/>
      <c r="AR404" s="125"/>
      <c r="AS404" s="125"/>
    </row>
    <row r="405" spans="1:45" ht="15.75" customHeight="1">
      <c r="A405" s="125"/>
      <c r="B405" s="125"/>
      <c r="C405" s="125"/>
      <c r="D405" s="125"/>
      <c r="E405" s="125"/>
      <c r="F405" s="125"/>
      <c r="G405" s="125"/>
      <c r="H405" s="125"/>
      <c r="I405" s="125"/>
      <c r="J405" s="125"/>
      <c r="K405" s="125"/>
      <c r="L405" s="125"/>
      <c r="M405" s="1"/>
      <c r="N405" s="1"/>
      <c r="O405" s="125"/>
      <c r="P405" s="125"/>
      <c r="Q405" s="125"/>
      <c r="R405" s="125"/>
      <c r="S405" s="125"/>
      <c r="T405" s="125"/>
      <c r="U405" s="125"/>
      <c r="V405" s="125"/>
      <c r="W405" s="125"/>
      <c r="X405" s="125"/>
      <c r="Y405" s="125"/>
      <c r="Z405" s="125"/>
      <c r="AA405" s="125"/>
      <c r="AB405" s="125"/>
      <c r="AC405" s="125"/>
      <c r="AD405" s="125"/>
      <c r="AE405" s="1"/>
      <c r="AG405" s="125"/>
      <c r="AH405" s="125"/>
      <c r="AI405" s="125"/>
      <c r="AJ405" s="125"/>
      <c r="AK405" s="125"/>
      <c r="AL405" s="125"/>
      <c r="AM405" s="125"/>
      <c r="AN405" s="125"/>
      <c r="AO405" s="125"/>
      <c r="AP405" s="125"/>
      <c r="AQ405" s="125"/>
      <c r="AR405" s="125"/>
      <c r="AS405" s="125"/>
    </row>
    <row r="406" spans="1:45" ht="15.75" customHeight="1">
      <c r="A406" s="125"/>
      <c r="B406" s="125"/>
      <c r="C406" s="125"/>
      <c r="D406" s="125"/>
      <c r="E406" s="125"/>
      <c r="F406" s="125"/>
      <c r="G406" s="125"/>
      <c r="H406" s="125"/>
      <c r="I406" s="125"/>
      <c r="J406" s="125"/>
      <c r="K406" s="125"/>
      <c r="L406" s="125"/>
      <c r="M406" s="1"/>
      <c r="N406" s="1"/>
      <c r="O406" s="125"/>
      <c r="P406" s="125"/>
      <c r="Q406" s="125"/>
      <c r="R406" s="125"/>
      <c r="S406" s="125"/>
      <c r="T406" s="125"/>
      <c r="U406" s="125"/>
      <c r="V406" s="125"/>
      <c r="W406" s="125"/>
      <c r="X406" s="125"/>
      <c r="Y406" s="125"/>
      <c r="Z406" s="125"/>
      <c r="AA406" s="125"/>
      <c r="AB406" s="125"/>
      <c r="AC406" s="125"/>
      <c r="AD406" s="125"/>
      <c r="AE406" s="1"/>
      <c r="AG406" s="125"/>
      <c r="AH406" s="125"/>
      <c r="AI406" s="125"/>
      <c r="AJ406" s="125"/>
      <c r="AK406" s="125"/>
      <c r="AL406" s="125"/>
      <c r="AM406" s="125"/>
      <c r="AN406" s="125"/>
      <c r="AO406" s="125"/>
      <c r="AP406" s="125"/>
      <c r="AQ406" s="125"/>
      <c r="AR406" s="125"/>
      <c r="AS406" s="125"/>
    </row>
    <row r="407" spans="1:45" ht="15.75" customHeight="1">
      <c r="A407" s="125"/>
      <c r="B407" s="125"/>
      <c r="C407" s="125"/>
      <c r="D407" s="125"/>
      <c r="E407" s="125"/>
      <c r="F407" s="125"/>
      <c r="G407" s="125"/>
      <c r="H407" s="125"/>
      <c r="I407" s="125"/>
      <c r="J407" s="125"/>
      <c r="K407" s="125"/>
      <c r="L407" s="125"/>
      <c r="M407" s="1"/>
      <c r="N407" s="1"/>
      <c r="O407" s="125"/>
      <c r="P407" s="125"/>
      <c r="Q407" s="125"/>
      <c r="R407" s="125"/>
      <c r="S407" s="125"/>
      <c r="T407" s="125"/>
      <c r="U407" s="125"/>
      <c r="V407" s="125"/>
      <c r="W407" s="125"/>
      <c r="X407" s="125"/>
      <c r="Y407" s="125"/>
      <c r="Z407" s="125"/>
      <c r="AA407" s="125"/>
      <c r="AB407" s="125"/>
      <c r="AC407" s="125"/>
      <c r="AD407" s="125"/>
      <c r="AE407" s="1"/>
      <c r="AG407" s="125"/>
      <c r="AH407" s="125"/>
      <c r="AI407" s="125"/>
      <c r="AJ407" s="125"/>
      <c r="AK407" s="125"/>
      <c r="AL407" s="125"/>
      <c r="AM407" s="125"/>
      <c r="AN407" s="125"/>
      <c r="AO407" s="125"/>
      <c r="AP407" s="125"/>
      <c r="AQ407" s="125"/>
      <c r="AR407" s="125"/>
      <c r="AS407" s="125"/>
    </row>
    <row r="408" spans="1:45" ht="15.75" customHeight="1">
      <c r="A408" s="125"/>
      <c r="B408" s="125"/>
      <c r="C408" s="125"/>
      <c r="D408" s="125"/>
      <c r="E408" s="125"/>
      <c r="F408" s="125"/>
      <c r="G408" s="125"/>
      <c r="H408" s="125"/>
      <c r="I408" s="125"/>
      <c r="J408" s="125"/>
      <c r="K408" s="125"/>
      <c r="L408" s="125"/>
      <c r="M408" s="1"/>
      <c r="N408" s="1"/>
      <c r="O408" s="125"/>
      <c r="P408" s="125"/>
      <c r="Q408" s="125"/>
      <c r="R408" s="125"/>
      <c r="S408" s="125"/>
      <c r="T408" s="125"/>
      <c r="U408" s="125"/>
      <c r="V408" s="125"/>
      <c r="W408" s="125"/>
      <c r="X408" s="125"/>
      <c r="Y408" s="125"/>
      <c r="Z408" s="125"/>
      <c r="AA408" s="125"/>
      <c r="AB408" s="125"/>
      <c r="AC408" s="125"/>
      <c r="AD408" s="125"/>
      <c r="AE408" s="1"/>
      <c r="AG408" s="125"/>
      <c r="AH408" s="125"/>
      <c r="AI408" s="125"/>
      <c r="AJ408" s="125"/>
      <c r="AK408" s="125"/>
      <c r="AL408" s="125"/>
      <c r="AM408" s="125"/>
      <c r="AN408" s="125"/>
      <c r="AO408" s="125"/>
      <c r="AP408" s="125"/>
      <c r="AQ408" s="125"/>
      <c r="AR408" s="125"/>
      <c r="AS408" s="125"/>
    </row>
    <row r="409" spans="1:45" ht="15.75" customHeight="1">
      <c r="A409" s="125"/>
      <c r="B409" s="125"/>
      <c r="C409" s="125"/>
      <c r="D409" s="125"/>
      <c r="E409" s="125"/>
      <c r="F409" s="125"/>
      <c r="G409" s="125"/>
      <c r="H409" s="125"/>
      <c r="I409" s="125"/>
      <c r="J409" s="125"/>
      <c r="K409" s="125"/>
      <c r="L409" s="125"/>
      <c r="M409" s="1"/>
      <c r="N409" s="1"/>
      <c r="O409" s="125"/>
      <c r="P409" s="125"/>
      <c r="Q409" s="125"/>
      <c r="R409" s="125"/>
      <c r="S409" s="125"/>
      <c r="T409" s="125"/>
      <c r="U409" s="125"/>
      <c r="V409" s="125"/>
      <c r="W409" s="125"/>
      <c r="X409" s="125"/>
      <c r="Y409" s="125"/>
      <c r="Z409" s="125"/>
      <c r="AA409" s="125"/>
      <c r="AB409" s="125"/>
      <c r="AC409" s="125"/>
      <c r="AD409" s="125"/>
      <c r="AE409" s="1"/>
      <c r="AG409" s="125"/>
      <c r="AH409" s="125"/>
      <c r="AI409" s="125"/>
      <c r="AJ409" s="125"/>
      <c r="AK409" s="125"/>
      <c r="AL409" s="125"/>
      <c r="AM409" s="125"/>
      <c r="AN409" s="125"/>
      <c r="AO409" s="125"/>
      <c r="AP409" s="125"/>
      <c r="AQ409" s="125"/>
      <c r="AR409" s="125"/>
      <c r="AS409" s="125"/>
    </row>
    <row r="410" spans="1:45" ht="15.75" customHeight="1">
      <c r="A410" s="125"/>
      <c r="B410" s="125"/>
      <c r="C410" s="125"/>
      <c r="D410" s="125"/>
      <c r="E410" s="125"/>
      <c r="F410" s="125"/>
      <c r="G410" s="125"/>
      <c r="H410" s="125"/>
      <c r="I410" s="125"/>
      <c r="J410" s="125"/>
      <c r="K410" s="125"/>
      <c r="L410" s="125"/>
      <c r="M410" s="1"/>
      <c r="N410" s="1"/>
      <c r="O410" s="125"/>
      <c r="P410" s="125"/>
      <c r="Q410" s="125"/>
      <c r="R410" s="125"/>
      <c r="S410" s="125"/>
      <c r="T410" s="125"/>
      <c r="U410" s="125"/>
      <c r="V410" s="125"/>
      <c r="W410" s="125"/>
      <c r="X410" s="125"/>
      <c r="Y410" s="125"/>
      <c r="Z410" s="125"/>
      <c r="AA410" s="125"/>
      <c r="AB410" s="125"/>
      <c r="AC410" s="125"/>
      <c r="AD410" s="125"/>
      <c r="AE410" s="1"/>
      <c r="AG410" s="125"/>
      <c r="AH410" s="125"/>
      <c r="AI410" s="125"/>
      <c r="AJ410" s="125"/>
      <c r="AK410" s="125"/>
      <c r="AL410" s="125"/>
      <c r="AM410" s="125"/>
      <c r="AN410" s="125"/>
      <c r="AO410" s="125"/>
      <c r="AP410" s="125"/>
      <c r="AQ410" s="125"/>
      <c r="AR410" s="125"/>
      <c r="AS410" s="125"/>
    </row>
    <row r="411" spans="1:45" ht="15.75" customHeight="1">
      <c r="A411" s="125"/>
      <c r="B411" s="125"/>
      <c r="C411" s="125"/>
      <c r="D411" s="125"/>
      <c r="E411" s="125"/>
      <c r="F411" s="125"/>
      <c r="G411" s="125"/>
      <c r="H411" s="125"/>
      <c r="I411" s="125"/>
      <c r="J411" s="125"/>
      <c r="K411" s="125"/>
      <c r="L411" s="125"/>
      <c r="M411" s="1"/>
      <c r="N411" s="1"/>
      <c r="O411" s="125"/>
      <c r="P411" s="125"/>
      <c r="Q411" s="125"/>
      <c r="R411" s="125"/>
      <c r="S411" s="125"/>
      <c r="T411" s="125"/>
      <c r="U411" s="125"/>
      <c r="V411" s="125"/>
      <c r="W411" s="125"/>
      <c r="X411" s="125"/>
      <c r="Y411" s="125"/>
      <c r="Z411" s="125"/>
      <c r="AA411" s="125"/>
      <c r="AB411" s="125"/>
      <c r="AC411" s="125"/>
      <c r="AD411" s="125"/>
      <c r="AE411" s="1"/>
      <c r="AG411" s="125"/>
      <c r="AH411" s="125"/>
      <c r="AI411" s="125"/>
      <c r="AJ411" s="125"/>
      <c r="AK411" s="125"/>
      <c r="AL411" s="125"/>
      <c r="AM411" s="125"/>
      <c r="AN411" s="125"/>
      <c r="AO411" s="125"/>
      <c r="AP411" s="125"/>
      <c r="AQ411" s="125"/>
      <c r="AR411" s="125"/>
      <c r="AS411" s="125"/>
    </row>
    <row r="412" spans="1:45" ht="15.75" customHeight="1">
      <c r="A412" s="125"/>
      <c r="B412" s="125"/>
      <c r="C412" s="125"/>
      <c r="D412" s="125"/>
      <c r="E412" s="125"/>
      <c r="F412" s="125"/>
      <c r="G412" s="125"/>
      <c r="H412" s="125"/>
      <c r="I412" s="125"/>
      <c r="J412" s="125"/>
      <c r="K412" s="125"/>
      <c r="L412" s="125"/>
      <c r="M412" s="1"/>
      <c r="N412" s="1"/>
      <c r="O412" s="125"/>
      <c r="P412" s="125"/>
      <c r="Q412" s="125"/>
      <c r="R412" s="125"/>
      <c r="S412" s="125"/>
      <c r="T412" s="125"/>
      <c r="U412" s="125"/>
      <c r="V412" s="125"/>
      <c r="W412" s="125"/>
      <c r="X412" s="125"/>
      <c r="Y412" s="125"/>
      <c r="Z412" s="125"/>
      <c r="AA412" s="125"/>
      <c r="AB412" s="125"/>
      <c r="AC412" s="125"/>
      <c r="AD412" s="125"/>
      <c r="AE412" s="1"/>
      <c r="AG412" s="125"/>
      <c r="AH412" s="125"/>
      <c r="AI412" s="125"/>
      <c r="AJ412" s="125"/>
      <c r="AK412" s="125"/>
      <c r="AL412" s="125"/>
      <c r="AM412" s="125"/>
      <c r="AN412" s="125"/>
      <c r="AO412" s="125"/>
      <c r="AP412" s="125"/>
      <c r="AQ412" s="125"/>
      <c r="AR412" s="125"/>
      <c r="AS412" s="125"/>
    </row>
    <row r="413" spans="1:45" ht="15.75" customHeight="1">
      <c r="A413" s="125"/>
      <c r="B413" s="125"/>
      <c r="C413" s="125"/>
      <c r="D413" s="125"/>
      <c r="E413" s="125"/>
      <c r="F413" s="125"/>
      <c r="G413" s="125"/>
      <c r="H413" s="125"/>
      <c r="I413" s="125"/>
      <c r="J413" s="125"/>
      <c r="K413" s="125"/>
      <c r="L413" s="125"/>
      <c r="M413" s="1"/>
      <c r="N413" s="1"/>
      <c r="O413" s="125"/>
      <c r="P413" s="125"/>
      <c r="Q413" s="125"/>
      <c r="R413" s="125"/>
      <c r="S413" s="125"/>
      <c r="T413" s="125"/>
      <c r="U413" s="125"/>
      <c r="V413" s="125"/>
      <c r="W413" s="125"/>
      <c r="X413" s="125"/>
      <c r="Y413" s="125"/>
      <c r="Z413" s="125"/>
      <c r="AA413" s="125"/>
      <c r="AB413" s="125"/>
      <c r="AC413" s="125"/>
      <c r="AD413" s="125"/>
      <c r="AE413" s="1"/>
      <c r="AG413" s="125"/>
      <c r="AH413" s="125"/>
      <c r="AI413" s="125"/>
      <c r="AJ413" s="125"/>
      <c r="AK413" s="125"/>
      <c r="AL413" s="125"/>
      <c r="AM413" s="125"/>
      <c r="AN413" s="125"/>
      <c r="AO413" s="125"/>
      <c r="AP413" s="125"/>
      <c r="AQ413" s="125"/>
      <c r="AR413" s="125"/>
      <c r="AS413" s="125"/>
    </row>
    <row r="414" spans="1:45" ht="15.75" customHeight="1">
      <c r="A414" s="125"/>
      <c r="B414" s="125"/>
      <c r="C414" s="125"/>
      <c r="D414" s="125"/>
      <c r="E414" s="125"/>
      <c r="F414" s="125"/>
      <c r="G414" s="125"/>
      <c r="H414" s="125"/>
      <c r="I414" s="125"/>
      <c r="J414" s="125"/>
      <c r="K414" s="125"/>
      <c r="L414" s="125"/>
      <c r="M414" s="1"/>
      <c r="N414" s="1"/>
      <c r="O414" s="125"/>
      <c r="P414" s="125"/>
      <c r="Q414" s="125"/>
      <c r="R414" s="125"/>
      <c r="S414" s="125"/>
      <c r="T414" s="125"/>
      <c r="U414" s="125"/>
      <c r="V414" s="125"/>
      <c r="W414" s="125"/>
      <c r="X414" s="125"/>
      <c r="Y414" s="125"/>
      <c r="Z414" s="125"/>
      <c r="AA414" s="125"/>
      <c r="AB414" s="125"/>
      <c r="AC414" s="125"/>
      <c r="AD414" s="125"/>
      <c r="AE414" s="1"/>
      <c r="AG414" s="125"/>
      <c r="AH414" s="125"/>
      <c r="AI414" s="125"/>
      <c r="AJ414" s="125"/>
      <c r="AK414" s="125"/>
      <c r="AL414" s="125"/>
      <c r="AM414" s="125"/>
      <c r="AN414" s="125"/>
      <c r="AO414" s="125"/>
      <c r="AP414" s="125"/>
      <c r="AQ414" s="125"/>
      <c r="AR414" s="125"/>
      <c r="AS414" s="125"/>
    </row>
    <row r="415" spans="1:45" ht="15.75" customHeight="1">
      <c r="A415" s="125"/>
      <c r="B415" s="125"/>
      <c r="C415" s="125"/>
      <c r="D415" s="125"/>
      <c r="E415" s="125"/>
      <c r="F415" s="125"/>
      <c r="G415" s="125"/>
      <c r="H415" s="125"/>
      <c r="I415" s="125"/>
      <c r="J415" s="125"/>
      <c r="K415" s="125"/>
      <c r="L415" s="125"/>
      <c r="M415" s="1"/>
      <c r="N415" s="1"/>
      <c r="O415" s="125"/>
      <c r="P415" s="125"/>
      <c r="Q415" s="125"/>
      <c r="R415" s="125"/>
      <c r="S415" s="125"/>
      <c r="T415" s="125"/>
      <c r="U415" s="125"/>
      <c r="V415" s="125"/>
      <c r="W415" s="125"/>
      <c r="X415" s="125"/>
      <c r="Y415" s="125"/>
      <c r="Z415" s="125"/>
      <c r="AA415" s="125"/>
      <c r="AB415" s="125"/>
      <c r="AC415" s="125"/>
      <c r="AD415" s="125"/>
      <c r="AE415" s="1"/>
      <c r="AG415" s="125"/>
      <c r="AH415" s="125"/>
      <c r="AI415" s="125"/>
      <c r="AJ415" s="125"/>
      <c r="AK415" s="125"/>
      <c r="AL415" s="125"/>
      <c r="AM415" s="125"/>
      <c r="AN415" s="125"/>
      <c r="AO415" s="125"/>
      <c r="AP415" s="125"/>
      <c r="AQ415" s="125"/>
      <c r="AR415" s="125"/>
      <c r="AS415" s="125"/>
    </row>
    <row r="416" spans="1:45" ht="15.75" customHeight="1">
      <c r="A416" s="125"/>
      <c r="B416" s="125"/>
      <c r="C416" s="125"/>
      <c r="D416" s="125"/>
      <c r="E416" s="125"/>
      <c r="F416" s="125"/>
      <c r="G416" s="125"/>
      <c r="H416" s="125"/>
      <c r="I416" s="125"/>
      <c r="J416" s="125"/>
      <c r="K416" s="125"/>
      <c r="L416" s="125"/>
      <c r="M416" s="1"/>
      <c r="N416" s="1"/>
      <c r="O416" s="125"/>
      <c r="P416" s="125"/>
      <c r="Q416" s="125"/>
      <c r="R416" s="125"/>
      <c r="S416" s="125"/>
      <c r="T416" s="125"/>
      <c r="U416" s="125"/>
      <c r="V416" s="125"/>
      <c r="W416" s="125"/>
      <c r="X416" s="125"/>
      <c r="Y416" s="125"/>
      <c r="Z416" s="125"/>
      <c r="AA416" s="125"/>
      <c r="AB416" s="125"/>
      <c r="AC416" s="125"/>
      <c r="AD416" s="125"/>
      <c r="AE416" s="1"/>
      <c r="AG416" s="125"/>
      <c r="AH416" s="125"/>
      <c r="AI416" s="125"/>
      <c r="AJ416" s="125"/>
      <c r="AK416" s="125"/>
      <c r="AL416" s="125"/>
      <c r="AM416" s="125"/>
      <c r="AN416" s="125"/>
      <c r="AO416" s="125"/>
      <c r="AP416" s="125"/>
      <c r="AQ416" s="125"/>
      <c r="AR416" s="125"/>
      <c r="AS416" s="125"/>
    </row>
    <row r="417" spans="1:45" ht="15.75" customHeight="1">
      <c r="A417" s="125"/>
      <c r="B417" s="125"/>
      <c r="C417" s="125"/>
      <c r="D417" s="125"/>
      <c r="E417" s="125"/>
      <c r="F417" s="125"/>
      <c r="G417" s="125"/>
      <c r="H417" s="125"/>
      <c r="I417" s="125"/>
      <c r="J417" s="125"/>
      <c r="K417" s="125"/>
      <c r="L417" s="125"/>
      <c r="M417" s="1"/>
      <c r="N417" s="1"/>
      <c r="O417" s="125"/>
      <c r="P417" s="125"/>
      <c r="Q417" s="125"/>
      <c r="R417" s="125"/>
      <c r="S417" s="125"/>
      <c r="T417" s="125"/>
      <c r="U417" s="125"/>
      <c r="V417" s="125"/>
      <c r="W417" s="125"/>
      <c r="X417" s="125"/>
      <c r="Y417" s="125"/>
      <c r="Z417" s="125"/>
      <c r="AA417" s="125"/>
      <c r="AB417" s="125"/>
      <c r="AC417" s="125"/>
      <c r="AD417" s="125"/>
      <c r="AE417" s="1"/>
      <c r="AG417" s="125"/>
      <c r="AH417" s="125"/>
      <c r="AI417" s="125"/>
      <c r="AJ417" s="125"/>
      <c r="AK417" s="125"/>
      <c r="AL417" s="125"/>
      <c r="AM417" s="125"/>
      <c r="AN417" s="125"/>
      <c r="AO417" s="125"/>
      <c r="AP417" s="125"/>
      <c r="AQ417" s="125"/>
      <c r="AR417" s="125"/>
      <c r="AS417" s="125"/>
    </row>
    <row r="418" spans="1:45" ht="15.75" customHeight="1">
      <c r="A418" s="125"/>
      <c r="B418" s="125"/>
      <c r="C418" s="125"/>
      <c r="D418" s="125"/>
      <c r="E418" s="125"/>
      <c r="F418" s="125"/>
      <c r="G418" s="125"/>
      <c r="H418" s="125"/>
      <c r="I418" s="125"/>
      <c r="J418" s="125"/>
      <c r="K418" s="125"/>
      <c r="L418" s="125"/>
      <c r="M418" s="1"/>
      <c r="N418" s="1"/>
      <c r="O418" s="125"/>
      <c r="P418" s="125"/>
      <c r="Q418" s="125"/>
      <c r="R418" s="125"/>
      <c r="S418" s="125"/>
      <c r="T418" s="125"/>
      <c r="U418" s="125"/>
      <c r="V418" s="125"/>
      <c r="W418" s="125"/>
      <c r="X418" s="125"/>
      <c r="Y418" s="125"/>
      <c r="Z418" s="125"/>
      <c r="AA418" s="125"/>
      <c r="AB418" s="125"/>
      <c r="AC418" s="125"/>
      <c r="AD418" s="125"/>
      <c r="AE418" s="1"/>
      <c r="AG418" s="125"/>
      <c r="AH418" s="125"/>
      <c r="AI418" s="125"/>
      <c r="AJ418" s="125"/>
      <c r="AK418" s="125"/>
      <c r="AL418" s="125"/>
      <c r="AM418" s="125"/>
      <c r="AN418" s="125"/>
      <c r="AO418" s="125"/>
      <c r="AP418" s="125"/>
      <c r="AQ418" s="125"/>
      <c r="AR418" s="125"/>
      <c r="AS418" s="125"/>
    </row>
    <row r="419" spans="1:45" ht="15.75" customHeight="1">
      <c r="A419" s="125"/>
      <c r="B419" s="125"/>
      <c r="C419" s="125"/>
      <c r="D419" s="125"/>
      <c r="E419" s="125"/>
      <c r="F419" s="125"/>
      <c r="G419" s="125"/>
      <c r="H419" s="125"/>
      <c r="I419" s="125"/>
      <c r="J419" s="125"/>
      <c r="K419" s="125"/>
      <c r="L419" s="125"/>
      <c r="M419" s="1"/>
      <c r="N419" s="1"/>
      <c r="O419" s="125"/>
      <c r="P419" s="125"/>
      <c r="Q419" s="125"/>
      <c r="R419" s="125"/>
      <c r="S419" s="125"/>
      <c r="T419" s="125"/>
      <c r="U419" s="125"/>
      <c r="V419" s="125"/>
      <c r="W419" s="125"/>
      <c r="X419" s="125"/>
      <c r="Y419" s="125"/>
      <c r="Z419" s="125"/>
      <c r="AA419" s="125"/>
      <c r="AB419" s="125"/>
      <c r="AC419" s="125"/>
      <c r="AD419" s="125"/>
      <c r="AE419" s="1"/>
      <c r="AG419" s="125"/>
      <c r="AH419" s="125"/>
      <c r="AI419" s="125"/>
      <c r="AJ419" s="125"/>
      <c r="AK419" s="125"/>
      <c r="AL419" s="125"/>
      <c r="AM419" s="125"/>
      <c r="AN419" s="125"/>
      <c r="AO419" s="125"/>
      <c r="AP419" s="125"/>
      <c r="AQ419" s="125"/>
      <c r="AR419" s="125"/>
      <c r="AS419" s="125"/>
    </row>
    <row r="420" spans="1:45" ht="15.75" customHeight="1">
      <c r="A420" s="125"/>
      <c r="B420" s="125"/>
      <c r="C420" s="125"/>
      <c r="D420" s="125"/>
      <c r="E420" s="125"/>
      <c r="F420" s="125"/>
      <c r="G420" s="125"/>
      <c r="H420" s="125"/>
      <c r="I420" s="125"/>
      <c r="J420" s="125"/>
      <c r="K420" s="125"/>
      <c r="L420" s="125"/>
      <c r="M420" s="1"/>
      <c r="N420" s="1"/>
      <c r="O420" s="125"/>
      <c r="P420" s="125"/>
      <c r="Q420" s="125"/>
      <c r="R420" s="125"/>
      <c r="S420" s="125"/>
      <c r="T420" s="125"/>
      <c r="U420" s="125"/>
      <c r="V420" s="125"/>
      <c r="W420" s="125"/>
      <c r="X420" s="125"/>
      <c r="Y420" s="125"/>
      <c r="Z420" s="125"/>
      <c r="AA420" s="125"/>
      <c r="AB420" s="125"/>
      <c r="AC420" s="125"/>
      <c r="AD420" s="125"/>
      <c r="AE420" s="1"/>
      <c r="AG420" s="125"/>
      <c r="AH420" s="125"/>
      <c r="AI420" s="125"/>
      <c r="AJ420" s="125"/>
      <c r="AK420" s="125"/>
      <c r="AL420" s="125"/>
      <c r="AM420" s="125"/>
      <c r="AN420" s="125"/>
      <c r="AO420" s="125"/>
      <c r="AP420" s="125"/>
      <c r="AQ420" s="125"/>
      <c r="AR420" s="125"/>
      <c r="AS420" s="125"/>
    </row>
    <row r="421" spans="1:45" ht="15.75" customHeight="1">
      <c r="A421" s="125"/>
      <c r="B421" s="125"/>
      <c r="C421" s="125"/>
      <c r="D421" s="125"/>
      <c r="E421" s="125"/>
      <c r="F421" s="125"/>
      <c r="G421" s="125"/>
      <c r="H421" s="125"/>
      <c r="I421" s="125"/>
      <c r="J421" s="125"/>
      <c r="K421" s="125"/>
      <c r="L421" s="125"/>
      <c r="M421" s="1"/>
      <c r="N421" s="1"/>
      <c r="O421" s="125"/>
      <c r="P421" s="125"/>
      <c r="Q421" s="125"/>
      <c r="R421" s="125"/>
      <c r="S421" s="125"/>
      <c r="T421" s="125"/>
      <c r="U421" s="125"/>
      <c r="V421" s="125"/>
      <c r="W421" s="125"/>
      <c r="X421" s="125"/>
      <c r="Y421" s="125"/>
      <c r="Z421" s="125"/>
      <c r="AA421" s="125"/>
      <c r="AB421" s="125"/>
      <c r="AC421" s="125"/>
      <c r="AD421" s="125"/>
      <c r="AE421" s="1"/>
      <c r="AG421" s="125"/>
      <c r="AH421" s="125"/>
      <c r="AI421" s="125"/>
      <c r="AJ421" s="125"/>
      <c r="AK421" s="125"/>
      <c r="AL421" s="125"/>
      <c r="AM421" s="125"/>
      <c r="AN421" s="125"/>
      <c r="AO421" s="125"/>
      <c r="AP421" s="125"/>
      <c r="AQ421" s="125"/>
      <c r="AR421" s="125"/>
      <c r="AS421" s="125"/>
    </row>
    <row r="422" spans="1:45" ht="15.75" customHeight="1">
      <c r="A422" s="125"/>
      <c r="B422" s="125"/>
      <c r="C422" s="125"/>
      <c r="D422" s="125"/>
      <c r="E422" s="125"/>
      <c r="F422" s="125"/>
      <c r="G422" s="125"/>
      <c r="H422" s="125"/>
      <c r="I422" s="125"/>
      <c r="J422" s="125"/>
      <c r="K422" s="125"/>
      <c r="L422" s="125"/>
      <c r="M422" s="1"/>
      <c r="N422" s="1"/>
      <c r="O422" s="125"/>
      <c r="P422" s="125"/>
      <c r="Q422" s="125"/>
      <c r="R422" s="125"/>
      <c r="S422" s="125"/>
      <c r="T422" s="125"/>
      <c r="U422" s="125"/>
      <c r="V422" s="125"/>
      <c r="W422" s="125"/>
      <c r="X422" s="125"/>
      <c r="Y422" s="125"/>
      <c r="Z422" s="125"/>
      <c r="AA422" s="125"/>
      <c r="AB422" s="125"/>
      <c r="AC422" s="125"/>
      <c r="AD422" s="125"/>
      <c r="AE422" s="1"/>
      <c r="AG422" s="125"/>
      <c r="AH422" s="125"/>
      <c r="AI422" s="125"/>
      <c r="AJ422" s="125"/>
      <c r="AK422" s="125"/>
      <c r="AL422" s="125"/>
      <c r="AM422" s="125"/>
      <c r="AN422" s="125"/>
      <c r="AO422" s="125"/>
      <c r="AP422" s="125"/>
      <c r="AQ422" s="125"/>
      <c r="AR422" s="125"/>
      <c r="AS422" s="125"/>
    </row>
    <row r="423" spans="1:45" ht="15.75" customHeight="1">
      <c r="A423" s="125"/>
      <c r="B423" s="125"/>
      <c r="C423" s="125"/>
      <c r="D423" s="125"/>
      <c r="E423" s="125"/>
      <c r="F423" s="125"/>
      <c r="G423" s="125"/>
      <c r="H423" s="125"/>
      <c r="I423" s="125"/>
      <c r="J423" s="125"/>
      <c r="K423" s="125"/>
      <c r="L423" s="125"/>
      <c r="M423" s="1"/>
      <c r="N423" s="1"/>
      <c r="O423" s="125"/>
      <c r="P423" s="125"/>
      <c r="Q423" s="125"/>
      <c r="R423" s="125"/>
      <c r="S423" s="125"/>
      <c r="T423" s="125"/>
      <c r="U423" s="125"/>
      <c r="V423" s="125"/>
      <c r="W423" s="125"/>
      <c r="X423" s="125"/>
      <c r="Y423" s="125"/>
      <c r="Z423" s="125"/>
      <c r="AA423" s="125"/>
      <c r="AB423" s="125"/>
      <c r="AC423" s="125"/>
      <c r="AD423" s="125"/>
      <c r="AE423" s="1"/>
      <c r="AG423" s="125"/>
      <c r="AH423" s="125"/>
      <c r="AI423" s="125"/>
      <c r="AJ423" s="125"/>
      <c r="AK423" s="125"/>
      <c r="AL423" s="125"/>
      <c r="AM423" s="125"/>
      <c r="AN423" s="125"/>
      <c r="AO423" s="125"/>
      <c r="AP423" s="125"/>
      <c r="AQ423" s="125"/>
      <c r="AR423" s="125"/>
      <c r="AS423" s="125"/>
    </row>
    <row r="424" spans="1:45" ht="15.75" customHeight="1">
      <c r="A424" s="125"/>
      <c r="B424" s="125"/>
      <c r="C424" s="125"/>
      <c r="D424" s="125"/>
      <c r="E424" s="125"/>
      <c r="F424" s="125"/>
      <c r="G424" s="125"/>
      <c r="H424" s="125"/>
      <c r="I424" s="125"/>
      <c r="J424" s="125"/>
      <c r="K424" s="125"/>
      <c r="L424" s="125"/>
      <c r="M424" s="1"/>
      <c r="N424" s="1"/>
      <c r="O424" s="125"/>
      <c r="P424" s="125"/>
      <c r="Q424" s="125"/>
      <c r="R424" s="125"/>
      <c r="S424" s="125"/>
      <c r="T424" s="125"/>
      <c r="U424" s="125"/>
      <c r="V424" s="125"/>
      <c r="W424" s="125"/>
      <c r="X424" s="125"/>
      <c r="Y424" s="125"/>
      <c r="Z424" s="125"/>
      <c r="AA424" s="125"/>
      <c r="AB424" s="125"/>
      <c r="AC424" s="125"/>
      <c r="AD424" s="125"/>
      <c r="AE424" s="1"/>
      <c r="AG424" s="125"/>
      <c r="AH424" s="125"/>
      <c r="AI424" s="125"/>
      <c r="AJ424" s="125"/>
      <c r="AK424" s="125"/>
      <c r="AL424" s="125"/>
      <c r="AM424" s="125"/>
      <c r="AN424" s="125"/>
      <c r="AO424" s="125"/>
      <c r="AP424" s="125"/>
      <c r="AQ424" s="125"/>
      <c r="AR424" s="125"/>
      <c r="AS424" s="125"/>
    </row>
    <row r="425" spans="1:45" ht="15.75" customHeight="1">
      <c r="A425" s="125"/>
      <c r="B425" s="125"/>
      <c r="C425" s="125"/>
      <c r="D425" s="125"/>
      <c r="E425" s="125"/>
      <c r="F425" s="125"/>
      <c r="G425" s="125"/>
      <c r="H425" s="125"/>
      <c r="I425" s="125"/>
      <c r="J425" s="125"/>
      <c r="K425" s="125"/>
      <c r="L425" s="125"/>
      <c r="M425" s="1"/>
      <c r="N425" s="1"/>
      <c r="O425" s="125"/>
      <c r="P425" s="125"/>
      <c r="Q425" s="125"/>
      <c r="R425" s="125"/>
      <c r="S425" s="125"/>
      <c r="T425" s="125"/>
      <c r="U425" s="125"/>
      <c r="V425" s="125"/>
      <c r="W425" s="125"/>
      <c r="X425" s="125"/>
      <c r="Y425" s="125"/>
      <c r="Z425" s="125"/>
      <c r="AA425" s="125"/>
      <c r="AB425" s="125"/>
      <c r="AC425" s="125"/>
      <c r="AD425" s="125"/>
      <c r="AE425" s="1"/>
      <c r="AG425" s="125"/>
      <c r="AH425" s="125"/>
      <c r="AI425" s="125"/>
      <c r="AJ425" s="125"/>
      <c r="AK425" s="125"/>
      <c r="AL425" s="125"/>
      <c r="AM425" s="125"/>
      <c r="AN425" s="125"/>
      <c r="AO425" s="125"/>
      <c r="AP425" s="125"/>
      <c r="AQ425" s="125"/>
      <c r="AR425" s="125"/>
      <c r="AS425" s="125"/>
    </row>
    <row r="426" spans="1:45" ht="15.75" customHeight="1">
      <c r="A426" s="125"/>
      <c r="B426" s="125"/>
      <c r="C426" s="125"/>
      <c r="D426" s="125"/>
      <c r="E426" s="125"/>
      <c r="F426" s="125"/>
      <c r="G426" s="125"/>
      <c r="H426" s="125"/>
      <c r="I426" s="125"/>
      <c r="J426" s="125"/>
      <c r="K426" s="125"/>
      <c r="L426" s="125"/>
      <c r="M426" s="1"/>
      <c r="N426" s="1"/>
      <c r="O426" s="125"/>
      <c r="P426" s="125"/>
      <c r="Q426" s="125"/>
      <c r="R426" s="125"/>
      <c r="S426" s="125"/>
      <c r="T426" s="125"/>
      <c r="U426" s="125"/>
      <c r="V426" s="125"/>
      <c r="W426" s="125"/>
      <c r="X426" s="125"/>
      <c r="Y426" s="125"/>
      <c r="Z426" s="125"/>
      <c r="AA426" s="125"/>
      <c r="AB426" s="125"/>
      <c r="AC426" s="125"/>
      <c r="AD426" s="125"/>
      <c r="AE426" s="1"/>
      <c r="AG426" s="125"/>
      <c r="AH426" s="125"/>
      <c r="AI426" s="125"/>
      <c r="AJ426" s="125"/>
      <c r="AK426" s="125"/>
      <c r="AL426" s="125"/>
      <c r="AM426" s="125"/>
      <c r="AN426" s="125"/>
      <c r="AO426" s="125"/>
      <c r="AP426" s="125"/>
      <c r="AQ426" s="125"/>
      <c r="AR426" s="125"/>
      <c r="AS426" s="125"/>
    </row>
    <row r="427" spans="1:45" ht="15.75" customHeight="1">
      <c r="A427" s="125"/>
      <c r="B427" s="125"/>
      <c r="C427" s="125"/>
      <c r="D427" s="125"/>
      <c r="E427" s="125"/>
      <c r="F427" s="125"/>
      <c r="G427" s="125"/>
      <c r="H427" s="125"/>
      <c r="I427" s="125"/>
      <c r="J427" s="125"/>
      <c r="K427" s="125"/>
      <c r="L427" s="125"/>
      <c r="M427" s="1"/>
      <c r="N427" s="1"/>
      <c r="O427" s="125"/>
      <c r="P427" s="125"/>
      <c r="Q427" s="125"/>
      <c r="R427" s="125"/>
      <c r="S427" s="125"/>
      <c r="T427" s="125"/>
      <c r="U427" s="125"/>
      <c r="V427" s="125"/>
      <c r="W427" s="125"/>
      <c r="X427" s="125"/>
      <c r="Y427" s="125"/>
      <c r="Z427" s="125"/>
      <c r="AA427" s="125"/>
      <c r="AB427" s="125"/>
      <c r="AC427" s="125"/>
      <c r="AD427" s="125"/>
      <c r="AE427" s="1"/>
      <c r="AG427" s="125"/>
      <c r="AH427" s="125"/>
      <c r="AI427" s="125"/>
      <c r="AJ427" s="125"/>
      <c r="AK427" s="125"/>
      <c r="AL427" s="125"/>
      <c r="AM427" s="125"/>
      <c r="AN427" s="125"/>
      <c r="AO427" s="125"/>
      <c r="AP427" s="125"/>
      <c r="AQ427" s="125"/>
      <c r="AR427" s="125"/>
      <c r="AS427" s="125"/>
    </row>
    <row r="428" spans="1:45" ht="15.75" customHeight="1">
      <c r="A428" s="125"/>
      <c r="B428" s="125"/>
      <c r="C428" s="125"/>
      <c r="D428" s="125"/>
      <c r="E428" s="125"/>
      <c r="F428" s="125"/>
      <c r="G428" s="125"/>
      <c r="H428" s="125"/>
      <c r="I428" s="125"/>
      <c r="J428" s="125"/>
      <c r="K428" s="125"/>
      <c r="L428" s="125"/>
      <c r="M428" s="1"/>
      <c r="N428" s="1"/>
      <c r="O428" s="125"/>
      <c r="P428" s="125"/>
      <c r="Q428" s="125"/>
      <c r="R428" s="125"/>
      <c r="S428" s="125"/>
      <c r="T428" s="125"/>
      <c r="U428" s="125"/>
      <c r="V428" s="125"/>
      <c r="W428" s="125"/>
      <c r="X428" s="125"/>
      <c r="Y428" s="125"/>
      <c r="Z428" s="125"/>
      <c r="AA428" s="125"/>
      <c r="AB428" s="125"/>
      <c r="AC428" s="125"/>
      <c r="AD428" s="125"/>
      <c r="AE428" s="1"/>
      <c r="AG428" s="125"/>
      <c r="AH428" s="125"/>
      <c r="AI428" s="125"/>
      <c r="AJ428" s="125"/>
      <c r="AK428" s="125"/>
      <c r="AL428" s="125"/>
      <c r="AM428" s="125"/>
      <c r="AN428" s="125"/>
      <c r="AO428" s="125"/>
      <c r="AP428" s="125"/>
      <c r="AQ428" s="125"/>
      <c r="AR428" s="125"/>
      <c r="AS428" s="125"/>
    </row>
    <row r="429" spans="1:45" ht="15.75" customHeight="1">
      <c r="A429" s="125"/>
      <c r="B429" s="125"/>
      <c r="C429" s="125"/>
      <c r="D429" s="125"/>
      <c r="E429" s="125"/>
      <c r="F429" s="125"/>
      <c r="G429" s="125"/>
      <c r="H429" s="125"/>
      <c r="I429" s="125"/>
      <c r="J429" s="125"/>
      <c r="K429" s="125"/>
      <c r="L429" s="125"/>
      <c r="M429" s="1"/>
      <c r="N429" s="1"/>
      <c r="O429" s="125"/>
      <c r="P429" s="125"/>
      <c r="Q429" s="125"/>
      <c r="R429" s="125"/>
      <c r="S429" s="125"/>
      <c r="T429" s="125"/>
      <c r="U429" s="125"/>
      <c r="V429" s="125"/>
      <c r="W429" s="125"/>
      <c r="X429" s="125"/>
      <c r="Y429" s="125"/>
      <c r="Z429" s="125"/>
      <c r="AA429" s="125"/>
      <c r="AB429" s="125"/>
      <c r="AC429" s="125"/>
      <c r="AD429" s="125"/>
      <c r="AE429" s="1"/>
      <c r="AG429" s="125"/>
      <c r="AH429" s="125"/>
      <c r="AI429" s="125"/>
      <c r="AJ429" s="125"/>
      <c r="AK429" s="125"/>
      <c r="AL429" s="125"/>
      <c r="AM429" s="125"/>
      <c r="AN429" s="125"/>
      <c r="AO429" s="125"/>
      <c r="AP429" s="125"/>
      <c r="AQ429" s="125"/>
      <c r="AR429" s="125"/>
      <c r="AS429" s="125"/>
    </row>
    <row r="430" spans="1:45" ht="15.75" customHeight="1">
      <c r="A430" s="125"/>
      <c r="B430" s="125"/>
      <c r="C430" s="125"/>
      <c r="D430" s="125"/>
      <c r="E430" s="125"/>
      <c r="F430" s="125"/>
      <c r="G430" s="125"/>
      <c r="H430" s="125"/>
      <c r="I430" s="125"/>
      <c r="J430" s="125"/>
      <c r="K430" s="125"/>
      <c r="L430" s="125"/>
      <c r="M430" s="1"/>
      <c r="N430" s="1"/>
      <c r="O430" s="125"/>
      <c r="P430" s="125"/>
      <c r="Q430" s="125"/>
      <c r="R430" s="125"/>
      <c r="S430" s="125"/>
      <c r="T430" s="125"/>
      <c r="U430" s="125"/>
      <c r="V430" s="125"/>
      <c r="W430" s="125"/>
      <c r="X430" s="125"/>
      <c r="Y430" s="125"/>
      <c r="Z430" s="125"/>
      <c r="AA430" s="125"/>
      <c r="AB430" s="125"/>
      <c r="AC430" s="125"/>
      <c r="AD430" s="125"/>
      <c r="AE430" s="1"/>
      <c r="AG430" s="125"/>
      <c r="AH430" s="125"/>
      <c r="AI430" s="125"/>
      <c r="AJ430" s="125"/>
      <c r="AK430" s="125"/>
      <c r="AL430" s="125"/>
      <c r="AM430" s="125"/>
      <c r="AN430" s="125"/>
      <c r="AO430" s="125"/>
      <c r="AP430" s="125"/>
      <c r="AQ430" s="125"/>
      <c r="AR430" s="125"/>
      <c r="AS430" s="125"/>
    </row>
    <row r="431" spans="1:45" ht="15.75" customHeight="1">
      <c r="A431" s="125"/>
      <c r="B431" s="125"/>
      <c r="C431" s="125"/>
      <c r="D431" s="125"/>
      <c r="E431" s="125"/>
      <c r="F431" s="125"/>
      <c r="G431" s="125"/>
      <c r="H431" s="125"/>
      <c r="I431" s="125"/>
      <c r="J431" s="125"/>
      <c r="K431" s="125"/>
      <c r="L431" s="125"/>
      <c r="M431" s="1"/>
      <c r="N431" s="1"/>
      <c r="O431" s="125"/>
      <c r="P431" s="125"/>
      <c r="Q431" s="125"/>
      <c r="R431" s="125"/>
      <c r="S431" s="125"/>
      <c r="T431" s="125"/>
      <c r="U431" s="125"/>
      <c r="V431" s="125"/>
      <c r="W431" s="125"/>
      <c r="X431" s="125"/>
      <c r="Y431" s="125"/>
      <c r="Z431" s="125"/>
      <c r="AA431" s="125"/>
      <c r="AB431" s="125"/>
      <c r="AC431" s="125"/>
      <c r="AD431" s="125"/>
      <c r="AE431" s="1"/>
      <c r="AG431" s="125"/>
      <c r="AH431" s="125"/>
      <c r="AI431" s="125"/>
      <c r="AJ431" s="125"/>
      <c r="AK431" s="125"/>
      <c r="AL431" s="125"/>
      <c r="AM431" s="125"/>
      <c r="AN431" s="125"/>
      <c r="AO431" s="125"/>
      <c r="AP431" s="125"/>
      <c r="AQ431" s="125"/>
      <c r="AR431" s="125"/>
      <c r="AS431" s="125"/>
    </row>
    <row r="432" spans="1:45" ht="15.75" customHeight="1">
      <c r="A432" s="125"/>
      <c r="B432" s="125"/>
      <c r="C432" s="125"/>
      <c r="D432" s="125"/>
      <c r="E432" s="125"/>
      <c r="F432" s="125"/>
      <c r="G432" s="125"/>
      <c r="H432" s="125"/>
      <c r="I432" s="125"/>
      <c r="J432" s="125"/>
      <c r="K432" s="125"/>
      <c r="L432" s="125"/>
      <c r="M432" s="1"/>
      <c r="N432" s="1"/>
      <c r="O432" s="125"/>
      <c r="P432" s="125"/>
      <c r="Q432" s="125"/>
      <c r="R432" s="125"/>
      <c r="S432" s="125"/>
      <c r="T432" s="125"/>
      <c r="U432" s="125"/>
      <c r="V432" s="125"/>
      <c r="W432" s="125"/>
      <c r="X432" s="125"/>
      <c r="Y432" s="125"/>
      <c r="Z432" s="125"/>
      <c r="AA432" s="125"/>
      <c r="AB432" s="125"/>
      <c r="AC432" s="125"/>
      <c r="AD432" s="125"/>
      <c r="AE432" s="1"/>
      <c r="AG432" s="125"/>
      <c r="AH432" s="125"/>
      <c r="AI432" s="125"/>
      <c r="AJ432" s="125"/>
      <c r="AK432" s="125"/>
      <c r="AL432" s="125"/>
      <c r="AM432" s="125"/>
      <c r="AN432" s="125"/>
      <c r="AO432" s="125"/>
      <c r="AP432" s="125"/>
      <c r="AQ432" s="125"/>
      <c r="AR432" s="125"/>
      <c r="AS432" s="125"/>
    </row>
    <row r="433" spans="1:31" ht="15.75" customHeight="1">
      <c r="A433" s="125"/>
      <c r="B433" s="125"/>
      <c r="C433" s="125"/>
      <c r="D433" s="125"/>
      <c r="E433" s="125"/>
      <c r="F433" s="125"/>
      <c r="G433" s="125"/>
      <c r="H433" s="125"/>
      <c r="I433" s="125"/>
      <c r="J433" s="125"/>
      <c r="K433" s="125"/>
      <c r="L433" s="125"/>
      <c r="M433" s="1"/>
      <c r="N433" s="1"/>
      <c r="O433" s="125"/>
      <c r="P433" s="125"/>
      <c r="Q433" s="125"/>
      <c r="R433" s="125"/>
      <c r="S433" s="125"/>
      <c r="T433" s="125"/>
      <c r="U433" s="125"/>
      <c r="V433" s="125"/>
      <c r="W433" s="125"/>
      <c r="X433" s="125"/>
      <c r="Y433" s="125"/>
      <c r="Z433" s="125"/>
      <c r="AA433" s="125"/>
      <c r="AB433" s="125"/>
      <c r="AC433" s="125"/>
      <c r="AD433" s="125"/>
      <c r="AE433" s="1"/>
    </row>
    <row r="434" spans="1:31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ht="20.25" customHeight="1" thickBot="1">
      <c r="A440" s="133" t="s">
        <v>16</v>
      </c>
      <c r="B440" s="133"/>
      <c r="C440" s="133"/>
      <c r="D440" s="133"/>
      <c r="E440" s="133"/>
      <c r="F440" s="4"/>
      <c r="G440" s="5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1"/>
      <c r="Z440" s="1"/>
      <c r="AA440" s="1"/>
      <c r="AB440" s="1"/>
      <c r="AC440" s="1"/>
      <c r="AD440" s="1"/>
      <c r="AE440" s="1"/>
    </row>
    <row r="441" spans="1:31" ht="14.25" customHeight="1">
      <c r="A441" s="23"/>
      <c r="B441" s="22"/>
      <c r="C441" s="22"/>
      <c r="D441" s="22"/>
      <c r="E441" s="2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ht="15.75" customHeight="1">
      <c r="A442" s="140" t="s">
        <v>55</v>
      </c>
      <c r="B442" s="140"/>
      <c r="C442" s="140"/>
      <c r="D442" s="140"/>
      <c r="E442" s="140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ht="15.75" customHeight="1">
      <c r="A443" s="137" t="s">
        <v>52</v>
      </c>
      <c r="B443" s="137"/>
      <c r="C443" s="137"/>
      <c r="D443" s="137"/>
      <c r="E443" s="137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ht="15.75" customHeight="1">
      <c r="A445" s="25"/>
      <c r="B445" s="25"/>
      <c r="C445" s="25"/>
      <c r="D445" s="141" t="s">
        <v>96</v>
      </c>
      <c r="E445" s="14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31" ht="15.75" customHeight="1">
      <c r="A446" s="132" t="s">
        <v>95</v>
      </c>
      <c r="B446" s="132"/>
      <c r="C446" s="132"/>
      <c r="D446" s="144" t="s">
        <v>97</v>
      </c>
      <c r="E446" s="145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31" ht="15.75" customHeight="1">
      <c r="A447" s="132" t="s">
        <v>98</v>
      </c>
      <c r="B447" s="132"/>
      <c r="C447" s="132"/>
      <c r="D447" s="38"/>
      <c r="E447" s="39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31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ht="15.75" customHeight="1">
      <c r="A450" s="125"/>
      <c r="B450" s="125"/>
      <c r="C450" s="125"/>
      <c r="D450" s="125"/>
      <c r="E450" s="125"/>
      <c r="F450" s="125"/>
      <c r="G450" s="125"/>
      <c r="H450" s="125"/>
      <c r="I450" s="125"/>
      <c r="J450" s="125"/>
      <c r="K450" s="125"/>
      <c r="L450" s="125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ht="15.75" customHeight="1">
      <c r="A451" s="125"/>
      <c r="B451" s="125"/>
      <c r="C451" s="125"/>
      <c r="D451" s="125"/>
      <c r="E451" s="125"/>
      <c r="F451" s="125"/>
      <c r="G451" s="125"/>
      <c r="H451" s="125"/>
      <c r="I451" s="125"/>
      <c r="J451" s="125"/>
      <c r="K451" s="125"/>
      <c r="L451" s="125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 ht="15.75" customHeight="1">
      <c r="A452" s="125"/>
      <c r="B452" s="125"/>
      <c r="C452" s="125"/>
      <c r="D452" s="125"/>
      <c r="E452" s="125"/>
      <c r="F452" s="125"/>
      <c r="G452" s="125"/>
      <c r="H452" s="125"/>
      <c r="I452" s="125"/>
      <c r="J452" s="125"/>
      <c r="K452" s="125"/>
      <c r="L452" s="125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ht="15.75" customHeight="1">
      <c r="A453" s="125"/>
      <c r="B453" s="125"/>
      <c r="C453" s="125"/>
      <c r="D453" s="125"/>
      <c r="E453" s="125"/>
      <c r="F453" s="125"/>
      <c r="G453" s="125"/>
      <c r="H453" s="125"/>
      <c r="I453" s="125"/>
      <c r="J453" s="125"/>
      <c r="K453" s="125"/>
      <c r="L453" s="125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ht="15.75" customHeight="1">
      <c r="A454" s="125"/>
      <c r="B454" s="125"/>
      <c r="C454" s="125"/>
      <c r="D454" s="125"/>
      <c r="E454" s="125"/>
      <c r="F454" s="125"/>
      <c r="G454" s="125"/>
      <c r="H454" s="125"/>
      <c r="I454" s="125"/>
      <c r="J454" s="125"/>
      <c r="K454" s="125"/>
      <c r="L454" s="125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 ht="15.75" customHeight="1">
      <c r="A455" s="125"/>
      <c r="B455" s="125"/>
      <c r="C455" s="125"/>
      <c r="D455" s="125"/>
      <c r="E455" s="125"/>
      <c r="F455" s="125"/>
      <c r="G455" s="125"/>
      <c r="H455" s="125"/>
      <c r="I455" s="125"/>
      <c r="J455" s="125"/>
      <c r="K455" s="125"/>
      <c r="L455" s="125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 ht="15.75" customHeight="1">
      <c r="A456" s="125"/>
      <c r="B456" s="125"/>
      <c r="C456" s="125"/>
      <c r="D456" s="125"/>
      <c r="E456" s="125"/>
      <c r="F456" s="125"/>
      <c r="G456" s="125"/>
      <c r="H456" s="125"/>
      <c r="I456" s="125"/>
      <c r="J456" s="125"/>
      <c r="K456" s="125"/>
      <c r="L456" s="125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1:31" ht="15.75" customHeight="1">
      <c r="A457" s="125"/>
      <c r="B457" s="125"/>
      <c r="C457" s="125"/>
      <c r="D457" s="125"/>
      <c r="E457" s="125"/>
      <c r="F457" s="125"/>
      <c r="G457" s="125"/>
      <c r="H457" s="125"/>
      <c r="I457" s="125"/>
      <c r="J457" s="125"/>
      <c r="K457" s="125"/>
      <c r="L457" s="125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1:31" ht="15.75" customHeight="1">
      <c r="A458" s="125"/>
      <c r="B458" s="125"/>
      <c r="C458" s="125"/>
      <c r="D458" s="125"/>
      <c r="E458" s="125"/>
      <c r="F458" s="125"/>
      <c r="G458" s="125"/>
      <c r="H458" s="125"/>
      <c r="I458" s="125"/>
      <c r="J458" s="125"/>
      <c r="K458" s="125"/>
      <c r="L458" s="125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1:31" ht="15.75" customHeight="1">
      <c r="A459" s="125"/>
      <c r="B459" s="125"/>
      <c r="C459" s="125"/>
      <c r="D459" s="125"/>
      <c r="E459" s="125"/>
      <c r="F459" s="125"/>
      <c r="G459" s="125"/>
      <c r="H459" s="125"/>
      <c r="I459" s="125"/>
      <c r="J459" s="125"/>
      <c r="K459" s="125"/>
      <c r="L459" s="125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 ht="15.75" customHeight="1">
      <c r="A460" s="125"/>
      <c r="B460" s="125"/>
      <c r="C460" s="125"/>
      <c r="D460" s="125"/>
      <c r="E460" s="125"/>
      <c r="F460" s="125"/>
      <c r="G460" s="125"/>
      <c r="H460" s="125"/>
      <c r="I460" s="125"/>
      <c r="J460" s="125"/>
      <c r="K460" s="125"/>
      <c r="L460" s="125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 ht="15.75" customHeight="1">
      <c r="A461" s="125"/>
      <c r="B461" s="125"/>
      <c r="C461" s="125"/>
      <c r="D461" s="125"/>
      <c r="E461" s="125"/>
      <c r="F461" s="125"/>
      <c r="G461" s="125"/>
      <c r="H461" s="125"/>
      <c r="I461" s="125"/>
      <c r="J461" s="125"/>
      <c r="K461" s="125"/>
      <c r="L461" s="125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 ht="15.75" customHeight="1">
      <c r="A462" s="125"/>
      <c r="B462" s="125"/>
      <c r="C462" s="125"/>
      <c r="D462" s="125"/>
      <c r="E462" s="125"/>
      <c r="F462" s="125"/>
      <c r="G462" s="125"/>
      <c r="H462" s="125"/>
      <c r="I462" s="125"/>
      <c r="J462" s="125"/>
      <c r="K462" s="125"/>
      <c r="L462" s="125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 ht="15.75" customHeight="1">
      <c r="A463" s="125"/>
      <c r="B463" s="125"/>
      <c r="C463" s="125"/>
      <c r="D463" s="125"/>
      <c r="E463" s="125"/>
      <c r="F463" s="125"/>
      <c r="G463" s="125"/>
      <c r="H463" s="125"/>
      <c r="I463" s="125"/>
      <c r="J463" s="125"/>
      <c r="K463" s="125"/>
      <c r="L463" s="125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 ht="15.75" customHeight="1">
      <c r="A464" s="125"/>
      <c r="B464" s="125"/>
      <c r="C464" s="125"/>
      <c r="D464" s="125"/>
      <c r="E464" s="125"/>
      <c r="F464" s="125"/>
      <c r="G464" s="125"/>
      <c r="H464" s="125"/>
      <c r="I464" s="125"/>
      <c r="J464" s="125"/>
      <c r="K464" s="125"/>
      <c r="L464" s="125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 ht="15.75" customHeight="1">
      <c r="A465" s="125"/>
      <c r="B465" s="125"/>
      <c r="C465" s="125"/>
      <c r="D465" s="125"/>
      <c r="E465" s="125"/>
      <c r="F465" s="125"/>
      <c r="G465" s="125"/>
      <c r="H465" s="125"/>
      <c r="I465" s="125"/>
      <c r="J465" s="125"/>
      <c r="K465" s="125"/>
      <c r="L465" s="125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 ht="15.75" customHeight="1">
      <c r="A466" s="125"/>
      <c r="B466" s="125"/>
      <c r="C466" s="125"/>
      <c r="D466" s="125"/>
      <c r="E466" s="125"/>
      <c r="F466" s="125"/>
      <c r="G466" s="125"/>
      <c r="H466" s="125"/>
      <c r="I466" s="125"/>
      <c r="J466" s="125"/>
      <c r="K466" s="125"/>
      <c r="L466" s="125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 ht="15.75" customHeight="1">
      <c r="A467" s="125"/>
      <c r="B467" s="125"/>
      <c r="C467" s="125"/>
      <c r="D467" s="125"/>
      <c r="E467" s="125"/>
      <c r="F467" s="125"/>
      <c r="G467" s="125"/>
      <c r="H467" s="125"/>
      <c r="I467" s="125"/>
      <c r="J467" s="125"/>
      <c r="K467" s="125"/>
      <c r="L467" s="125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 ht="15.75" customHeight="1">
      <c r="A468" s="125"/>
      <c r="B468" s="125"/>
      <c r="C468" s="125"/>
      <c r="D468" s="125"/>
      <c r="E468" s="125"/>
      <c r="F468" s="125"/>
      <c r="G468" s="125"/>
      <c r="H468" s="125"/>
      <c r="I468" s="125"/>
      <c r="J468" s="125"/>
      <c r="K468" s="125"/>
      <c r="L468" s="125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 ht="15.75" customHeight="1">
      <c r="A469" s="125"/>
      <c r="B469" s="125"/>
      <c r="C469" s="125"/>
      <c r="D469" s="125"/>
      <c r="E469" s="125"/>
      <c r="F469" s="125"/>
      <c r="G469" s="125"/>
      <c r="H469" s="125"/>
      <c r="I469" s="125"/>
      <c r="J469" s="125"/>
      <c r="K469" s="125"/>
      <c r="L469" s="125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 ht="15.75" customHeight="1">
      <c r="A470" s="125"/>
      <c r="B470" s="125"/>
      <c r="C470" s="125"/>
      <c r="D470" s="125"/>
      <c r="E470" s="125"/>
      <c r="F470" s="125"/>
      <c r="G470" s="125"/>
      <c r="H470" s="125"/>
      <c r="I470" s="125"/>
      <c r="J470" s="125"/>
      <c r="K470" s="125"/>
      <c r="L470" s="125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 ht="15.75" customHeight="1">
      <c r="A471" s="125"/>
      <c r="B471" s="125"/>
      <c r="C471" s="125"/>
      <c r="D471" s="125"/>
      <c r="E471" s="125"/>
      <c r="F471" s="125"/>
      <c r="G471" s="125"/>
      <c r="H471" s="125"/>
      <c r="I471" s="125"/>
      <c r="J471" s="125"/>
      <c r="K471" s="125"/>
      <c r="L471" s="125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 ht="15.75" customHeight="1">
      <c r="A472" s="125"/>
      <c r="B472" s="125"/>
      <c r="C472" s="125"/>
      <c r="D472" s="125"/>
      <c r="E472" s="125"/>
      <c r="F472" s="125"/>
      <c r="G472" s="125"/>
      <c r="H472" s="125"/>
      <c r="I472" s="125"/>
      <c r="J472" s="125"/>
      <c r="K472" s="125"/>
      <c r="L472" s="125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 ht="15.75" customHeight="1">
      <c r="A473" s="125"/>
      <c r="B473" s="125"/>
      <c r="C473" s="125"/>
      <c r="D473" s="125"/>
      <c r="E473" s="125"/>
      <c r="F473" s="125"/>
      <c r="G473" s="125"/>
      <c r="H473" s="125"/>
      <c r="I473" s="125"/>
      <c r="J473" s="125"/>
      <c r="K473" s="125"/>
      <c r="L473" s="125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 ht="15.75" customHeight="1">
      <c r="A474" s="125"/>
      <c r="B474" s="125"/>
      <c r="C474" s="125"/>
      <c r="D474" s="125"/>
      <c r="E474" s="125"/>
      <c r="F474" s="125"/>
      <c r="G474" s="125"/>
      <c r="H474" s="125"/>
      <c r="I474" s="125"/>
      <c r="J474" s="125"/>
      <c r="K474" s="125"/>
      <c r="L474" s="125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 ht="15.75" customHeight="1">
      <c r="A475" s="125"/>
      <c r="B475" s="125"/>
      <c r="C475" s="125"/>
      <c r="D475" s="125"/>
      <c r="E475" s="125"/>
      <c r="F475" s="125"/>
      <c r="G475" s="125"/>
      <c r="H475" s="125"/>
      <c r="I475" s="125"/>
      <c r="J475" s="125"/>
      <c r="K475" s="125"/>
      <c r="L475" s="125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 ht="15.75" customHeight="1">
      <c r="A476" s="125"/>
      <c r="B476" s="125"/>
      <c r="C476" s="125"/>
      <c r="D476" s="125"/>
      <c r="E476" s="125"/>
      <c r="F476" s="125"/>
      <c r="G476" s="125"/>
      <c r="H476" s="125"/>
      <c r="I476" s="125"/>
      <c r="J476" s="125"/>
      <c r="K476" s="125"/>
      <c r="L476" s="125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 ht="15.75" customHeight="1">
      <c r="A477" s="125"/>
      <c r="B477" s="125"/>
      <c r="C477" s="125"/>
      <c r="D477" s="125"/>
      <c r="E477" s="125"/>
      <c r="F477" s="125"/>
      <c r="G477" s="125"/>
      <c r="H477" s="125"/>
      <c r="I477" s="125"/>
      <c r="J477" s="125"/>
      <c r="K477" s="125"/>
      <c r="L477" s="125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 ht="15.75" customHeight="1">
      <c r="A478" s="125"/>
      <c r="B478" s="125"/>
      <c r="C478" s="125"/>
      <c r="D478" s="125"/>
      <c r="E478" s="125"/>
      <c r="F478" s="125"/>
      <c r="G478" s="125"/>
      <c r="H478" s="125"/>
      <c r="I478" s="125"/>
      <c r="J478" s="125"/>
      <c r="K478" s="125"/>
      <c r="L478" s="125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 ht="15.75" customHeight="1">
      <c r="A479" s="125"/>
      <c r="B479" s="125"/>
      <c r="C479" s="125"/>
      <c r="D479" s="125"/>
      <c r="E479" s="125"/>
      <c r="F479" s="125"/>
      <c r="G479" s="125"/>
      <c r="H479" s="125"/>
      <c r="I479" s="125"/>
      <c r="J479" s="125"/>
      <c r="K479" s="125"/>
      <c r="L479" s="125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 ht="15.75" customHeight="1">
      <c r="A480" s="125"/>
      <c r="B480" s="125"/>
      <c r="C480" s="125"/>
      <c r="D480" s="125"/>
      <c r="E480" s="125"/>
      <c r="F480" s="125"/>
      <c r="G480" s="125"/>
      <c r="H480" s="125"/>
      <c r="I480" s="125"/>
      <c r="J480" s="125"/>
      <c r="K480" s="125"/>
      <c r="L480" s="125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ht="20.25" customHeight="1" thickBot="1">
      <c r="A486" s="133" t="s">
        <v>17</v>
      </c>
      <c r="B486" s="133"/>
      <c r="C486" s="133"/>
      <c r="D486" s="133"/>
      <c r="E486" s="133"/>
      <c r="F486" s="4"/>
      <c r="G486" s="5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1"/>
      <c r="Z486" s="1"/>
      <c r="AA486" s="1"/>
      <c r="AB486" s="1"/>
      <c r="AC486" s="1"/>
      <c r="AD486" s="1"/>
      <c r="AE486" s="1"/>
    </row>
    <row r="487" spans="1:31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ht="15.75" customHeight="1">
      <c r="A488" s="134" t="s">
        <v>51</v>
      </c>
      <c r="B488" s="134"/>
      <c r="C488" s="134"/>
      <c r="D488" s="21"/>
      <c r="E488" s="2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ht="15.75" customHeight="1">
      <c r="A489" s="138" t="s">
        <v>56</v>
      </c>
      <c r="B489" s="138"/>
      <c r="C489" s="138"/>
      <c r="D489" s="21"/>
      <c r="E489" s="2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 ht="15.75" customHeight="1">
      <c r="A490" s="139" t="s">
        <v>57</v>
      </c>
      <c r="B490" s="139"/>
      <c r="C490" s="139"/>
      <c r="D490" s="21"/>
      <c r="E490" s="2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 ht="15.75" customHeight="1">
      <c r="A491" s="135" t="s">
        <v>58</v>
      </c>
      <c r="B491" s="135"/>
      <c r="C491" s="135"/>
      <c r="D491" s="21"/>
      <c r="E491" s="2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 ht="15.75" customHeight="1">
      <c r="A493" s="132" t="s">
        <v>105</v>
      </c>
      <c r="B493" s="132"/>
      <c r="C493" s="132"/>
      <c r="D493" s="35" t="s">
        <v>100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 ht="15.75" customHeight="1">
      <c r="A494" s="132" t="s">
        <v>102</v>
      </c>
      <c r="B494" s="132"/>
      <c r="C494" s="132"/>
      <c r="D494" s="37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 ht="15.75" customHeight="1">
      <c r="A495" s="132" t="s">
        <v>103</v>
      </c>
      <c r="B495" s="132"/>
      <c r="C495" s="132"/>
      <c r="D495" s="37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 ht="15.75" customHeight="1">
      <c r="A496" s="132" t="s">
        <v>42</v>
      </c>
      <c r="B496" s="132"/>
      <c r="C496" s="132"/>
      <c r="D496" s="37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 ht="15.75" customHeight="1">
      <c r="A497" s="132" t="s">
        <v>104</v>
      </c>
      <c r="B497" s="132"/>
      <c r="C497" s="132"/>
      <c r="D497" s="37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1:31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 ht="15.75" customHeight="1">
      <c r="A499" s="131" t="s">
        <v>41</v>
      </c>
      <c r="B499" s="131"/>
      <c r="C499" s="131"/>
      <c r="D499" s="24"/>
      <c r="E499" s="24"/>
      <c r="F499" s="24"/>
      <c r="G499" s="24"/>
      <c r="H499" s="24"/>
      <c r="I499" s="24"/>
      <c r="K499" s="21"/>
      <c r="L499" s="21"/>
      <c r="M499" s="1"/>
      <c r="N499" s="1"/>
      <c r="O499" s="131" t="s">
        <v>59</v>
      </c>
      <c r="P499" s="131"/>
      <c r="Q499" s="131"/>
      <c r="R499" s="13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 ht="15.75" customHeight="1">
      <c r="A501" s="125"/>
      <c r="B501" s="125"/>
      <c r="C501" s="125"/>
      <c r="D501" s="125"/>
      <c r="E501" s="125"/>
      <c r="F501" s="125"/>
      <c r="G501" s="125"/>
      <c r="H501" s="125"/>
      <c r="I501" s="125"/>
      <c r="J501" s="125"/>
      <c r="K501" s="125"/>
      <c r="L501" s="125"/>
      <c r="M501" s="1"/>
      <c r="N501" s="1"/>
      <c r="O501" s="125"/>
      <c r="P501" s="125"/>
      <c r="Q501" s="125"/>
      <c r="R501" s="125"/>
      <c r="S501" s="125"/>
      <c r="T501" s="125"/>
      <c r="U501" s="125"/>
      <c r="V501" s="125"/>
      <c r="W501" s="125"/>
      <c r="X501" s="125"/>
      <c r="Y501" s="125"/>
      <c r="Z501" s="125"/>
      <c r="AA501" s="125"/>
      <c r="AB501" s="125"/>
      <c r="AC501" s="125"/>
      <c r="AD501" s="125"/>
      <c r="AE501" s="1"/>
    </row>
    <row r="502" spans="1:31" ht="15.75" customHeight="1">
      <c r="A502" s="125"/>
      <c r="B502" s="125"/>
      <c r="C502" s="125"/>
      <c r="D502" s="125"/>
      <c r="E502" s="125"/>
      <c r="F502" s="125"/>
      <c r="G502" s="125"/>
      <c r="H502" s="125"/>
      <c r="I502" s="125"/>
      <c r="J502" s="125"/>
      <c r="K502" s="125"/>
      <c r="L502" s="125"/>
      <c r="M502" s="1"/>
      <c r="N502" s="1"/>
      <c r="O502" s="125"/>
      <c r="P502" s="125"/>
      <c r="Q502" s="125"/>
      <c r="R502" s="125"/>
      <c r="S502" s="125"/>
      <c r="T502" s="125"/>
      <c r="U502" s="125"/>
      <c r="V502" s="125"/>
      <c r="W502" s="125"/>
      <c r="X502" s="125"/>
      <c r="Y502" s="125"/>
      <c r="Z502" s="125"/>
      <c r="AA502" s="125"/>
      <c r="AB502" s="125"/>
      <c r="AC502" s="125"/>
      <c r="AD502" s="125"/>
      <c r="AE502" s="1"/>
    </row>
    <row r="503" spans="1:31" ht="15.75" customHeight="1">
      <c r="A503" s="125"/>
      <c r="B503" s="125"/>
      <c r="C503" s="125"/>
      <c r="D503" s="125"/>
      <c r="E503" s="125"/>
      <c r="F503" s="125"/>
      <c r="G503" s="125"/>
      <c r="H503" s="125"/>
      <c r="I503" s="125"/>
      <c r="J503" s="125"/>
      <c r="K503" s="125"/>
      <c r="L503" s="125"/>
      <c r="M503" s="1"/>
      <c r="N503" s="1"/>
      <c r="O503" s="125"/>
      <c r="P503" s="125"/>
      <c r="Q503" s="125"/>
      <c r="R503" s="125"/>
      <c r="S503" s="125"/>
      <c r="T503" s="125"/>
      <c r="U503" s="125"/>
      <c r="V503" s="125"/>
      <c r="W503" s="125"/>
      <c r="X503" s="125"/>
      <c r="Y503" s="125"/>
      <c r="Z503" s="125"/>
      <c r="AA503" s="125"/>
      <c r="AB503" s="125"/>
      <c r="AC503" s="125"/>
      <c r="AD503" s="125"/>
      <c r="AE503" s="1"/>
    </row>
    <row r="504" spans="1:31" ht="15.75" customHeight="1">
      <c r="A504" s="125"/>
      <c r="B504" s="125"/>
      <c r="C504" s="125"/>
      <c r="D504" s="125"/>
      <c r="E504" s="125"/>
      <c r="F504" s="125"/>
      <c r="G504" s="125"/>
      <c r="H504" s="125"/>
      <c r="I504" s="125"/>
      <c r="J504" s="125"/>
      <c r="K504" s="125"/>
      <c r="L504" s="125"/>
      <c r="M504" s="1"/>
      <c r="N504" s="1"/>
      <c r="O504" s="125"/>
      <c r="P504" s="125"/>
      <c r="Q504" s="125"/>
      <c r="R504" s="125"/>
      <c r="S504" s="125"/>
      <c r="T504" s="125"/>
      <c r="U504" s="125"/>
      <c r="V504" s="125"/>
      <c r="W504" s="125"/>
      <c r="X504" s="125"/>
      <c r="Y504" s="125"/>
      <c r="Z504" s="125"/>
      <c r="AA504" s="125"/>
      <c r="AB504" s="125"/>
      <c r="AC504" s="125"/>
      <c r="AD504" s="125"/>
      <c r="AE504" s="1"/>
    </row>
    <row r="505" spans="1:31" ht="15.75" customHeight="1">
      <c r="A505" s="125"/>
      <c r="B505" s="125"/>
      <c r="C505" s="125"/>
      <c r="D505" s="125"/>
      <c r="E505" s="125"/>
      <c r="F505" s="125"/>
      <c r="G505" s="125"/>
      <c r="H505" s="125"/>
      <c r="I505" s="125"/>
      <c r="J505" s="125"/>
      <c r="K505" s="125"/>
      <c r="L505" s="125"/>
      <c r="M505" s="1"/>
      <c r="N505" s="1"/>
      <c r="O505" s="125"/>
      <c r="P505" s="125"/>
      <c r="Q505" s="125"/>
      <c r="R505" s="125"/>
      <c r="S505" s="125"/>
      <c r="T505" s="125"/>
      <c r="U505" s="125"/>
      <c r="V505" s="125"/>
      <c r="W505" s="125"/>
      <c r="X505" s="125"/>
      <c r="Y505" s="125"/>
      <c r="Z505" s="125"/>
      <c r="AA505" s="125"/>
      <c r="AB505" s="125"/>
      <c r="AC505" s="125"/>
      <c r="AD505" s="125"/>
      <c r="AE505" s="1"/>
    </row>
    <row r="506" spans="1:31" ht="15.75" customHeight="1">
      <c r="A506" s="125"/>
      <c r="B506" s="125"/>
      <c r="C506" s="125"/>
      <c r="D506" s="125"/>
      <c r="E506" s="125"/>
      <c r="F506" s="125"/>
      <c r="G506" s="125"/>
      <c r="H506" s="125"/>
      <c r="I506" s="125"/>
      <c r="J506" s="125"/>
      <c r="K506" s="125"/>
      <c r="L506" s="125"/>
      <c r="M506" s="1"/>
      <c r="N506" s="1"/>
      <c r="O506" s="125"/>
      <c r="P506" s="125"/>
      <c r="Q506" s="125"/>
      <c r="R506" s="125"/>
      <c r="S506" s="125"/>
      <c r="T506" s="125"/>
      <c r="U506" s="125"/>
      <c r="V506" s="125"/>
      <c r="W506" s="125"/>
      <c r="X506" s="125"/>
      <c r="Y506" s="125"/>
      <c r="Z506" s="125"/>
      <c r="AA506" s="125"/>
      <c r="AB506" s="125"/>
      <c r="AC506" s="125"/>
      <c r="AD506" s="125"/>
      <c r="AE506" s="1"/>
    </row>
    <row r="507" spans="1:31" ht="15.75" customHeight="1">
      <c r="A507" s="125"/>
      <c r="B507" s="125"/>
      <c r="C507" s="125"/>
      <c r="D507" s="125"/>
      <c r="E507" s="125"/>
      <c r="F507" s="125"/>
      <c r="G507" s="125"/>
      <c r="H507" s="125"/>
      <c r="I507" s="125"/>
      <c r="J507" s="125"/>
      <c r="K507" s="125"/>
      <c r="L507" s="125"/>
      <c r="M507" s="1"/>
      <c r="N507" s="1"/>
      <c r="O507" s="125"/>
      <c r="P507" s="125"/>
      <c r="Q507" s="125"/>
      <c r="R507" s="125"/>
      <c r="S507" s="125"/>
      <c r="T507" s="125"/>
      <c r="U507" s="125"/>
      <c r="V507" s="125"/>
      <c r="W507" s="125"/>
      <c r="X507" s="125"/>
      <c r="Y507" s="125"/>
      <c r="Z507" s="125"/>
      <c r="AA507" s="125"/>
      <c r="AB507" s="125"/>
      <c r="AC507" s="125"/>
      <c r="AD507" s="125"/>
      <c r="AE507" s="1"/>
    </row>
    <row r="508" spans="1:31" ht="15.75" customHeight="1">
      <c r="A508" s="125"/>
      <c r="B508" s="125"/>
      <c r="C508" s="125"/>
      <c r="D508" s="125"/>
      <c r="E508" s="125"/>
      <c r="F508" s="125"/>
      <c r="G508" s="125"/>
      <c r="H508" s="125"/>
      <c r="I508" s="125"/>
      <c r="J508" s="125"/>
      <c r="K508" s="125"/>
      <c r="L508" s="125"/>
      <c r="M508" s="1"/>
      <c r="N508" s="1"/>
      <c r="O508" s="125"/>
      <c r="P508" s="125"/>
      <c r="Q508" s="125"/>
      <c r="R508" s="125"/>
      <c r="S508" s="125"/>
      <c r="T508" s="125"/>
      <c r="U508" s="125"/>
      <c r="V508" s="125"/>
      <c r="W508" s="125"/>
      <c r="X508" s="125"/>
      <c r="Y508" s="125"/>
      <c r="Z508" s="125"/>
      <c r="AA508" s="125"/>
      <c r="AB508" s="125"/>
      <c r="AC508" s="125"/>
      <c r="AD508" s="125"/>
      <c r="AE508" s="1"/>
    </row>
    <row r="509" spans="1:31" ht="15.75" customHeight="1">
      <c r="A509" s="125"/>
      <c r="B509" s="125"/>
      <c r="C509" s="125"/>
      <c r="D509" s="125"/>
      <c r="E509" s="125"/>
      <c r="F509" s="125"/>
      <c r="G509" s="125"/>
      <c r="H509" s="125"/>
      <c r="I509" s="125"/>
      <c r="J509" s="125"/>
      <c r="K509" s="125"/>
      <c r="L509" s="125"/>
      <c r="M509" s="1"/>
      <c r="N509" s="1"/>
      <c r="O509" s="125"/>
      <c r="P509" s="125"/>
      <c r="Q509" s="125"/>
      <c r="R509" s="125"/>
      <c r="S509" s="125"/>
      <c r="T509" s="125"/>
      <c r="U509" s="125"/>
      <c r="V509" s="125"/>
      <c r="W509" s="125"/>
      <c r="X509" s="125"/>
      <c r="Y509" s="125"/>
      <c r="Z509" s="125"/>
      <c r="AA509" s="125"/>
      <c r="AB509" s="125"/>
      <c r="AC509" s="125"/>
      <c r="AD509" s="125"/>
      <c r="AE509" s="1"/>
    </row>
    <row r="510" spans="1:31" ht="15.75" customHeight="1">
      <c r="A510" s="125"/>
      <c r="B510" s="125"/>
      <c r="C510" s="125"/>
      <c r="D510" s="125"/>
      <c r="E510" s="125"/>
      <c r="F510" s="125"/>
      <c r="G510" s="125"/>
      <c r="H510" s="125"/>
      <c r="I510" s="125"/>
      <c r="J510" s="125"/>
      <c r="K510" s="125"/>
      <c r="L510" s="125"/>
      <c r="M510" s="1"/>
      <c r="N510" s="1"/>
      <c r="O510" s="125"/>
      <c r="P510" s="125"/>
      <c r="Q510" s="125"/>
      <c r="R510" s="125"/>
      <c r="S510" s="125"/>
      <c r="T510" s="125"/>
      <c r="U510" s="125"/>
      <c r="V510" s="125"/>
      <c r="W510" s="125"/>
      <c r="X510" s="125"/>
      <c r="Y510" s="125"/>
      <c r="Z510" s="125"/>
      <c r="AA510" s="125"/>
      <c r="AB510" s="125"/>
      <c r="AC510" s="125"/>
      <c r="AD510" s="125"/>
      <c r="AE510" s="1"/>
    </row>
    <row r="511" spans="1:31" ht="15.75" customHeight="1">
      <c r="A511" s="125"/>
      <c r="B511" s="125"/>
      <c r="C511" s="125"/>
      <c r="D511" s="125"/>
      <c r="E511" s="125"/>
      <c r="F511" s="125"/>
      <c r="G511" s="125"/>
      <c r="H511" s="125"/>
      <c r="I511" s="125"/>
      <c r="J511" s="125"/>
      <c r="K511" s="125"/>
      <c r="L511" s="125"/>
      <c r="M511" s="1"/>
      <c r="N511" s="1"/>
      <c r="O511" s="125"/>
      <c r="P511" s="125"/>
      <c r="Q511" s="125"/>
      <c r="R511" s="125"/>
      <c r="S511" s="125"/>
      <c r="T511" s="125"/>
      <c r="U511" s="125"/>
      <c r="V511" s="125"/>
      <c r="W511" s="125"/>
      <c r="X511" s="125"/>
      <c r="Y511" s="125"/>
      <c r="Z511" s="125"/>
      <c r="AA511" s="125"/>
      <c r="AB511" s="125"/>
      <c r="AC511" s="125"/>
      <c r="AD511" s="125"/>
      <c r="AE511" s="1"/>
    </row>
    <row r="512" spans="1:31" ht="15.75" customHeight="1">
      <c r="A512" s="125"/>
      <c r="B512" s="125"/>
      <c r="C512" s="125"/>
      <c r="D512" s="125"/>
      <c r="E512" s="125"/>
      <c r="F512" s="125"/>
      <c r="G512" s="125"/>
      <c r="H512" s="125"/>
      <c r="I512" s="125"/>
      <c r="J512" s="125"/>
      <c r="K512" s="125"/>
      <c r="L512" s="125"/>
      <c r="M512" s="1"/>
      <c r="N512" s="1"/>
      <c r="O512" s="125"/>
      <c r="P512" s="125"/>
      <c r="Q512" s="125"/>
      <c r="R512" s="125"/>
      <c r="S512" s="125"/>
      <c r="T512" s="125"/>
      <c r="U512" s="125"/>
      <c r="V512" s="125"/>
      <c r="W512" s="125"/>
      <c r="X512" s="125"/>
      <c r="Y512" s="125"/>
      <c r="Z512" s="125"/>
      <c r="AA512" s="125"/>
      <c r="AB512" s="125"/>
      <c r="AC512" s="125"/>
      <c r="AD512" s="125"/>
      <c r="AE512" s="1"/>
    </row>
    <row r="513" spans="1:31" ht="15.75" customHeight="1">
      <c r="A513" s="125"/>
      <c r="B513" s="125"/>
      <c r="C513" s="125"/>
      <c r="D513" s="125"/>
      <c r="E513" s="125"/>
      <c r="F513" s="125"/>
      <c r="G513" s="125"/>
      <c r="H513" s="125"/>
      <c r="I513" s="125"/>
      <c r="J513" s="125"/>
      <c r="K513" s="125"/>
      <c r="L513" s="125"/>
      <c r="M513" s="1"/>
      <c r="N513" s="1"/>
      <c r="O513" s="125"/>
      <c r="P513" s="125"/>
      <c r="Q513" s="125"/>
      <c r="R513" s="125"/>
      <c r="S513" s="125"/>
      <c r="T513" s="125"/>
      <c r="U513" s="125"/>
      <c r="V513" s="125"/>
      <c r="W513" s="125"/>
      <c r="X513" s="125"/>
      <c r="Y513" s="125"/>
      <c r="Z513" s="125"/>
      <c r="AA513" s="125"/>
      <c r="AB513" s="125"/>
      <c r="AC513" s="125"/>
      <c r="AD513" s="125"/>
      <c r="AE513" s="1"/>
    </row>
    <row r="514" spans="1:31" ht="15.75" customHeight="1">
      <c r="A514" s="125"/>
      <c r="B514" s="125"/>
      <c r="C514" s="125"/>
      <c r="D514" s="125"/>
      <c r="E514" s="125"/>
      <c r="F514" s="125"/>
      <c r="G514" s="125"/>
      <c r="H514" s="125"/>
      <c r="I514" s="125"/>
      <c r="J514" s="125"/>
      <c r="K514" s="125"/>
      <c r="L514" s="125"/>
      <c r="M514" s="1"/>
      <c r="N514" s="1"/>
      <c r="O514" s="125"/>
      <c r="P514" s="125"/>
      <c r="Q514" s="125"/>
      <c r="R514" s="125"/>
      <c r="S514" s="125"/>
      <c r="T514" s="125"/>
      <c r="U514" s="125"/>
      <c r="V514" s="125"/>
      <c r="W514" s="125"/>
      <c r="X514" s="125"/>
      <c r="Y514" s="125"/>
      <c r="Z514" s="125"/>
      <c r="AA514" s="125"/>
      <c r="AB514" s="125"/>
      <c r="AC514" s="125"/>
      <c r="AD514" s="125"/>
      <c r="AE514" s="1"/>
    </row>
    <row r="515" spans="1:31" ht="15.75" customHeight="1">
      <c r="A515" s="125"/>
      <c r="B515" s="125"/>
      <c r="C515" s="125"/>
      <c r="D515" s="125"/>
      <c r="E515" s="125"/>
      <c r="F515" s="125"/>
      <c r="G515" s="125"/>
      <c r="H515" s="125"/>
      <c r="I515" s="125"/>
      <c r="J515" s="125"/>
      <c r="K515" s="125"/>
      <c r="L515" s="125"/>
      <c r="M515" s="1"/>
      <c r="N515" s="1"/>
      <c r="O515" s="125"/>
      <c r="P515" s="125"/>
      <c r="Q515" s="125"/>
      <c r="R515" s="125"/>
      <c r="S515" s="125"/>
      <c r="T515" s="125"/>
      <c r="U515" s="125"/>
      <c r="V515" s="125"/>
      <c r="W515" s="125"/>
      <c r="X515" s="125"/>
      <c r="Y515" s="125"/>
      <c r="Z515" s="125"/>
      <c r="AA515" s="125"/>
      <c r="AB515" s="125"/>
      <c r="AC515" s="125"/>
      <c r="AD515" s="125"/>
      <c r="AE515" s="1"/>
    </row>
    <row r="516" spans="1:31" ht="15.75" customHeight="1">
      <c r="A516" s="125"/>
      <c r="B516" s="125"/>
      <c r="C516" s="125"/>
      <c r="D516" s="125"/>
      <c r="E516" s="125"/>
      <c r="F516" s="125"/>
      <c r="G516" s="125"/>
      <c r="H516" s="125"/>
      <c r="I516" s="125"/>
      <c r="J516" s="125"/>
      <c r="K516" s="125"/>
      <c r="L516" s="125"/>
      <c r="M516" s="1"/>
      <c r="N516" s="1"/>
      <c r="O516" s="125"/>
      <c r="P516" s="125"/>
      <c r="Q516" s="125"/>
      <c r="R516" s="125"/>
      <c r="S516" s="125"/>
      <c r="T516" s="125"/>
      <c r="U516" s="125"/>
      <c r="V516" s="125"/>
      <c r="W516" s="125"/>
      <c r="X516" s="125"/>
      <c r="Y516" s="125"/>
      <c r="Z516" s="125"/>
      <c r="AA516" s="125"/>
      <c r="AB516" s="125"/>
      <c r="AC516" s="125"/>
      <c r="AD516" s="125"/>
      <c r="AE516" s="1"/>
    </row>
    <row r="517" spans="1:31" ht="15.75" customHeight="1">
      <c r="A517" s="125"/>
      <c r="B517" s="125"/>
      <c r="C517" s="125"/>
      <c r="D517" s="125"/>
      <c r="E517" s="125"/>
      <c r="F517" s="125"/>
      <c r="G517" s="125"/>
      <c r="H517" s="125"/>
      <c r="I517" s="125"/>
      <c r="J517" s="125"/>
      <c r="K517" s="125"/>
      <c r="L517" s="125"/>
      <c r="M517" s="1"/>
      <c r="N517" s="1"/>
      <c r="O517" s="125"/>
      <c r="P517" s="125"/>
      <c r="Q517" s="125"/>
      <c r="R517" s="125"/>
      <c r="S517" s="125"/>
      <c r="T517" s="125"/>
      <c r="U517" s="125"/>
      <c r="V517" s="125"/>
      <c r="W517" s="125"/>
      <c r="X517" s="125"/>
      <c r="Y517" s="125"/>
      <c r="Z517" s="125"/>
      <c r="AA517" s="125"/>
      <c r="AB517" s="125"/>
      <c r="AC517" s="125"/>
      <c r="AD517" s="125"/>
      <c r="AE517" s="1"/>
    </row>
    <row r="518" spans="1:31" ht="15.75" customHeight="1">
      <c r="A518" s="125"/>
      <c r="B518" s="125"/>
      <c r="C518" s="125"/>
      <c r="D518" s="125"/>
      <c r="E518" s="125"/>
      <c r="F518" s="125"/>
      <c r="G518" s="125"/>
      <c r="H518" s="125"/>
      <c r="I518" s="125"/>
      <c r="J518" s="125"/>
      <c r="K518" s="125"/>
      <c r="L518" s="125"/>
      <c r="M518" s="1"/>
      <c r="N518" s="1"/>
      <c r="O518" s="125"/>
      <c r="P518" s="125"/>
      <c r="Q518" s="125"/>
      <c r="R518" s="125"/>
      <c r="S518" s="125"/>
      <c r="T518" s="125"/>
      <c r="U518" s="125"/>
      <c r="V518" s="125"/>
      <c r="W518" s="125"/>
      <c r="X518" s="125"/>
      <c r="Y518" s="125"/>
      <c r="Z518" s="125"/>
      <c r="AA518" s="125"/>
      <c r="AB518" s="125"/>
      <c r="AC518" s="125"/>
      <c r="AD518" s="125"/>
      <c r="AE518" s="1"/>
    </row>
    <row r="519" spans="1:31" ht="15.75" customHeight="1">
      <c r="A519" s="125"/>
      <c r="B519" s="125"/>
      <c r="C519" s="125"/>
      <c r="D519" s="125"/>
      <c r="E519" s="125"/>
      <c r="F519" s="125"/>
      <c r="G519" s="125"/>
      <c r="H519" s="125"/>
      <c r="I519" s="125"/>
      <c r="J519" s="125"/>
      <c r="K519" s="125"/>
      <c r="L519" s="125"/>
      <c r="M519" s="1"/>
      <c r="N519" s="1"/>
      <c r="O519" s="125"/>
      <c r="P519" s="125"/>
      <c r="Q519" s="125"/>
      <c r="R519" s="125"/>
      <c r="S519" s="125"/>
      <c r="T519" s="125"/>
      <c r="U519" s="125"/>
      <c r="V519" s="125"/>
      <c r="W519" s="125"/>
      <c r="X519" s="125"/>
      <c r="Y519" s="125"/>
      <c r="Z519" s="125"/>
      <c r="AA519" s="125"/>
      <c r="AB519" s="125"/>
      <c r="AC519" s="125"/>
      <c r="AD519" s="125"/>
      <c r="AE519" s="1"/>
    </row>
    <row r="520" spans="1:31" ht="15.75" customHeight="1">
      <c r="A520" s="125"/>
      <c r="B520" s="125"/>
      <c r="C520" s="125"/>
      <c r="D520" s="125"/>
      <c r="E520" s="125"/>
      <c r="F520" s="125"/>
      <c r="G520" s="125"/>
      <c r="H520" s="125"/>
      <c r="I520" s="125"/>
      <c r="J520" s="125"/>
      <c r="K520" s="125"/>
      <c r="L520" s="125"/>
      <c r="M520" s="1"/>
      <c r="N520" s="1"/>
      <c r="O520" s="125"/>
      <c r="P520" s="125"/>
      <c r="Q520" s="125"/>
      <c r="R520" s="125"/>
      <c r="S520" s="125"/>
      <c r="T520" s="125"/>
      <c r="U520" s="125"/>
      <c r="V520" s="125"/>
      <c r="W520" s="125"/>
      <c r="X520" s="125"/>
      <c r="Y520" s="125"/>
      <c r="Z520" s="125"/>
      <c r="AA520" s="125"/>
      <c r="AB520" s="125"/>
      <c r="AC520" s="125"/>
      <c r="AD520" s="125"/>
      <c r="AE520" s="1"/>
    </row>
    <row r="521" spans="1:31" ht="15.75" customHeight="1">
      <c r="A521" s="125"/>
      <c r="B521" s="125"/>
      <c r="C521" s="125"/>
      <c r="D521" s="125"/>
      <c r="E521" s="125"/>
      <c r="F521" s="125"/>
      <c r="G521" s="125"/>
      <c r="H521" s="125"/>
      <c r="I521" s="125"/>
      <c r="J521" s="125"/>
      <c r="K521" s="125"/>
      <c r="L521" s="125"/>
      <c r="M521" s="1"/>
      <c r="N521" s="1"/>
      <c r="O521" s="125"/>
      <c r="P521" s="125"/>
      <c r="Q521" s="125"/>
      <c r="R521" s="125"/>
      <c r="S521" s="125"/>
      <c r="T521" s="125"/>
      <c r="U521" s="125"/>
      <c r="V521" s="125"/>
      <c r="W521" s="125"/>
      <c r="X521" s="125"/>
      <c r="Y521" s="125"/>
      <c r="Z521" s="125"/>
      <c r="AA521" s="125"/>
      <c r="AB521" s="125"/>
      <c r="AC521" s="125"/>
      <c r="AD521" s="125"/>
      <c r="AE521" s="1"/>
    </row>
    <row r="522" spans="1:31" ht="15.75" customHeight="1">
      <c r="A522" s="125"/>
      <c r="B522" s="125"/>
      <c r="C522" s="125"/>
      <c r="D522" s="125"/>
      <c r="E522" s="125"/>
      <c r="F522" s="125"/>
      <c r="G522" s="125"/>
      <c r="H522" s="125"/>
      <c r="I522" s="125"/>
      <c r="J522" s="125"/>
      <c r="K522" s="125"/>
      <c r="L522" s="125"/>
      <c r="M522" s="1"/>
      <c r="N522" s="1"/>
      <c r="O522" s="125"/>
      <c r="P522" s="125"/>
      <c r="Q522" s="125"/>
      <c r="R522" s="125"/>
      <c r="S522" s="125"/>
      <c r="T522" s="125"/>
      <c r="U522" s="125"/>
      <c r="V522" s="125"/>
      <c r="W522" s="125"/>
      <c r="X522" s="125"/>
      <c r="Y522" s="125"/>
      <c r="Z522" s="125"/>
      <c r="AA522" s="125"/>
      <c r="AB522" s="125"/>
      <c r="AC522" s="125"/>
      <c r="AD522" s="125"/>
      <c r="AE522" s="1"/>
    </row>
    <row r="523" spans="1:31" ht="15.75" customHeight="1">
      <c r="A523" s="125"/>
      <c r="B523" s="125"/>
      <c r="C523" s="125"/>
      <c r="D523" s="125"/>
      <c r="E523" s="125"/>
      <c r="F523" s="125"/>
      <c r="G523" s="125"/>
      <c r="H523" s="125"/>
      <c r="I523" s="125"/>
      <c r="J523" s="125"/>
      <c r="K523" s="125"/>
      <c r="L523" s="125"/>
      <c r="M523" s="1"/>
      <c r="N523" s="1"/>
      <c r="O523" s="125"/>
      <c r="P523" s="125"/>
      <c r="Q523" s="125"/>
      <c r="R523" s="125"/>
      <c r="S523" s="125"/>
      <c r="T523" s="125"/>
      <c r="U523" s="125"/>
      <c r="V523" s="125"/>
      <c r="W523" s="125"/>
      <c r="X523" s="125"/>
      <c r="Y523" s="125"/>
      <c r="Z523" s="125"/>
      <c r="AA523" s="125"/>
      <c r="AB523" s="125"/>
      <c r="AC523" s="125"/>
      <c r="AD523" s="125"/>
      <c r="AE523" s="1"/>
    </row>
    <row r="524" spans="1:31" ht="15.75" customHeight="1">
      <c r="A524" s="125"/>
      <c r="B524" s="125"/>
      <c r="C524" s="125"/>
      <c r="D524" s="125"/>
      <c r="E524" s="125"/>
      <c r="F524" s="125"/>
      <c r="G524" s="125"/>
      <c r="H524" s="125"/>
      <c r="I524" s="125"/>
      <c r="J524" s="125"/>
      <c r="K524" s="125"/>
      <c r="L524" s="125"/>
      <c r="M524" s="1"/>
      <c r="N524" s="1"/>
      <c r="O524" s="125"/>
      <c r="P524" s="125"/>
      <c r="Q524" s="125"/>
      <c r="R524" s="125"/>
      <c r="S524" s="125"/>
      <c r="T524" s="125"/>
      <c r="U524" s="125"/>
      <c r="V524" s="125"/>
      <c r="W524" s="125"/>
      <c r="X524" s="125"/>
      <c r="Y524" s="125"/>
      <c r="Z524" s="125"/>
      <c r="AA524" s="125"/>
      <c r="AB524" s="125"/>
      <c r="AC524" s="125"/>
      <c r="AD524" s="125"/>
      <c r="AE524" s="1"/>
    </row>
    <row r="525" spans="1:31" ht="15.75" customHeight="1">
      <c r="A525" s="125"/>
      <c r="B525" s="125"/>
      <c r="C525" s="125"/>
      <c r="D525" s="125"/>
      <c r="E525" s="125"/>
      <c r="F525" s="125"/>
      <c r="G525" s="125"/>
      <c r="H525" s="125"/>
      <c r="I525" s="125"/>
      <c r="J525" s="125"/>
      <c r="K525" s="125"/>
      <c r="L525" s="125"/>
      <c r="M525" s="1"/>
      <c r="N525" s="1"/>
      <c r="O525" s="125"/>
      <c r="P525" s="125"/>
      <c r="Q525" s="125"/>
      <c r="R525" s="125"/>
      <c r="S525" s="125"/>
      <c r="T525" s="125"/>
      <c r="U525" s="125"/>
      <c r="V525" s="125"/>
      <c r="W525" s="125"/>
      <c r="X525" s="125"/>
      <c r="Y525" s="125"/>
      <c r="Z525" s="125"/>
      <c r="AA525" s="125"/>
      <c r="AB525" s="125"/>
      <c r="AC525" s="125"/>
      <c r="AD525" s="125"/>
      <c r="AE525" s="1"/>
    </row>
    <row r="526" spans="1:31" ht="15.75" customHeight="1">
      <c r="A526" s="125"/>
      <c r="B526" s="125"/>
      <c r="C526" s="125"/>
      <c r="D526" s="125"/>
      <c r="E526" s="125"/>
      <c r="F526" s="125"/>
      <c r="G526" s="125"/>
      <c r="H526" s="125"/>
      <c r="I526" s="125"/>
      <c r="J526" s="125"/>
      <c r="K526" s="125"/>
      <c r="L526" s="125"/>
      <c r="M526" s="1"/>
      <c r="N526" s="1"/>
      <c r="O526" s="125"/>
      <c r="P526" s="125"/>
      <c r="Q526" s="125"/>
      <c r="R526" s="125"/>
      <c r="S526" s="125"/>
      <c r="T526" s="125"/>
      <c r="U526" s="125"/>
      <c r="V526" s="125"/>
      <c r="W526" s="125"/>
      <c r="X526" s="125"/>
      <c r="Y526" s="125"/>
      <c r="Z526" s="125"/>
      <c r="AA526" s="125"/>
      <c r="AB526" s="125"/>
      <c r="AC526" s="125"/>
      <c r="AD526" s="125"/>
      <c r="AE526" s="1"/>
    </row>
    <row r="527" spans="1:31" ht="15.75" customHeight="1">
      <c r="A527" s="125"/>
      <c r="B527" s="125"/>
      <c r="C527" s="125"/>
      <c r="D527" s="125"/>
      <c r="E527" s="125"/>
      <c r="F527" s="125"/>
      <c r="G527" s="125"/>
      <c r="H527" s="125"/>
      <c r="I527" s="125"/>
      <c r="J527" s="125"/>
      <c r="K527" s="125"/>
      <c r="L527" s="125"/>
      <c r="M527" s="1"/>
      <c r="N527" s="1"/>
      <c r="O527" s="125"/>
      <c r="P527" s="125"/>
      <c r="Q527" s="125"/>
      <c r="R527" s="125"/>
      <c r="S527" s="125"/>
      <c r="T527" s="125"/>
      <c r="U527" s="125"/>
      <c r="V527" s="125"/>
      <c r="W527" s="125"/>
      <c r="X527" s="125"/>
      <c r="Y527" s="125"/>
      <c r="Z527" s="125"/>
      <c r="AA527" s="125"/>
      <c r="AB527" s="125"/>
      <c r="AC527" s="125"/>
      <c r="AD527" s="125"/>
      <c r="AE527" s="1"/>
    </row>
    <row r="528" spans="1:31" ht="15.75" customHeight="1">
      <c r="A528" s="125"/>
      <c r="B528" s="125"/>
      <c r="C528" s="125"/>
      <c r="D528" s="125"/>
      <c r="E528" s="125"/>
      <c r="F528" s="125"/>
      <c r="G528" s="125"/>
      <c r="H528" s="125"/>
      <c r="I528" s="125"/>
      <c r="J528" s="125"/>
      <c r="K528" s="125"/>
      <c r="L528" s="125"/>
      <c r="M528" s="1"/>
      <c r="N528" s="1"/>
      <c r="O528" s="125"/>
      <c r="P528" s="125"/>
      <c r="Q528" s="125"/>
      <c r="R528" s="125"/>
      <c r="S528" s="125"/>
      <c r="T528" s="125"/>
      <c r="U528" s="125"/>
      <c r="V528" s="125"/>
      <c r="W528" s="125"/>
      <c r="X528" s="125"/>
      <c r="Y528" s="125"/>
      <c r="Z528" s="125"/>
      <c r="AA528" s="125"/>
      <c r="AB528" s="125"/>
      <c r="AC528" s="125"/>
      <c r="AD528" s="125"/>
      <c r="AE528" s="1"/>
    </row>
    <row r="529" spans="1:31" ht="15.75" customHeight="1">
      <c r="A529" s="125"/>
      <c r="B529" s="125"/>
      <c r="C529" s="125"/>
      <c r="D529" s="125"/>
      <c r="E529" s="125"/>
      <c r="F529" s="125"/>
      <c r="G529" s="125"/>
      <c r="H529" s="125"/>
      <c r="I529" s="125"/>
      <c r="J529" s="125"/>
      <c r="K529" s="125"/>
      <c r="L529" s="125"/>
      <c r="M529" s="1"/>
      <c r="N529" s="1"/>
      <c r="O529" s="125"/>
      <c r="P529" s="125"/>
      <c r="Q529" s="125"/>
      <c r="R529" s="125"/>
      <c r="S529" s="125"/>
      <c r="T529" s="125"/>
      <c r="U529" s="125"/>
      <c r="V529" s="125"/>
      <c r="W529" s="125"/>
      <c r="X529" s="125"/>
      <c r="Y529" s="125"/>
      <c r="Z529" s="125"/>
      <c r="AA529" s="125"/>
      <c r="AB529" s="125"/>
      <c r="AC529" s="125"/>
      <c r="AD529" s="125"/>
      <c r="AE529" s="1"/>
    </row>
    <row r="530" spans="1:31" ht="15.75" customHeight="1">
      <c r="A530" s="125"/>
      <c r="B530" s="125"/>
      <c r="C530" s="125"/>
      <c r="D530" s="125"/>
      <c r="E530" s="125"/>
      <c r="F530" s="125"/>
      <c r="G530" s="125"/>
      <c r="H530" s="125"/>
      <c r="I530" s="125"/>
      <c r="J530" s="125"/>
      <c r="K530" s="125"/>
      <c r="L530" s="125"/>
      <c r="M530" s="1"/>
      <c r="N530" s="1"/>
      <c r="O530" s="125"/>
      <c r="P530" s="125"/>
      <c r="Q530" s="125"/>
      <c r="R530" s="125"/>
      <c r="S530" s="125"/>
      <c r="T530" s="125"/>
      <c r="U530" s="125"/>
      <c r="V530" s="125"/>
      <c r="W530" s="125"/>
      <c r="X530" s="125"/>
      <c r="Y530" s="125"/>
      <c r="Z530" s="125"/>
      <c r="AA530" s="125"/>
      <c r="AB530" s="125"/>
      <c r="AC530" s="125"/>
      <c r="AD530" s="125"/>
      <c r="AE530" s="1"/>
    </row>
    <row r="531" spans="1:31" ht="15.75" customHeight="1">
      <c r="A531" s="125"/>
      <c r="B531" s="125"/>
      <c r="C531" s="125"/>
      <c r="D531" s="125"/>
      <c r="E531" s="125"/>
      <c r="F531" s="125"/>
      <c r="G531" s="125"/>
      <c r="H531" s="125"/>
      <c r="I531" s="125"/>
      <c r="J531" s="125"/>
      <c r="K531" s="125"/>
      <c r="L531" s="125"/>
      <c r="M531" s="1"/>
      <c r="N531" s="1"/>
      <c r="O531" s="125"/>
      <c r="P531" s="125"/>
      <c r="Q531" s="125"/>
      <c r="R531" s="125"/>
      <c r="S531" s="125"/>
      <c r="T531" s="125"/>
      <c r="U531" s="125"/>
      <c r="V531" s="125"/>
      <c r="W531" s="125"/>
      <c r="X531" s="125"/>
      <c r="Y531" s="125"/>
      <c r="Z531" s="125"/>
      <c r="AA531" s="125"/>
      <c r="AB531" s="125"/>
      <c r="AC531" s="125"/>
      <c r="AD531" s="125"/>
      <c r="AE531" s="1"/>
    </row>
    <row r="532" spans="1:31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</row>
    <row r="533" spans="1:31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</row>
    <row r="534" spans="1:31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</row>
    <row r="535" spans="1:31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</row>
    <row r="536" spans="1:31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</row>
    <row r="537" spans="1:31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</row>
    <row r="538" spans="1:31" ht="15.75" customHeight="1">
      <c r="A538" s="131" t="s">
        <v>42</v>
      </c>
      <c r="B538" s="131"/>
      <c r="C538" s="131"/>
      <c r="D538" s="24"/>
      <c r="E538" s="24"/>
      <c r="F538" s="24"/>
      <c r="G538" s="24"/>
      <c r="H538" s="1"/>
      <c r="I538" s="1"/>
      <c r="K538" s="21"/>
      <c r="L538" s="21"/>
      <c r="M538" s="1"/>
      <c r="N538" s="1"/>
      <c r="O538" s="131" t="s">
        <v>60</v>
      </c>
      <c r="P538" s="131"/>
      <c r="Q538" s="13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</row>
    <row r="539" spans="1:31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</row>
    <row r="540" spans="1:31" ht="15.75" customHeight="1">
      <c r="A540" s="125"/>
      <c r="B540" s="125"/>
      <c r="C540" s="125"/>
      <c r="D540" s="125"/>
      <c r="E540" s="125"/>
      <c r="F540" s="125"/>
      <c r="G540" s="125"/>
      <c r="H540" s="125"/>
      <c r="I540" s="125"/>
      <c r="J540" s="125"/>
      <c r="K540" s="125"/>
      <c r="L540" s="125"/>
      <c r="M540" s="1"/>
      <c r="N540" s="1"/>
      <c r="O540" s="125"/>
      <c r="P540" s="125"/>
      <c r="Q540" s="125"/>
      <c r="R540" s="125"/>
      <c r="S540" s="125"/>
      <c r="T540" s="125"/>
      <c r="U540" s="125"/>
      <c r="V540" s="125"/>
      <c r="W540" s="125"/>
      <c r="X540" s="125"/>
      <c r="Y540" s="125"/>
      <c r="Z540" s="125"/>
      <c r="AA540" s="125"/>
      <c r="AB540" s="125"/>
      <c r="AC540" s="125"/>
      <c r="AD540" s="125"/>
      <c r="AE540" s="1"/>
    </row>
    <row r="541" spans="1:31" ht="15.75" customHeight="1">
      <c r="A541" s="125"/>
      <c r="B541" s="125"/>
      <c r="C541" s="125"/>
      <c r="D541" s="125"/>
      <c r="E541" s="125"/>
      <c r="F541" s="125"/>
      <c r="G541" s="125"/>
      <c r="H541" s="125"/>
      <c r="I541" s="125"/>
      <c r="J541" s="125"/>
      <c r="K541" s="125"/>
      <c r="L541" s="125"/>
      <c r="M541" s="1"/>
      <c r="N541" s="1"/>
      <c r="O541" s="125"/>
      <c r="P541" s="125"/>
      <c r="Q541" s="125"/>
      <c r="R541" s="125"/>
      <c r="S541" s="125"/>
      <c r="T541" s="125"/>
      <c r="U541" s="125"/>
      <c r="V541" s="125"/>
      <c r="W541" s="125"/>
      <c r="X541" s="125"/>
      <c r="Y541" s="125"/>
      <c r="Z541" s="125"/>
      <c r="AA541" s="125"/>
      <c r="AB541" s="125"/>
      <c r="AC541" s="125"/>
      <c r="AD541" s="125"/>
      <c r="AE541" s="1"/>
    </row>
    <row r="542" spans="1:31" ht="15.75" customHeight="1">
      <c r="A542" s="125"/>
      <c r="B542" s="125"/>
      <c r="C542" s="125"/>
      <c r="D542" s="125"/>
      <c r="E542" s="125"/>
      <c r="F542" s="125"/>
      <c r="G542" s="125"/>
      <c r="H542" s="125"/>
      <c r="I542" s="125"/>
      <c r="J542" s="125"/>
      <c r="K542" s="125"/>
      <c r="L542" s="125"/>
      <c r="M542" s="1"/>
      <c r="N542" s="1"/>
      <c r="O542" s="125"/>
      <c r="P542" s="125"/>
      <c r="Q542" s="125"/>
      <c r="R542" s="125"/>
      <c r="S542" s="125"/>
      <c r="T542" s="125"/>
      <c r="U542" s="125"/>
      <c r="V542" s="125"/>
      <c r="W542" s="125"/>
      <c r="X542" s="125"/>
      <c r="Y542" s="125"/>
      <c r="Z542" s="125"/>
      <c r="AA542" s="125"/>
      <c r="AB542" s="125"/>
      <c r="AC542" s="125"/>
      <c r="AD542" s="125"/>
      <c r="AE542" s="1"/>
    </row>
    <row r="543" spans="1:31" ht="15.75" customHeight="1">
      <c r="A543" s="125"/>
      <c r="B543" s="125"/>
      <c r="C543" s="125"/>
      <c r="D543" s="125"/>
      <c r="E543" s="125"/>
      <c r="F543" s="125"/>
      <c r="G543" s="125"/>
      <c r="H543" s="125"/>
      <c r="I543" s="125"/>
      <c r="J543" s="125"/>
      <c r="K543" s="125"/>
      <c r="L543" s="125"/>
      <c r="M543" s="1"/>
      <c r="N543" s="1"/>
      <c r="O543" s="125"/>
      <c r="P543" s="125"/>
      <c r="Q543" s="125"/>
      <c r="R543" s="125"/>
      <c r="S543" s="125"/>
      <c r="T543" s="125"/>
      <c r="U543" s="125"/>
      <c r="V543" s="125"/>
      <c r="W543" s="125"/>
      <c r="X543" s="125"/>
      <c r="Y543" s="125"/>
      <c r="Z543" s="125"/>
      <c r="AA543" s="125"/>
      <c r="AB543" s="125"/>
      <c r="AC543" s="125"/>
      <c r="AD543" s="125"/>
      <c r="AE543" s="1"/>
    </row>
    <row r="544" spans="1:31" ht="15.75" customHeight="1">
      <c r="A544" s="125"/>
      <c r="B544" s="125"/>
      <c r="C544" s="125"/>
      <c r="D544" s="125"/>
      <c r="E544" s="125"/>
      <c r="F544" s="125"/>
      <c r="G544" s="125"/>
      <c r="H544" s="125"/>
      <c r="I544" s="125"/>
      <c r="J544" s="125"/>
      <c r="K544" s="125"/>
      <c r="L544" s="125"/>
      <c r="M544" s="1"/>
      <c r="N544" s="1"/>
      <c r="O544" s="125"/>
      <c r="P544" s="125"/>
      <c r="Q544" s="125"/>
      <c r="R544" s="125"/>
      <c r="S544" s="125"/>
      <c r="T544" s="125"/>
      <c r="U544" s="125"/>
      <c r="V544" s="125"/>
      <c r="W544" s="125"/>
      <c r="X544" s="125"/>
      <c r="Y544" s="125"/>
      <c r="Z544" s="125"/>
      <c r="AA544" s="125"/>
      <c r="AB544" s="125"/>
      <c r="AC544" s="125"/>
      <c r="AD544" s="125"/>
      <c r="AE544" s="1"/>
    </row>
    <row r="545" spans="1:31" ht="15.75" customHeight="1">
      <c r="A545" s="125"/>
      <c r="B545" s="125"/>
      <c r="C545" s="125"/>
      <c r="D545" s="125"/>
      <c r="E545" s="125"/>
      <c r="F545" s="125"/>
      <c r="G545" s="125"/>
      <c r="H545" s="125"/>
      <c r="I545" s="125"/>
      <c r="J545" s="125"/>
      <c r="K545" s="125"/>
      <c r="L545" s="125"/>
      <c r="M545" s="1"/>
      <c r="N545" s="1"/>
      <c r="O545" s="125"/>
      <c r="P545" s="125"/>
      <c r="Q545" s="125"/>
      <c r="R545" s="125"/>
      <c r="S545" s="125"/>
      <c r="T545" s="125"/>
      <c r="U545" s="125"/>
      <c r="V545" s="125"/>
      <c r="W545" s="125"/>
      <c r="X545" s="125"/>
      <c r="Y545" s="125"/>
      <c r="Z545" s="125"/>
      <c r="AA545" s="125"/>
      <c r="AB545" s="125"/>
      <c r="AC545" s="125"/>
      <c r="AD545" s="125"/>
      <c r="AE545" s="1"/>
    </row>
    <row r="546" spans="1:31" ht="15.75" customHeight="1">
      <c r="A546" s="125"/>
      <c r="B546" s="125"/>
      <c r="C546" s="125"/>
      <c r="D546" s="125"/>
      <c r="E546" s="125"/>
      <c r="F546" s="125"/>
      <c r="G546" s="125"/>
      <c r="H546" s="125"/>
      <c r="I546" s="125"/>
      <c r="J546" s="125"/>
      <c r="K546" s="125"/>
      <c r="L546" s="125"/>
      <c r="M546" s="1"/>
      <c r="N546" s="1"/>
      <c r="O546" s="125"/>
      <c r="P546" s="125"/>
      <c r="Q546" s="125"/>
      <c r="R546" s="125"/>
      <c r="S546" s="125"/>
      <c r="T546" s="125"/>
      <c r="U546" s="125"/>
      <c r="V546" s="125"/>
      <c r="W546" s="125"/>
      <c r="X546" s="125"/>
      <c r="Y546" s="125"/>
      <c r="Z546" s="125"/>
      <c r="AA546" s="125"/>
      <c r="AB546" s="125"/>
      <c r="AC546" s="125"/>
      <c r="AD546" s="125"/>
      <c r="AE546" s="1"/>
    </row>
    <row r="547" spans="1:31" ht="15.75" customHeight="1">
      <c r="A547" s="125"/>
      <c r="B547" s="125"/>
      <c r="C547" s="125"/>
      <c r="D547" s="125"/>
      <c r="E547" s="125"/>
      <c r="F547" s="125"/>
      <c r="G547" s="125"/>
      <c r="H547" s="125"/>
      <c r="I547" s="125"/>
      <c r="J547" s="125"/>
      <c r="K547" s="125"/>
      <c r="L547" s="125"/>
      <c r="M547" s="1"/>
      <c r="N547" s="1"/>
      <c r="O547" s="125"/>
      <c r="P547" s="125"/>
      <c r="Q547" s="125"/>
      <c r="R547" s="125"/>
      <c r="S547" s="125"/>
      <c r="T547" s="125"/>
      <c r="U547" s="125"/>
      <c r="V547" s="125"/>
      <c r="W547" s="125"/>
      <c r="X547" s="125"/>
      <c r="Y547" s="125"/>
      <c r="Z547" s="125"/>
      <c r="AA547" s="125"/>
      <c r="AB547" s="125"/>
      <c r="AC547" s="125"/>
      <c r="AD547" s="125"/>
      <c r="AE547" s="1"/>
    </row>
    <row r="548" spans="1:31" ht="15.75" customHeight="1">
      <c r="A548" s="125"/>
      <c r="B548" s="125"/>
      <c r="C548" s="125"/>
      <c r="D548" s="125"/>
      <c r="E548" s="125"/>
      <c r="F548" s="125"/>
      <c r="G548" s="125"/>
      <c r="H548" s="125"/>
      <c r="I548" s="125"/>
      <c r="J548" s="125"/>
      <c r="K548" s="125"/>
      <c r="L548" s="125"/>
      <c r="M548" s="1"/>
      <c r="N548" s="1"/>
      <c r="O548" s="125"/>
      <c r="P548" s="125"/>
      <c r="Q548" s="125"/>
      <c r="R548" s="125"/>
      <c r="S548" s="125"/>
      <c r="T548" s="125"/>
      <c r="U548" s="125"/>
      <c r="V548" s="125"/>
      <c r="W548" s="125"/>
      <c r="X548" s="125"/>
      <c r="Y548" s="125"/>
      <c r="Z548" s="125"/>
      <c r="AA548" s="125"/>
      <c r="AB548" s="125"/>
      <c r="AC548" s="125"/>
      <c r="AD548" s="125"/>
      <c r="AE548" s="1"/>
    </row>
    <row r="549" spans="1:31" ht="15.75" customHeight="1">
      <c r="A549" s="125"/>
      <c r="B549" s="125"/>
      <c r="C549" s="125"/>
      <c r="D549" s="125"/>
      <c r="E549" s="125"/>
      <c r="F549" s="125"/>
      <c r="G549" s="125"/>
      <c r="H549" s="125"/>
      <c r="I549" s="125"/>
      <c r="J549" s="125"/>
      <c r="K549" s="125"/>
      <c r="L549" s="125"/>
      <c r="M549" s="1"/>
      <c r="N549" s="1"/>
      <c r="O549" s="125"/>
      <c r="P549" s="125"/>
      <c r="Q549" s="125"/>
      <c r="R549" s="125"/>
      <c r="S549" s="125"/>
      <c r="T549" s="125"/>
      <c r="U549" s="125"/>
      <c r="V549" s="125"/>
      <c r="W549" s="125"/>
      <c r="X549" s="125"/>
      <c r="Y549" s="125"/>
      <c r="Z549" s="125"/>
      <c r="AA549" s="125"/>
      <c r="AB549" s="125"/>
      <c r="AC549" s="125"/>
      <c r="AD549" s="125"/>
      <c r="AE549" s="1"/>
    </row>
    <row r="550" spans="1:31" ht="15.75" customHeight="1">
      <c r="A550" s="125"/>
      <c r="B550" s="125"/>
      <c r="C550" s="125"/>
      <c r="D550" s="125"/>
      <c r="E550" s="125"/>
      <c r="F550" s="125"/>
      <c r="G550" s="125"/>
      <c r="H550" s="125"/>
      <c r="I550" s="125"/>
      <c r="J550" s="125"/>
      <c r="K550" s="125"/>
      <c r="L550" s="125"/>
      <c r="M550" s="1"/>
      <c r="N550" s="1"/>
      <c r="O550" s="125"/>
      <c r="P550" s="125"/>
      <c r="Q550" s="125"/>
      <c r="R550" s="125"/>
      <c r="S550" s="125"/>
      <c r="T550" s="125"/>
      <c r="U550" s="125"/>
      <c r="V550" s="125"/>
      <c r="W550" s="125"/>
      <c r="X550" s="125"/>
      <c r="Y550" s="125"/>
      <c r="Z550" s="125"/>
      <c r="AA550" s="125"/>
      <c r="AB550" s="125"/>
      <c r="AC550" s="125"/>
      <c r="AD550" s="125"/>
      <c r="AE550" s="1"/>
    </row>
    <row r="551" spans="1:31" ht="15.75" customHeight="1">
      <c r="A551" s="125"/>
      <c r="B551" s="125"/>
      <c r="C551" s="125"/>
      <c r="D551" s="125"/>
      <c r="E551" s="125"/>
      <c r="F551" s="125"/>
      <c r="G551" s="125"/>
      <c r="H551" s="125"/>
      <c r="I551" s="125"/>
      <c r="J551" s="125"/>
      <c r="K551" s="125"/>
      <c r="L551" s="125"/>
      <c r="M551" s="1"/>
      <c r="N551" s="1"/>
      <c r="O551" s="125"/>
      <c r="P551" s="125"/>
      <c r="Q551" s="125"/>
      <c r="R551" s="125"/>
      <c r="S551" s="125"/>
      <c r="T551" s="125"/>
      <c r="U551" s="125"/>
      <c r="V551" s="125"/>
      <c r="W551" s="125"/>
      <c r="X551" s="125"/>
      <c r="Y551" s="125"/>
      <c r="Z551" s="125"/>
      <c r="AA551" s="125"/>
      <c r="AB551" s="125"/>
      <c r="AC551" s="125"/>
      <c r="AD551" s="125"/>
      <c r="AE551" s="1"/>
    </row>
    <row r="552" spans="1:31" ht="15.75" customHeight="1">
      <c r="A552" s="125"/>
      <c r="B552" s="125"/>
      <c r="C552" s="125"/>
      <c r="D552" s="125"/>
      <c r="E552" s="125"/>
      <c r="F552" s="125"/>
      <c r="G552" s="125"/>
      <c r="H552" s="125"/>
      <c r="I552" s="125"/>
      <c r="J552" s="125"/>
      <c r="K552" s="125"/>
      <c r="L552" s="125"/>
      <c r="M552" s="1"/>
      <c r="N552" s="1"/>
      <c r="O552" s="125"/>
      <c r="P552" s="125"/>
      <c r="Q552" s="125"/>
      <c r="R552" s="125"/>
      <c r="S552" s="125"/>
      <c r="T552" s="125"/>
      <c r="U552" s="125"/>
      <c r="V552" s="125"/>
      <c r="W552" s="125"/>
      <c r="X552" s="125"/>
      <c r="Y552" s="125"/>
      <c r="Z552" s="125"/>
      <c r="AA552" s="125"/>
      <c r="AB552" s="125"/>
      <c r="AC552" s="125"/>
      <c r="AD552" s="125"/>
      <c r="AE552" s="1"/>
    </row>
    <row r="553" spans="1:31" ht="15.75" customHeight="1">
      <c r="A553" s="125"/>
      <c r="B553" s="125"/>
      <c r="C553" s="125"/>
      <c r="D553" s="125"/>
      <c r="E553" s="125"/>
      <c r="F553" s="125"/>
      <c r="G553" s="125"/>
      <c r="H553" s="125"/>
      <c r="I553" s="125"/>
      <c r="J553" s="125"/>
      <c r="K553" s="125"/>
      <c r="L553" s="125"/>
      <c r="M553" s="1"/>
      <c r="N553" s="1"/>
      <c r="O553" s="125"/>
      <c r="P553" s="125"/>
      <c r="Q553" s="125"/>
      <c r="R553" s="125"/>
      <c r="S553" s="125"/>
      <c r="T553" s="125"/>
      <c r="U553" s="125"/>
      <c r="V553" s="125"/>
      <c r="W553" s="125"/>
      <c r="X553" s="125"/>
      <c r="Y553" s="125"/>
      <c r="Z553" s="125"/>
      <c r="AA553" s="125"/>
      <c r="AB553" s="125"/>
      <c r="AC553" s="125"/>
      <c r="AD553" s="125"/>
      <c r="AE553" s="1"/>
    </row>
    <row r="554" spans="1:31" ht="15.75" customHeight="1">
      <c r="A554" s="125"/>
      <c r="B554" s="125"/>
      <c r="C554" s="125"/>
      <c r="D554" s="125"/>
      <c r="E554" s="125"/>
      <c r="F554" s="125"/>
      <c r="G554" s="125"/>
      <c r="H554" s="125"/>
      <c r="I554" s="125"/>
      <c r="J554" s="125"/>
      <c r="K554" s="125"/>
      <c r="L554" s="125"/>
      <c r="M554" s="1"/>
      <c r="N554" s="1"/>
      <c r="O554" s="125"/>
      <c r="P554" s="125"/>
      <c r="Q554" s="125"/>
      <c r="R554" s="125"/>
      <c r="S554" s="125"/>
      <c r="T554" s="125"/>
      <c r="U554" s="125"/>
      <c r="V554" s="125"/>
      <c r="W554" s="125"/>
      <c r="X554" s="125"/>
      <c r="Y554" s="125"/>
      <c r="Z554" s="125"/>
      <c r="AA554" s="125"/>
      <c r="AB554" s="125"/>
      <c r="AC554" s="125"/>
      <c r="AD554" s="125"/>
      <c r="AE554" s="1"/>
    </row>
    <row r="555" spans="1:31" ht="15.75" customHeight="1">
      <c r="A555" s="125"/>
      <c r="B555" s="125"/>
      <c r="C555" s="125"/>
      <c r="D555" s="125"/>
      <c r="E555" s="125"/>
      <c r="F555" s="125"/>
      <c r="G555" s="125"/>
      <c r="H555" s="125"/>
      <c r="I555" s="125"/>
      <c r="J555" s="125"/>
      <c r="K555" s="125"/>
      <c r="L555" s="125"/>
      <c r="M555" s="1"/>
      <c r="N555" s="1"/>
      <c r="O555" s="125"/>
      <c r="P555" s="125"/>
      <c r="Q555" s="125"/>
      <c r="R555" s="125"/>
      <c r="S555" s="125"/>
      <c r="T555" s="125"/>
      <c r="U555" s="125"/>
      <c r="V555" s="125"/>
      <c r="W555" s="125"/>
      <c r="X555" s="125"/>
      <c r="Y555" s="125"/>
      <c r="Z555" s="125"/>
      <c r="AA555" s="125"/>
      <c r="AB555" s="125"/>
      <c r="AC555" s="125"/>
      <c r="AD555" s="125"/>
      <c r="AE555" s="1"/>
    </row>
    <row r="556" spans="1:31" ht="15.75" customHeight="1">
      <c r="A556" s="125"/>
      <c r="B556" s="125"/>
      <c r="C556" s="125"/>
      <c r="D556" s="125"/>
      <c r="E556" s="125"/>
      <c r="F556" s="125"/>
      <c r="G556" s="125"/>
      <c r="H556" s="125"/>
      <c r="I556" s="125"/>
      <c r="J556" s="125"/>
      <c r="K556" s="125"/>
      <c r="L556" s="125"/>
      <c r="M556" s="1"/>
      <c r="N556" s="1"/>
      <c r="O556" s="125"/>
      <c r="P556" s="125"/>
      <c r="Q556" s="125"/>
      <c r="R556" s="125"/>
      <c r="S556" s="125"/>
      <c r="T556" s="125"/>
      <c r="U556" s="125"/>
      <c r="V556" s="125"/>
      <c r="W556" s="125"/>
      <c r="X556" s="125"/>
      <c r="Y556" s="125"/>
      <c r="Z556" s="125"/>
      <c r="AA556" s="125"/>
      <c r="AB556" s="125"/>
      <c r="AC556" s="125"/>
      <c r="AD556" s="125"/>
      <c r="AE556" s="1"/>
    </row>
    <row r="557" spans="1:31" ht="15.75" customHeight="1">
      <c r="A557" s="125"/>
      <c r="B557" s="125"/>
      <c r="C557" s="125"/>
      <c r="D557" s="125"/>
      <c r="E557" s="125"/>
      <c r="F557" s="125"/>
      <c r="G557" s="125"/>
      <c r="H557" s="125"/>
      <c r="I557" s="125"/>
      <c r="J557" s="125"/>
      <c r="K557" s="125"/>
      <c r="L557" s="125"/>
      <c r="M557" s="1"/>
      <c r="N557" s="1"/>
      <c r="O557" s="125"/>
      <c r="P557" s="125"/>
      <c r="Q557" s="125"/>
      <c r="R557" s="125"/>
      <c r="S557" s="125"/>
      <c r="T557" s="125"/>
      <c r="U557" s="125"/>
      <c r="V557" s="125"/>
      <c r="W557" s="125"/>
      <c r="X557" s="125"/>
      <c r="Y557" s="125"/>
      <c r="Z557" s="125"/>
      <c r="AA557" s="125"/>
      <c r="AB557" s="125"/>
      <c r="AC557" s="125"/>
      <c r="AD557" s="125"/>
      <c r="AE557" s="1"/>
    </row>
    <row r="558" spans="1:31" ht="15.75" customHeight="1">
      <c r="A558" s="125"/>
      <c r="B558" s="125"/>
      <c r="C558" s="125"/>
      <c r="D558" s="125"/>
      <c r="E558" s="125"/>
      <c r="F558" s="125"/>
      <c r="G558" s="125"/>
      <c r="H558" s="125"/>
      <c r="I558" s="125"/>
      <c r="J558" s="125"/>
      <c r="K558" s="125"/>
      <c r="L558" s="125"/>
      <c r="M558" s="1"/>
      <c r="N558" s="1"/>
      <c r="O558" s="125"/>
      <c r="P558" s="125"/>
      <c r="Q558" s="125"/>
      <c r="R558" s="125"/>
      <c r="S558" s="125"/>
      <c r="T558" s="125"/>
      <c r="U558" s="125"/>
      <c r="V558" s="125"/>
      <c r="W558" s="125"/>
      <c r="X558" s="125"/>
      <c r="Y558" s="125"/>
      <c r="Z558" s="125"/>
      <c r="AA558" s="125"/>
      <c r="AB558" s="125"/>
      <c r="AC558" s="125"/>
      <c r="AD558" s="125"/>
      <c r="AE558" s="1"/>
    </row>
    <row r="559" spans="1:31" ht="15.75" customHeight="1">
      <c r="A559" s="125"/>
      <c r="B559" s="125"/>
      <c r="C559" s="125"/>
      <c r="D559" s="125"/>
      <c r="E559" s="125"/>
      <c r="F559" s="125"/>
      <c r="G559" s="125"/>
      <c r="H559" s="125"/>
      <c r="I559" s="125"/>
      <c r="J559" s="125"/>
      <c r="K559" s="125"/>
      <c r="L559" s="125"/>
      <c r="M559" s="1"/>
      <c r="N559" s="1"/>
      <c r="O559" s="125"/>
      <c r="P559" s="125"/>
      <c r="Q559" s="125"/>
      <c r="R559" s="125"/>
      <c r="S559" s="125"/>
      <c r="T559" s="125"/>
      <c r="U559" s="125"/>
      <c r="V559" s="125"/>
      <c r="W559" s="125"/>
      <c r="X559" s="125"/>
      <c r="Y559" s="125"/>
      <c r="Z559" s="125"/>
      <c r="AA559" s="125"/>
      <c r="AB559" s="125"/>
      <c r="AC559" s="125"/>
      <c r="AD559" s="125"/>
      <c r="AE559" s="1"/>
    </row>
    <row r="560" spans="1:31" ht="15.75" customHeight="1">
      <c r="A560" s="125"/>
      <c r="B560" s="125"/>
      <c r="C560" s="125"/>
      <c r="D560" s="125"/>
      <c r="E560" s="125"/>
      <c r="F560" s="125"/>
      <c r="G560" s="125"/>
      <c r="H560" s="125"/>
      <c r="I560" s="125"/>
      <c r="J560" s="125"/>
      <c r="K560" s="125"/>
      <c r="L560" s="125"/>
      <c r="M560" s="1"/>
      <c r="N560" s="1"/>
      <c r="O560" s="125"/>
      <c r="P560" s="125"/>
      <c r="Q560" s="125"/>
      <c r="R560" s="125"/>
      <c r="S560" s="125"/>
      <c r="T560" s="125"/>
      <c r="U560" s="125"/>
      <c r="V560" s="125"/>
      <c r="W560" s="125"/>
      <c r="X560" s="125"/>
      <c r="Y560" s="125"/>
      <c r="Z560" s="125"/>
      <c r="AA560" s="125"/>
      <c r="AB560" s="125"/>
      <c r="AC560" s="125"/>
      <c r="AD560" s="125"/>
      <c r="AE560" s="1"/>
    </row>
    <row r="561" spans="1:31" ht="15.75" customHeight="1">
      <c r="A561" s="125"/>
      <c r="B561" s="125"/>
      <c r="C561" s="125"/>
      <c r="D561" s="125"/>
      <c r="E561" s="125"/>
      <c r="F561" s="125"/>
      <c r="G561" s="125"/>
      <c r="H561" s="125"/>
      <c r="I561" s="125"/>
      <c r="J561" s="125"/>
      <c r="K561" s="125"/>
      <c r="L561" s="125"/>
      <c r="M561" s="1"/>
      <c r="N561" s="1"/>
      <c r="O561" s="125"/>
      <c r="P561" s="125"/>
      <c r="Q561" s="125"/>
      <c r="R561" s="125"/>
      <c r="S561" s="125"/>
      <c r="T561" s="125"/>
      <c r="U561" s="125"/>
      <c r="V561" s="125"/>
      <c r="W561" s="125"/>
      <c r="X561" s="125"/>
      <c r="Y561" s="125"/>
      <c r="Z561" s="125"/>
      <c r="AA561" s="125"/>
      <c r="AB561" s="125"/>
      <c r="AC561" s="125"/>
      <c r="AD561" s="125"/>
      <c r="AE561" s="1"/>
    </row>
    <row r="562" spans="1:31" ht="15.75" customHeight="1">
      <c r="A562" s="125"/>
      <c r="B562" s="125"/>
      <c r="C562" s="125"/>
      <c r="D562" s="125"/>
      <c r="E562" s="125"/>
      <c r="F562" s="125"/>
      <c r="G562" s="125"/>
      <c r="H562" s="125"/>
      <c r="I562" s="125"/>
      <c r="J562" s="125"/>
      <c r="K562" s="125"/>
      <c r="L562" s="125"/>
      <c r="M562" s="1"/>
      <c r="N562" s="1"/>
      <c r="O562" s="125"/>
      <c r="P562" s="125"/>
      <c r="Q562" s="125"/>
      <c r="R562" s="125"/>
      <c r="S562" s="125"/>
      <c r="T562" s="125"/>
      <c r="U562" s="125"/>
      <c r="V562" s="125"/>
      <c r="W562" s="125"/>
      <c r="X562" s="125"/>
      <c r="Y562" s="125"/>
      <c r="Z562" s="125"/>
      <c r="AA562" s="125"/>
      <c r="AB562" s="125"/>
      <c r="AC562" s="125"/>
      <c r="AD562" s="125"/>
      <c r="AE562" s="1"/>
    </row>
    <row r="563" spans="1:31" ht="15.75" customHeight="1">
      <c r="A563" s="125"/>
      <c r="B563" s="125"/>
      <c r="C563" s="125"/>
      <c r="D563" s="125"/>
      <c r="E563" s="125"/>
      <c r="F563" s="125"/>
      <c r="G563" s="125"/>
      <c r="H563" s="125"/>
      <c r="I563" s="125"/>
      <c r="J563" s="125"/>
      <c r="K563" s="125"/>
      <c r="L563" s="125"/>
      <c r="M563" s="1"/>
      <c r="N563" s="1"/>
      <c r="O563" s="125"/>
      <c r="P563" s="125"/>
      <c r="Q563" s="125"/>
      <c r="R563" s="125"/>
      <c r="S563" s="125"/>
      <c r="T563" s="125"/>
      <c r="U563" s="125"/>
      <c r="V563" s="125"/>
      <c r="W563" s="125"/>
      <c r="X563" s="125"/>
      <c r="Y563" s="125"/>
      <c r="Z563" s="125"/>
      <c r="AA563" s="125"/>
      <c r="AB563" s="125"/>
      <c r="AC563" s="125"/>
      <c r="AD563" s="125"/>
      <c r="AE563" s="1"/>
    </row>
    <row r="564" spans="1:31" ht="15.75" customHeight="1">
      <c r="A564" s="125"/>
      <c r="B564" s="125"/>
      <c r="C564" s="125"/>
      <c r="D564" s="125"/>
      <c r="E564" s="125"/>
      <c r="F564" s="125"/>
      <c r="G564" s="125"/>
      <c r="H564" s="125"/>
      <c r="I564" s="125"/>
      <c r="J564" s="125"/>
      <c r="K564" s="125"/>
      <c r="L564" s="125"/>
      <c r="M564" s="1"/>
      <c r="N564" s="1"/>
      <c r="O564" s="125"/>
      <c r="P564" s="125"/>
      <c r="Q564" s="125"/>
      <c r="R564" s="125"/>
      <c r="S564" s="125"/>
      <c r="T564" s="125"/>
      <c r="U564" s="125"/>
      <c r="V564" s="125"/>
      <c r="W564" s="125"/>
      <c r="X564" s="125"/>
      <c r="Y564" s="125"/>
      <c r="Z564" s="125"/>
      <c r="AA564" s="125"/>
      <c r="AB564" s="125"/>
      <c r="AC564" s="125"/>
      <c r="AD564" s="125"/>
      <c r="AE564" s="1"/>
    </row>
    <row r="565" spans="1:31" ht="15.75" customHeight="1">
      <c r="A565" s="125"/>
      <c r="B565" s="125"/>
      <c r="C565" s="125"/>
      <c r="D565" s="125"/>
      <c r="E565" s="125"/>
      <c r="F565" s="125"/>
      <c r="G565" s="125"/>
      <c r="H565" s="125"/>
      <c r="I565" s="125"/>
      <c r="J565" s="125"/>
      <c r="K565" s="125"/>
      <c r="L565" s="125"/>
      <c r="M565" s="1"/>
      <c r="N565" s="1"/>
      <c r="O565" s="125"/>
      <c r="P565" s="125"/>
      <c r="Q565" s="125"/>
      <c r="R565" s="125"/>
      <c r="S565" s="125"/>
      <c r="T565" s="125"/>
      <c r="U565" s="125"/>
      <c r="V565" s="125"/>
      <c r="W565" s="125"/>
      <c r="X565" s="125"/>
      <c r="Y565" s="125"/>
      <c r="Z565" s="125"/>
      <c r="AA565" s="125"/>
      <c r="AB565" s="125"/>
      <c r="AC565" s="125"/>
      <c r="AD565" s="125"/>
      <c r="AE565" s="1"/>
    </row>
    <row r="566" spans="1:31" ht="15.75" customHeight="1">
      <c r="A566" s="125"/>
      <c r="B566" s="125"/>
      <c r="C566" s="125"/>
      <c r="D566" s="125"/>
      <c r="E566" s="125"/>
      <c r="F566" s="125"/>
      <c r="G566" s="125"/>
      <c r="H566" s="125"/>
      <c r="I566" s="125"/>
      <c r="J566" s="125"/>
      <c r="K566" s="125"/>
      <c r="L566" s="125"/>
      <c r="M566" s="1"/>
      <c r="N566" s="1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"/>
    </row>
    <row r="567" spans="1:31" ht="15.75" customHeight="1">
      <c r="A567" s="125"/>
      <c r="B567" s="125"/>
      <c r="C567" s="125"/>
      <c r="D567" s="125"/>
      <c r="E567" s="125"/>
      <c r="F567" s="125"/>
      <c r="G567" s="125"/>
      <c r="H567" s="125"/>
      <c r="I567" s="125"/>
      <c r="J567" s="125"/>
      <c r="K567" s="125"/>
      <c r="L567" s="125"/>
      <c r="M567" s="1"/>
      <c r="N567" s="1"/>
      <c r="O567" s="125"/>
      <c r="P567" s="125"/>
      <c r="Q567" s="125"/>
      <c r="R567" s="125"/>
      <c r="S567" s="125"/>
      <c r="T567" s="125"/>
      <c r="U567" s="125"/>
      <c r="V567" s="125"/>
      <c r="W567" s="125"/>
      <c r="X567" s="125"/>
      <c r="Y567" s="125"/>
      <c r="Z567" s="125"/>
      <c r="AA567" s="125"/>
      <c r="AB567" s="125"/>
      <c r="AC567" s="125"/>
      <c r="AD567" s="125"/>
      <c r="AE567" s="1"/>
    </row>
    <row r="568" spans="1:31" ht="15.75" customHeight="1">
      <c r="A568" s="125"/>
      <c r="B568" s="125"/>
      <c r="C568" s="125"/>
      <c r="D568" s="125"/>
      <c r="E568" s="125"/>
      <c r="F568" s="125"/>
      <c r="G568" s="125"/>
      <c r="H568" s="125"/>
      <c r="I568" s="125"/>
      <c r="J568" s="125"/>
      <c r="K568" s="125"/>
      <c r="L568" s="125"/>
      <c r="M568" s="1"/>
      <c r="N568" s="1"/>
      <c r="O568" s="125"/>
      <c r="P568" s="125"/>
      <c r="Q568" s="125"/>
      <c r="R568" s="125"/>
      <c r="S568" s="125"/>
      <c r="T568" s="125"/>
      <c r="U568" s="125"/>
      <c r="V568" s="125"/>
      <c r="W568" s="125"/>
      <c r="X568" s="125"/>
      <c r="Y568" s="125"/>
      <c r="Z568" s="125"/>
      <c r="AA568" s="125"/>
      <c r="AB568" s="125"/>
      <c r="AC568" s="125"/>
      <c r="AD568" s="125"/>
      <c r="AE568" s="1"/>
    </row>
    <row r="569" spans="1:31" ht="15.75" customHeight="1">
      <c r="A569" s="125"/>
      <c r="B569" s="125"/>
      <c r="C569" s="125"/>
      <c r="D569" s="125"/>
      <c r="E569" s="125"/>
      <c r="F569" s="125"/>
      <c r="G569" s="125"/>
      <c r="H569" s="125"/>
      <c r="I569" s="125"/>
      <c r="J569" s="125"/>
      <c r="K569" s="125"/>
      <c r="L569" s="125"/>
      <c r="M569" s="1"/>
      <c r="N569" s="1"/>
      <c r="O569" s="125"/>
      <c r="P569" s="125"/>
      <c r="Q569" s="125"/>
      <c r="R569" s="125"/>
      <c r="S569" s="125"/>
      <c r="T569" s="125"/>
      <c r="U569" s="125"/>
      <c r="V569" s="125"/>
      <c r="W569" s="125"/>
      <c r="X569" s="125"/>
      <c r="Y569" s="125"/>
      <c r="Z569" s="125"/>
      <c r="AA569" s="125"/>
      <c r="AB569" s="125"/>
      <c r="AC569" s="125"/>
      <c r="AD569" s="125"/>
      <c r="AE569" s="1"/>
    </row>
    <row r="570" spans="1:31" ht="15.75" customHeight="1">
      <c r="A570" s="125"/>
      <c r="B570" s="125"/>
      <c r="C570" s="125"/>
      <c r="D570" s="125"/>
      <c r="E570" s="125"/>
      <c r="F570" s="125"/>
      <c r="G570" s="125"/>
      <c r="H570" s="125"/>
      <c r="I570" s="125"/>
      <c r="J570" s="125"/>
      <c r="K570" s="125"/>
      <c r="L570" s="125"/>
      <c r="M570" s="1"/>
      <c r="N570" s="1"/>
      <c r="O570" s="125"/>
      <c r="P570" s="125"/>
      <c r="Q570" s="125"/>
      <c r="R570" s="125"/>
      <c r="S570" s="125"/>
      <c r="T570" s="125"/>
      <c r="U570" s="125"/>
      <c r="V570" s="125"/>
      <c r="W570" s="125"/>
      <c r="X570" s="125"/>
      <c r="Y570" s="125"/>
      <c r="Z570" s="125"/>
      <c r="AA570" s="125"/>
      <c r="AB570" s="125"/>
      <c r="AC570" s="125"/>
      <c r="AD570" s="125"/>
      <c r="AE570" s="1"/>
    </row>
    <row r="571" spans="1:3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</row>
    <row r="572" spans="1:31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</row>
    <row r="573" spans="1:31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</row>
    <row r="574" spans="1:31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</row>
    <row r="575" spans="1:31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</row>
    <row r="576" spans="1:31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</row>
    <row r="577" spans="1:7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</row>
    <row r="578" spans="1:76" ht="20.25" customHeight="1" thickBot="1">
      <c r="A578" s="133" t="s">
        <v>18</v>
      </c>
      <c r="B578" s="133"/>
      <c r="C578" s="133"/>
      <c r="D578" s="133"/>
      <c r="E578" s="133"/>
      <c r="F578" s="4"/>
      <c r="G578" s="5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1"/>
      <c r="Z578" s="1"/>
      <c r="AA578" s="1"/>
      <c r="AB578" s="1"/>
      <c r="AC578" s="1"/>
      <c r="AD578" s="1"/>
      <c r="AE578" s="1"/>
    </row>
    <row r="579" spans="1:7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</row>
    <row r="580" spans="1:76" ht="15.75" customHeight="1">
      <c r="A580" s="134" t="s">
        <v>51</v>
      </c>
      <c r="B580" s="134"/>
      <c r="C580" s="134"/>
      <c r="D580" s="21"/>
      <c r="E580" s="2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</row>
    <row r="581" spans="1:76" ht="15.75" customHeight="1">
      <c r="A581" s="138" t="s">
        <v>56</v>
      </c>
      <c r="B581" s="138"/>
      <c r="C581" s="138"/>
      <c r="D581" s="21"/>
      <c r="E581" s="2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</row>
    <row r="582" spans="1:76" ht="15.75" customHeight="1">
      <c r="A582" s="139" t="s">
        <v>57</v>
      </c>
      <c r="B582" s="139"/>
      <c r="C582" s="139"/>
      <c r="D582" s="21"/>
      <c r="E582" s="2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76" ht="15.75" customHeight="1">
      <c r="A583" s="135" t="s">
        <v>58</v>
      </c>
      <c r="B583" s="135"/>
      <c r="C583" s="135"/>
      <c r="D583" s="21"/>
      <c r="E583" s="2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7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76" s="41" customFormat="1" ht="28.5">
      <c r="A585" s="146" t="s">
        <v>106</v>
      </c>
      <c r="B585" s="146"/>
      <c r="C585" s="146"/>
      <c r="D585" s="42" t="s">
        <v>101</v>
      </c>
      <c r="E585" s="42" t="s">
        <v>111</v>
      </c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</row>
    <row r="586" spans="1:76" ht="15.75" customHeight="1">
      <c r="A586" s="132" t="s">
        <v>107</v>
      </c>
      <c r="B586" s="132"/>
      <c r="C586" s="132"/>
      <c r="D586" s="37"/>
      <c r="E586" s="37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BL586" s="41"/>
      <c r="BM586" s="41"/>
      <c r="BN586" s="41"/>
      <c r="BO586" s="41"/>
      <c r="BP586" s="41"/>
      <c r="BQ586" s="41"/>
      <c r="BR586" s="41"/>
      <c r="BS586" s="41"/>
      <c r="BT586" s="41"/>
      <c r="BU586" s="41"/>
      <c r="BV586" s="41"/>
      <c r="BW586" s="41"/>
      <c r="BX586" s="41"/>
    </row>
    <row r="587" spans="1:76" ht="15.75" customHeight="1">
      <c r="A587" s="132" t="s">
        <v>108</v>
      </c>
      <c r="B587" s="132"/>
      <c r="C587" s="132"/>
      <c r="D587" s="37"/>
      <c r="E587" s="37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76" ht="15.75" customHeight="1">
      <c r="A588" s="132" t="s">
        <v>109</v>
      </c>
      <c r="B588" s="132"/>
      <c r="C588" s="132"/>
      <c r="D588" s="37"/>
      <c r="E588" s="37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76" ht="15.75" customHeight="1">
      <c r="A589" s="132" t="s">
        <v>110</v>
      </c>
      <c r="B589" s="132"/>
      <c r="C589" s="132"/>
      <c r="D589" s="37"/>
      <c r="E589" s="37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</row>
    <row r="590" spans="1:7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7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76" ht="15.75" customHeight="1">
      <c r="A592" s="131" t="s">
        <v>61</v>
      </c>
      <c r="B592" s="131"/>
      <c r="C592" s="131"/>
      <c r="D592" s="1"/>
      <c r="E592" s="1"/>
      <c r="F592" s="1"/>
      <c r="G592" s="1"/>
      <c r="H592" s="1"/>
      <c r="I592" s="1"/>
      <c r="K592" s="21"/>
      <c r="L592" s="21"/>
      <c r="M592" s="1"/>
      <c r="N592" s="1"/>
      <c r="O592" s="131" t="s">
        <v>62</v>
      </c>
      <c r="P592" s="131"/>
      <c r="Q592" s="131"/>
      <c r="R592" s="13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31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31" ht="15.75" customHeight="1">
      <c r="A594" s="125"/>
      <c r="B594" s="125"/>
      <c r="C594" s="125"/>
      <c r="D594" s="125"/>
      <c r="E594" s="125"/>
      <c r="F594" s="125"/>
      <c r="G594" s="125"/>
      <c r="H594" s="125"/>
      <c r="I594" s="125"/>
      <c r="J594" s="125"/>
      <c r="K594" s="125"/>
      <c r="L594" s="125"/>
      <c r="M594" s="1"/>
      <c r="N594" s="1"/>
      <c r="O594" s="125"/>
      <c r="P594" s="125"/>
      <c r="Q594" s="125"/>
      <c r="R594" s="125"/>
      <c r="S594" s="125"/>
      <c r="T594" s="125"/>
      <c r="U594" s="125"/>
      <c r="V594" s="125"/>
      <c r="W594" s="125"/>
      <c r="X594" s="125"/>
      <c r="Y594" s="125"/>
      <c r="Z594" s="125"/>
      <c r="AA594" s="125"/>
      <c r="AB594" s="125"/>
      <c r="AC594" s="125"/>
      <c r="AD594" s="125"/>
      <c r="AE594" s="1"/>
    </row>
    <row r="595" spans="1:31" ht="15.75" customHeight="1">
      <c r="A595" s="125"/>
      <c r="B595" s="125"/>
      <c r="C595" s="125"/>
      <c r="D595" s="125"/>
      <c r="E595" s="125"/>
      <c r="F595" s="125"/>
      <c r="G595" s="125"/>
      <c r="H595" s="125"/>
      <c r="I595" s="125"/>
      <c r="J595" s="125"/>
      <c r="K595" s="125"/>
      <c r="L595" s="125"/>
      <c r="M595" s="1"/>
      <c r="N595" s="1"/>
      <c r="O595" s="125"/>
      <c r="P595" s="125"/>
      <c r="Q595" s="125"/>
      <c r="R595" s="125"/>
      <c r="S595" s="125"/>
      <c r="T595" s="125"/>
      <c r="U595" s="125"/>
      <c r="V595" s="125"/>
      <c r="W595" s="125"/>
      <c r="X595" s="125"/>
      <c r="Y595" s="125"/>
      <c r="Z595" s="125"/>
      <c r="AA595" s="125"/>
      <c r="AB595" s="125"/>
      <c r="AC595" s="125"/>
      <c r="AD595" s="125"/>
      <c r="AE595" s="1"/>
    </row>
    <row r="596" spans="1:31" ht="15.75" customHeight="1">
      <c r="A596" s="125"/>
      <c r="B596" s="125"/>
      <c r="C596" s="125"/>
      <c r="D596" s="125"/>
      <c r="E596" s="125"/>
      <c r="F596" s="125"/>
      <c r="G596" s="125"/>
      <c r="H596" s="125"/>
      <c r="I596" s="125"/>
      <c r="J596" s="125"/>
      <c r="K596" s="125"/>
      <c r="L596" s="125"/>
      <c r="M596" s="1"/>
      <c r="N596" s="1"/>
      <c r="O596" s="125"/>
      <c r="P596" s="125"/>
      <c r="Q596" s="125"/>
      <c r="R596" s="125"/>
      <c r="S596" s="125"/>
      <c r="T596" s="125"/>
      <c r="U596" s="125"/>
      <c r="V596" s="125"/>
      <c r="W596" s="125"/>
      <c r="X596" s="125"/>
      <c r="Y596" s="125"/>
      <c r="Z596" s="125"/>
      <c r="AA596" s="125"/>
      <c r="AB596" s="125"/>
      <c r="AC596" s="125"/>
      <c r="AD596" s="125"/>
      <c r="AE596" s="1"/>
    </row>
    <row r="597" spans="1:31" ht="15.75" customHeight="1">
      <c r="A597" s="125"/>
      <c r="B597" s="125"/>
      <c r="C597" s="125"/>
      <c r="D597" s="125"/>
      <c r="E597" s="125"/>
      <c r="F597" s="125"/>
      <c r="G597" s="125"/>
      <c r="H597" s="125"/>
      <c r="I597" s="125"/>
      <c r="J597" s="125"/>
      <c r="K597" s="125"/>
      <c r="L597" s="125"/>
      <c r="M597" s="1"/>
      <c r="N597" s="1"/>
      <c r="O597" s="125"/>
      <c r="P597" s="125"/>
      <c r="Q597" s="125"/>
      <c r="R597" s="125"/>
      <c r="S597" s="125"/>
      <c r="T597" s="125"/>
      <c r="U597" s="125"/>
      <c r="V597" s="125"/>
      <c r="W597" s="125"/>
      <c r="X597" s="125"/>
      <c r="Y597" s="125"/>
      <c r="Z597" s="125"/>
      <c r="AA597" s="125"/>
      <c r="AB597" s="125"/>
      <c r="AC597" s="125"/>
      <c r="AD597" s="125"/>
      <c r="AE597" s="1"/>
    </row>
    <row r="598" spans="1:31" ht="15.75" customHeight="1">
      <c r="A598" s="125"/>
      <c r="B598" s="125"/>
      <c r="C598" s="125"/>
      <c r="D598" s="125"/>
      <c r="E598" s="125"/>
      <c r="F598" s="125"/>
      <c r="G598" s="125"/>
      <c r="H598" s="125"/>
      <c r="I598" s="125"/>
      <c r="J598" s="125"/>
      <c r="K598" s="125"/>
      <c r="L598" s="125"/>
      <c r="M598" s="1"/>
      <c r="N598" s="1"/>
      <c r="O598" s="125"/>
      <c r="P598" s="125"/>
      <c r="Q598" s="125"/>
      <c r="R598" s="125"/>
      <c r="S598" s="125"/>
      <c r="T598" s="125"/>
      <c r="U598" s="125"/>
      <c r="V598" s="125"/>
      <c r="W598" s="125"/>
      <c r="X598" s="125"/>
      <c r="Y598" s="125"/>
      <c r="Z598" s="125"/>
      <c r="AA598" s="125"/>
      <c r="AB598" s="125"/>
      <c r="AC598" s="125"/>
      <c r="AD598" s="125"/>
      <c r="AE598" s="1"/>
    </row>
    <row r="599" spans="1:31" ht="15.75" customHeight="1">
      <c r="A599" s="125"/>
      <c r="B599" s="125"/>
      <c r="C599" s="125"/>
      <c r="D599" s="125"/>
      <c r="E599" s="125"/>
      <c r="F599" s="125"/>
      <c r="G599" s="125"/>
      <c r="H599" s="125"/>
      <c r="I599" s="125"/>
      <c r="J599" s="125"/>
      <c r="K599" s="125"/>
      <c r="L599" s="125"/>
      <c r="M599" s="1"/>
      <c r="N599" s="1"/>
      <c r="O599" s="125"/>
      <c r="P599" s="125"/>
      <c r="Q599" s="125"/>
      <c r="R599" s="125"/>
      <c r="S599" s="125"/>
      <c r="T599" s="125"/>
      <c r="U599" s="125"/>
      <c r="V599" s="125"/>
      <c r="W599" s="125"/>
      <c r="X599" s="125"/>
      <c r="Y599" s="125"/>
      <c r="Z599" s="125"/>
      <c r="AA599" s="125"/>
      <c r="AB599" s="125"/>
      <c r="AC599" s="125"/>
      <c r="AD599" s="125"/>
      <c r="AE599" s="1"/>
    </row>
    <row r="600" spans="1:31" ht="15.75" customHeight="1">
      <c r="A600" s="125"/>
      <c r="B600" s="125"/>
      <c r="C600" s="125"/>
      <c r="D600" s="125"/>
      <c r="E600" s="125"/>
      <c r="F600" s="125"/>
      <c r="G600" s="125"/>
      <c r="H600" s="125"/>
      <c r="I600" s="125"/>
      <c r="J600" s="125"/>
      <c r="K600" s="125"/>
      <c r="L600" s="125"/>
      <c r="M600" s="1"/>
      <c r="N600" s="1"/>
      <c r="O600" s="125"/>
      <c r="P600" s="125"/>
      <c r="Q600" s="125"/>
      <c r="R600" s="125"/>
      <c r="S600" s="125"/>
      <c r="T600" s="125"/>
      <c r="U600" s="125"/>
      <c r="V600" s="125"/>
      <c r="W600" s="125"/>
      <c r="X600" s="125"/>
      <c r="Y600" s="125"/>
      <c r="Z600" s="125"/>
      <c r="AA600" s="125"/>
      <c r="AB600" s="125"/>
      <c r="AC600" s="125"/>
      <c r="AD600" s="125"/>
      <c r="AE600" s="1"/>
    </row>
    <row r="601" spans="1:31" ht="15.75" customHeight="1">
      <c r="A601" s="125"/>
      <c r="B601" s="125"/>
      <c r="C601" s="125"/>
      <c r="D601" s="125"/>
      <c r="E601" s="125"/>
      <c r="F601" s="125"/>
      <c r="G601" s="125"/>
      <c r="H601" s="125"/>
      <c r="I601" s="125"/>
      <c r="J601" s="125"/>
      <c r="K601" s="125"/>
      <c r="L601" s="125"/>
      <c r="M601" s="1"/>
      <c r="N601" s="1"/>
      <c r="O601" s="125"/>
      <c r="P601" s="125"/>
      <c r="Q601" s="125"/>
      <c r="R601" s="125"/>
      <c r="S601" s="125"/>
      <c r="T601" s="125"/>
      <c r="U601" s="125"/>
      <c r="V601" s="125"/>
      <c r="W601" s="125"/>
      <c r="X601" s="125"/>
      <c r="Y601" s="125"/>
      <c r="Z601" s="125"/>
      <c r="AA601" s="125"/>
      <c r="AB601" s="125"/>
      <c r="AC601" s="125"/>
      <c r="AD601" s="125"/>
      <c r="AE601" s="1"/>
    </row>
    <row r="602" spans="1:31" ht="15.75" customHeight="1">
      <c r="A602" s="125"/>
      <c r="B602" s="125"/>
      <c r="C602" s="125"/>
      <c r="D602" s="125"/>
      <c r="E602" s="125"/>
      <c r="F602" s="125"/>
      <c r="G602" s="125"/>
      <c r="H602" s="125"/>
      <c r="I602" s="125"/>
      <c r="J602" s="125"/>
      <c r="K602" s="125"/>
      <c r="L602" s="125"/>
      <c r="M602" s="1"/>
      <c r="N602" s="1"/>
      <c r="O602" s="125"/>
      <c r="P602" s="125"/>
      <c r="Q602" s="125"/>
      <c r="R602" s="125"/>
      <c r="S602" s="125"/>
      <c r="T602" s="125"/>
      <c r="U602" s="125"/>
      <c r="V602" s="125"/>
      <c r="W602" s="125"/>
      <c r="X602" s="125"/>
      <c r="Y602" s="125"/>
      <c r="Z602" s="125"/>
      <c r="AA602" s="125"/>
      <c r="AB602" s="125"/>
      <c r="AC602" s="125"/>
      <c r="AD602" s="125"/>
      <c r="AE602" s="1"/>
    </row>
    <row r="603" spans="1:31" ht="15.75" customHeight="1">
      <c r="A603" s="125"/>
      <c r="B603" s="125"/>
      <c r="C603" s="125"/>
      <c r="D603" s="125"/>
      <c r="E603" s="125"/>
      <c r="F603" s="125"/>
      <c r="G603" s="125"/>
      <c r="H603" s="125"/>
      <c r="I603" s="125"/>
      <c r="J603" s="125"/>
      <c r="K603" s="125"/>
      <c r="L603" s="125"/>
      <c r="M603" s="1"/>
      <c r="N603" s="1"/>
      <c r="O603" s="125"/>
      <c r="P603" s="125"/>
      <c r="Q603" s="125"/>
      <c r="R603" s="125"/>
      <c r="S603" s="125"/>
      <c r="T603" s="125"/>
      <c r="U603" s="125"/>
      <c r="V603" s="125"/>
      <c r="W603" s="125"/>
      <c r="X603" s="125"/>
      <c r="Y603" s="125"/>
      <c r="Z603" s="125"/>
      <c r="AA603" s="125"/>
      <c r="AB603" s="125"/>
      <c r="AC603" s="125"/>
      <c r="AD603" s="125"/>
      <c r="AE603" s="1"/>
    </row>
    <row r="604" spans="1:31" ht="15.75" customHeight="1">
      <c r="A604" s="125"/>
      <c r="B604" s="125"/>
      <c r="C604" s="125"/>
      <c r="D604" s="125"/>
      <c r="E604" s="125"/>
      <c r="F604" s="125"/>
      <c r="G604" s="125"/>
      <c r="H604" s="125"/>
      <c r="I604" s="125"/>
      <c r="J604" s="125"/>
      <c r="K604" s="125"/>
      <c r="L604" s="125"/>
      <c r="M604" s="1"/>
      <c r="N604" s="1"/>
      <c r="O604" s="125"/>
      <c r="P604" s="125"/>
      <c r="Q604" s="125"/>
      <c r="R604" s="125"/>
      <c r="S604" s="125"/>
      <c r="T604" s="125"/>
      <c r="U604" s="125"/>
      <c r="V604" s="125"/>
      <c r="W604" s="125"/>
      <c r="X604" s="125"/>
      <c r="Y604" s="125"/>
      <c r="Z604" s="125"/>
      <c r="AA604" s="125"/>
      <c r="AB604" s="125"/>
      <c r="AC604" s="125"/>
      <c r="AD604" s="125"/>
      <c r="AE604" s="1"/>
    </row>
    <row r="605" spans="1:31" ht="15.75" customHeight="1">
      <c r="A605" s="125"/>
      <c r="B605" s="125"/>
      <c r="C605" s="125"/>
      <c r="D605" s="125"/>
      <c r="E605" s="125"/>
      <c r="F605" s="125"/>
      <c r="G605" s="125"/>
      <c r="H605" s="125"/>
      <c r="I605" s="125"/>
      <c r="J605" s="125"/>
      <c r="K605" s="125"/>
      <c r="L605" s="125"/>
      <c r="M605" s="1"/>
      <c r="N605" s="1"/>
      <c r="O605" s="125"/>
      <c r="P605" s="125"/>
      <c r="Q605" s="125"/>
      <c r="R605" s="125"/>
      <c r="S605" s="125"/>
      <c r="T605" s="125"/>
      <c r="U605" s="125"/>
      <c r="V605" s="125"/>
      <c r="W605" s="125"/>
      <c r="X605" s="125"/>
      <c r="Y605" s="125"/>
      <c r="Z605" s="125"/>
      <c r="AA605" s="125"/>
      <c r="AB605" s="125"/>
      <c r="AC605" s="125"/>
      <c r="AD605" s="125"/>
      <c r="AE605" s="1"/>
    </row>
    <row r="606" spans="1:31" ht="15.75" customHeight="1">
      <c r="A606" s="125"/>
      <c r="B606" s="125"/>
      <c r="C606" s="125"/>
      <c r="D606" s="125"/>
      <c r="E606" s="125"/>
      <c r="F606" s="125"/>
      <c r="G606" s="125"/>
      <c r="H606" s="125"/>
      <c r="I606" s="125"/>
      <c r="J606" s="125"/>
      <c r="K606" s="125"/>
      <c r="L606" s="125"/>
      <c r="M606" s="1"/>
      <c r="N606" s="1"/>
      <c r="O606" s="125"/>
      <c r="P606" s="125"/>
      <c r="Q606" s="125"/>
      <c r="R606" s="125"/>
      <c r="S606" s="125"/>
      <c r="T606" s="125"/>
      <c r="U606" s="125"/>
      <c r="V606" s="125"/>
      <c r="W606" s="125"/>
      <c r="X606" s="125"/>
      <c r="Y606" s="125"/>
      <c r="Z606" s="125"/>
      <c r="AA606" s="125"/>
      <c r="AB606" s="125"/>
      <c r="AC606" s="125"/>
      <c r="AD606" s="125"/>
      <c r="AE606" s="1"/>
    </row>
    <row r="607" spans="1:31" ht="15.75" customHeight="1">
      <c r="A607" s="125"/>
      <c r="B607" s="125"/>
      <c r="C607" s="125"/>
      <c r="D607" s="125"/>
      <c r="E607" s="125"/>
      <c r="F607" s="125"/>
      <c r="G607" s="125"/>
      <c r="H607" s="125"/>
      <c r="I607" s="125"/>
      <c r="J607" s="125"/>
      <c r="K607" s="125"/>
      <c r="L607" s="125"/>
      <c r="M607" s="1"/>
      <c r="N607" s="1"/>
      <c r="O607" s="125"/>
      <c r="P607" s="125"/>
      <c r="Q607" s="125"/>
      <c r="R607" s="125"/>
      <c r="S607" s="125"/>
      <c r="T607" s="125"/>
      <c r="U607" s="125"/>
      <c r="V607" s="125"/>
      <c r="W607" s="125"/>
      <c r="X607" s="125"/>
      <c r="Y607" s="125"/>
      <c r="Z607" s="125"/>
      <c r="AA607" s="125"/>
      <c r="AB607" s="125"/>
      <c r="AC607" s="125"/>
      <c r="AD607" s="125"/>
      <c r="AE607" s="1"/>
    </row>
    <row r="608" spans="1:31" ht="15.75" customHeight="1">
      <c r="A608" s="125"/>
      <c r="B608" s="125"/>
      <c r="C608" s="125"/>
      <c r="D608" s="125"/>
      <c r="E608" s="125"/>
      <c r="F608" s="125"/>
      <c r="G608" s="125"/>
      <c r="H608" s="125"/>
      <c r="I608" s="125"/>
      <c r="J608" s="125"/>
      <c r="K608" s="125"/>
      <c r="L608" s="125"/>
      <c r="M608" s="1"/>
      <c r="N608" s="1"/>
      <c r="O608" s="125"/>
      <c r="P608" s="125"/>
      <c r="Q608" s="125"/>
      <c r="R608" s="125"/>
      <c r="S608" s="125"/>
      <c r="T608" s="125"/>
      <c r="U608" s="125"/>
      <c r="V608" s="125"/>
      <c r="W608" s="125"/>
      <c r="X608" s="125"/>
      <c r="Y608" s="125"/>
      <c r="Z608" s="125"/>
      <c r="AA608" s="125"/>
      <c r="AB608" s="125"/>
      <c r="AC608" s="125"/>
      <c r="AD608" s="125"/>
      <c r="AE608" s="1"/>
    </row>
    <row r="609" spans="1:31" ht="15.75" customHeight="1">
      <c r="A609" s="125"/>
      <c r="B609" s="125"/>
      <c r="C609" s="125"/>
      <c r="D609" s="125"/>
      <c r="E609" s="125"/>
      <c r="F609" s="125"/>
      <c r="G609" s="125"/>
      <c r="H609" s="125"/>
      <c r="I609" s="125"/>
      <c r="J609" s="125"/>
      <c r="K609" s="125"/>
      <c r="L609" s="125"/>
      <c r="M609" s="1"/>
      <c r="N609" s="1"/>
      <c r="O609" s="125"/>
      <c r="P609" s="125"/>
      <c r="Q609" s="125"/>
      <c r="R609" s="125"/>
      <c r="S609" s="125"/>
      <c r="T609" s="125"/>
      <c r="U609" s="125"/>
      <c r="V609" s="125"/>
      <c r="W609" s="125"/>
      <c r="X609" s="125"/>
      <c r="Y609" s="125"/>
      <c r="Z609" s="125"/>
      <c r="AA609" s="125"/>
      <c r="AB609" s="125"/>
      <c r="AC609" s="125"/>
      <c r="AD609" s="125"/>
      <c r="AE609" s="1"/>
    </row>
    <row r="610" spans="1:31" ht="15.75" customHeight="1">
      <c r="A610" s="125"/>
      <c r="B610" s="125"/>
      <c r="C610" s="125"/>
      <c r="D610" s="125"/>
      <c r="E610" s="125"/>
      <c r="F610" s="125"/>
      <c r="G610" s="125"/>
      <c r="H610" s="125"/>
      <c r="I610" s="125"/>
      <c r="J610" s="125"/>
      <c r="K610" s="125"/>
      <c r="L610" s="125"/>
      <c r="M610" s="1"/>
      <c r="N610" s="1"/>
      <c r="O610" s="125"/>
      <c r="P610" s="125"/>
      <c r="Q610" s="125"/>
      <c r="R610" s="125"/>
      <c r="S610" s="125"/>
      <c r="T610" s="125"/>
      <c r="U610" s="125"/>
      <c r="V610" s="125"/>
      <c r="W610" s="125"/>
      <c r="X610" s="125"/>
      <c r="Y610" s="125"/>
      <c r="Z610" s="125"/>
      <c r="AA610" s="125"/>
      <c r="AB610" s="125"/>
      <c r="AC610" s="125"/>
      <c r="AD610" s="125"/>
      <c r="AE610" s="1"/>
    </row>
    <row r="611" spans="1:31" ht="15.75" customHeight="1">
      <c r="A611" s="125"/>
      <c r="B611" s="125"/>
      <c r="C611" s="125"/>
      <c r="D611" s="125"/>
      <c r="E611" s="125"/>
      <c r="F611" s="125"/>
      <c r="G611" s="125"/>
      <c r="H611" s="125"/>
      <c r="I611" s="125"/>
      <c r="J611" s="125"/>
      <c r="K611" s="125"/>
      <c r="L611" s="125"/>
      <c r="M611" s="1"/>
      <c r="N611" s="1"/>
      <c r="O611" s="125"/>
      <c r="P611" s="125"/>
      <c r="Q611" s="125"/>
      <c r="R611" s="125"/>
      <c r="S611" s="125"/>
      <c r="T611" s="125"/>
      <c r="U611" s="125"/>
      <c r="V611" s="125"/>
      <c r="W611" s="125"/>
      <c r="X611" s="125"/>
      <c r="Y611" s="125"/>
      <c r="Z611" s="125"/>
      <c r="AA611" s="125"/>
      <c r="AB611" s="125"/>
      <c r="AC611" s="125"/>
      <c r="AD611" s="125"/>
      <c r="AE611" s="1"/>
    </row>
    <row r="612" spans="1:31" ht="15.75" customHeight="1">
      <c r="A612" s="125"/>
      <c r="B612" s="125"/>
      <c r="C612" s="125"/>
      <c r="D612" s="125"/>
      <c r="E612" s="125"/>
      <c r="F612" s="125"/>
      <c r="G612" s="125"/>
      <c r="H612" s="125"/>
      <c r="I612" s="125"/>
      <c r="J612" s="125"/>
      <c r="K612" s="125"/>
      <c r="L612" s="125"/>
      <c r="M612" s="1"/>
      <c r="N612" s="1"/>
      <c r="O612" s="125"/>
      <c r="P612" s="125"/>
      <c r="Q612" s="125"/>
      <c r="R612" s="125"/>
      <c r="S612" s="125"/>
      <c r="T612" s="125"/>
      <c r="U612" s="125"/>
      <c r="V612" s="125"/>
      <c r="W612" s="125"/>
      <c r="X612" s="125"/>
      <c r="Y612" s="125"/>
      <c r="Z612" s="125"/>
      <c r="AA612" s="125"/>
      <c r="AB612" s="125"/>
      <c r="AC612" s="125"/>
      <c r="AD612" s="125"/>
      <c r="AE612" s="1"/>
    </row>
    <row r="613" spans="1:31" ht="15.75" customHeight="1">
      <c r="A613" s="125"/>
      <c r="B613" s="125"/>
      <c r="C613" s="125"/>
      <c r="D613" s="125"/>
      <c r="E613" s="125"/>
      <c r="F613" s="125"/>
      <c r="G613" s="125"/>
      <c r="H613" s="125"/>
      <c r="I613" s="125"/>
      <c r="J613" s="125"/>
      <c r="K613" s="125"/>
      <c r="L613" s="125"/>
      <c r="M613" s="1"/>
      <c r="N613" s="1"/>
      <c r="O613" s="125"/>
      <c r="P613" s="125"/>
      <c r="Q613" s="125"/>
      <c r="R613" s="125"/>
      <c r="S613" s="125"/>
      <c r="T613" s="125"/>
      <c r="U613" s="125"/>
      <c r="V613" s="125"/>
      <c r="W613" s="125"/>
      <c r="X613" s="125"/>
      <c r="Y613" s="125"/>
      <c r="Z613" s="125"/>
      <c r="AA613" s="125"/>
      <c r="AB613" s="125"/>
      <c r="AC613" s="125"/>
      <c r="AD613" s="125"/>
      <c r="AE613" s="1"/>
    </row>
    <row r="614" spans="1:31" ht="15.75" customHeight="1">
      <c r="A614" s="125"/>
      <c r="B614" s="125"/>
      <c r="C614" s="125"/>
      <c r="D614" s="125"/>
      <c r="E614" s="125"/>
      <c r="F614" s="125"/>
      <c r="G614" s="125"/>
      <c r="H614" s="125"/>
      <c r="I614" s="125"/>
      <c r="J614" s="125"/>
      <c r="K614" s="125"/>
      <c r="L614" s="125"/>
      <c r="M614" s="1"/>
      <c r="N614" s="1"/>
      <c r="O614" s="125"/>
      <c r="P614" s="125"/>
      <c r="Q614" s="125"/>
      <c r="R614" s="125"/>
      <c r="S614" s="125"/>
      <c r="T614" s="125"/>
      <c r="U614" s="125"/>
      <c r="V614" s="125"/>
      <c r="W614" s="125"/>
      <c r="X614" s="125"/>
      <c r="Y614" s="125"/>
      <c r="Z614" s="125"/>
      <c r="AA614" s="125"/>
      <c r="AB614" s="125"/>
      <c r="AC614" s="125"/>
      <c r="AD614" s="125"/>
      <c r="AE614" s="1"/>
    </row>
    <row r="615" spans="1:31" ht="15.75" customHeight="1">
      <c r="A615" s="125"/>
      <c r="B615" s="125"/>
      <c r="C615" s="125"/>
      <c r="D615" s="125"/>
      <c r="E615" s="125"/>
      <c r="F615" s="125"/>
      <c r="G615" s="125"/>
      <c r="H615" s="125"/>
      <c r="I615" s="125"/>
      <c r="J615" s="125"/>
      <c r="K615" s="125"/>
      <c r="L615" s="125"/>
      <c r="M615" s="1"/>
      <c r="N615" s="1"/>
      <c r="O615" s="125"/>
      <c r="P615" s="125"/>
      <c r="Q615" s="125"/>
      <c r="R615" s="125"/>
      <c r="S615" s="125"/>
      <c r="T615" s="125"/>
      <c r="U615" s="125"/>
      <c r="V615" s="125"/>
      <c r="W615" s="125"/>
      <c r="X615" s="125"/>
      <c r="Y615" s="125"/>
      <c r="Z615" s="125"/>
      <c r="AA615" s="125"/>
      <c r="AB615" s="125"/>
      <c r="AC615" s="125"/>
      <c r="AD615" s="125"/>
      <c r="AE615" s="1"/>
    </row>
    <row r="616" spans="1:31" ht="15.75" customHeight="1">
      <c r="A616" s="125"/>
      <c r="B616" s="125"/>
      <c r="C616" s="125"/>
      <c r="D616" s="125"/>
      <c r="E616" s="125"/>
      <c r="F616" s="125"/>
      <c r="G616" s="125"/>
      <c r="H616" s="125"/>
      <c r="I616" s="125"/>
      <c r="J616" s="125"/>
      <c r="K616" s="125"/>
      <c r="L616" s="125"/>
      <c r="M616" s="1"/>
      <c r="N616" s="1"/>
      <c r="O616" s="125"/>
      <c r="P616" s="125"/>
      <c r="Q616" s="125"/>
      <c r="R616" s="125"/>
      <c r="S616" s="125"/>
      <c r="T616" s="125"/>
      <c r="U616" s="125"/>
      <c r="V616" s="125"/>
      <c r="W616" s="125"/>
      <c r="X616" s="125"/>
      <c r="Y616" s="125"/>
      <c r="Z616" s="125"/>
      <c r="AA616" s="125"/>
      <c r="AB616" s="125"/>
      <c r="AC616" s="125"/>
      <c r="AD616" s="125"/>
      <c r="AE616" s="1"/>
    </row>
    <row r="617" spans="1:31" ht="15.75" customHeight="1">
      <c r="A617" s="125"/>
      <c r="B617" s="125"/>
      <c r="C617" s="125"/>
      <c r="D617" s="125"/>
      <c r="E617" s="125"/>
      <c r="F617" s="125"/>
      <c r="G617" s="125"/>
      <c r="H617" s="125"/>
      <c r="I617" s="125"/>
      <c r="J617" s="125"/>
      <c r="K617" s="125"/>
      <c r="L617" s="125"/>
      <c r="M617" s="1"/>
      <c r="N617" s="1"/>
      <c r="O617" s="125"/>
      <c r="P617" s="125"/>
      <c r="Q617" s="125"/>
      <c r="R617" s="125"/>
      <c r="S617" s="125"/>
      <c r="T617" s="125"/>
      <c r="U617" s="125"/>
      <c r="V617" s="125"/>
      <c r="W617" s="125"/>
      <c r="X617" s="125"/>
      <c r="Y617" s="125"/>
      <c r="Z617" s="125"/>
      <c r="AA617" s="125"/>
      <c r="AB617" s="125"/>
      <c r="AC617" s="125"/>
      <c r="AD617" s="125"/>
      <c r="AE617" s="1"/>
    </row>
    <row r="618" spans="1:31" ht="15.75" customHeight="1">
      <c r="A618" s="125"/>
      <c r="B618" s="125"/>
      <c r="C618" s="125"/>
      <c r="D618" s="125"/>
      <c r="E618" s="125"/>
      <c r="F618" s="125"/>
      <c r="G618" s="125"/>
      <c r="H618" s="125"/>
      <c r="I618" s="125"/>
      <c r="J618" s="125"/>
      <c r="K618" s="125"/>
      <c r="L618" s="125"/>
      <c r="M618" s="1"/>
      <c r="N618" s="1"/>
      <c r="O618" s="125"/>
      <c r="P618" s="125"/>
      <c r="Q618" s="125"/>
      <c r="R618" s="125"/>
      <c r="S618" s="125"/>
      <c r="T618" s="125"/>
      <c r="U618" s="125"/>
      <c r="V618" s="125"/>
      <c r="W618" s="125"/>
      <c r="X618" s="125"/>
      <c r="Y618" s="125"/>
      <c r="Z618" s="125"/>
      <c r="AA618" s="125"/>
      <c r="AB618" s="125"/>
      <c r="AC618" s="125"/>
      <c r="AD618" s="125"/>
      <c r="AE618" s="1"/>
    </row>
    <row r="619" spans="1:31" ht="15.75" customHeight="1">
      <c r="A619" s="125"/>
      <c r="B619" s="125"/>
      <c r="C619" s="125"/>
      <c r="D619" s="125"/>
      <c r="E619" s="125"/>
      <c r="F619" s="125"/>
      <c r="G619" s="125"/>
      <c r="H619" s="125"/>
      <c r="I619" s="125"/>
      <c r="J619" s="125"/>
      <c r="K619" s="125"/>
      <c r="L619" s="125"/>
      <c r="M619" s="1"/>
      <c r="N619" s="1"/>
      <c r="O619" s="125"/>
      <c r="P619" s="125"/>
      <c r="Q619" s="125"/>
      <c r="R619" s="125"/>
      <c r="S619" s="125"/>
      <c r="T619" s="125"/>
      <c r="U619" s="125"/>
      <c r="V619" s="125"/>
      <c r="W619" s="125"/>
      <c r="X619" s="125"/>
      <c r="Y619" s="125"/>
      <c r="Z619" s="125"/>
      <c r="AA619" s="125"/>
      <c r="AB619" s="125"/>
      <c r="AC619" s="125"/>
      <c r="AD619" s="125"/>
      <c r="AE619" s="1"/>
    </row>
    <row r="620" spans="1:31" ht="15.75" customHeight="1">
      <c r="A620" s="125"/>
      <c r="B620" s="125"/>
      <c r="C620" s="125"/>
      <c r="D620" s="125"/>
      <c r="E620" s="125"/>
      <c r="F620" s="125"/>
      <c r="G620" s="125"/>
      <c r="H620" s="125"/>
      <c r="I620" s="125"/>
      <c r="J620" s="125"/>
      <c r="K620" s="125"/>
      <c r="L620" s="125"/>
      <c r="M620" s="1"/>
      <c r="N620" s="1"/>
      <c r="O620" s="125"/>
      <c r="P620" s="125"/>
      <c r="Q620" s="125"/>
      <c r="R620" s="125"/>
      <c r="S620" s="125"/>
      <c r="T620" s="125"/>
      <c r="U620" s="125"/>
      <c r="V620" s="125"/>
      <c r="W620" s="125"/>
      <c r="X620" s="125"/>
      <c r="Y620" s="125"/>
      <c r="Z620" s="125"/>
      <c r="AA620" s="125"/>
      <c r="AB620" s="125"/>
      <c r="AC620" s="125"/>
      <c r="AD620" s="125"/>
      <c r="AE620" s="1"/>
    </row>
    <row r="621" spans="1:31" ht="15.75" customHeight="1">
      <c r="A621" s="125"/>
      <c r="B621" s="125"/>
      <c r="C621" s="125"/>
      <c r="D621" s="125"/>
      <c r="E621" s="125"/>
      <c r="F621" s="125"/>
      <c r="G621" s="125"/>
      <c r="H621" s="125"/>
      <c r="I621" s="125"/>
      <c r="J621" s="125"/>
      <c r="K621" s="125"/>
      <c r="L621" s="125"/>
      <c r="M621" s="1"/>
      <c r="N621" s="1"/>
      <c r="O621" s="125"/>
      <c r="P621" s="125"/>
      <c r="Q621" s="125"/>
      <c r="R621" s="125"/>
      <c r="S621" s="125"/>
      <c r="T621" s="125"/>
      <c r="U621" s="125"/>
      <c r="V621" s="125"/>
      <c r="W621" s="125"/>
      <c r="X621" s="125"/>
      <c r="Y621" s="125"/>
      <c r="Z621" s="125"/>
      <c r="AA621" s="125"/>
      <c r="AB621" s="125"/>
      <c r="AC621" s="125"/>
      <c r="AD621" s="125"/>
      <c r="AE621" s="1"/>
    </row>
    <row r="622" spans="1:31" ht="15.75" customHeight="1">
      <c r="A622" s="125"/>
      <c r="B622" s="125"/>
      <c r="C622" s="125"/>
      <c r="D622" s="125"/>
      <c r="E622" s="125"/>
      <c r="F622" s="125"/>
      <c r="G622" s="125"/>
      <c r="H622" s="125"/>
      <c r="I622" s="125"/>
      <c r="J622" s="125"/>
      <c r="K622" s="125"/>
      <c r="L622" s="125"/>
      <c r="M622" s="1"/>
      <c r="N622" s="1"/>
      <c r="O622" s="125"/>
      <c r="P622" s="125"/>
      <c r="Q622" s="125"/>
      <c r="R622" s="125"/>
      <c r="S622" s="125"/>
      <c r="T622" s="125"/>
      <c r="U622" s="125"/>
      <c r="V622" s="125"/>
      <c r="W622" s="125"/>
      <c r="X622" s="125"/>
      <c r="Y622" s="125"/>
      <c r="Z622" s="125"/>
      <c r="AA622" s="125"/>
      <c r="AB622" s="125"/>
      <c r="AC622" s="125"/>
      <c r="AD622" s="125"/>
      <c r="AE622" s="1"/>
    </row>
    <row r="623" spans="1:31" ht="15.75" customHeight="1">
      <c r="A623" s="125"/>
      <c r="B623" s="125"/>
      <c r="C623" s="125"/>
      <c r="D623" s="125"/>
      <c r="E623" s="125"/>
      <c r="F623" s="125"/>
      <c r="G623" s="125"/>
      <c r="H623" s="125"/>
      <c r="I623" s="125"/>
      <c r="J623" s="125"/>
      <c r="K623" s="125"/>
      <c r="L623" s="125"/>
      <c r="M623" s="1"/>
      <c r="N623" s="1"/>
      <c r="O623" s="125"/>
      <c r="P623" s="125"/>
      <c r="Q623" s="125"/>
      <c r="R623" s="125"/>
      <c r="S623" s="125"/>
      <c r="T623" s="125"/>
      <c r="U623" s="125"/>
      <c r="V623" s="125"/>
      <c r="W623" s="125"/>
      <c r="X623" s="125"/>
      <c r="Y623" s="125"/>
      <c r="Z623" s="125"/>
      <c r="AA623" s="125"/>
      <c r="AB623" s="125"/>
      <c r="AC623" s="125"/>
      <c r="AD623" s="125"/>
      <c r="AE623" s="1"/>
    </row>
    <row r="624" spans="1:31" ht="15.75" customHeight="1">
      <c r="A624" s="125"/>
      <c r="B624" s="125"/>
      <c r="C624" s="125"/>
      <c r="D624" s="125"/>
      <c r="E624" s="125"/>
      <c r="F624" s="125"/>
      <c r="G624" s="125"/>
      <c r="H624" s="125"/>
      <c r="I624" s="125"/>
      <c r="J624" s="125"/>
      <c r="K624" s="125"/>
      <c r="L624" s="125"/>
      <c r="M624" s="1"/>
      <c r="N624" s="1"/>
      <c r="O624" s="125"/>
      <c r="P624" s="125"/>
      <c r="Q624" s="125"/>
      <c r="R624" s="125"/>
      <c r="S624" s="125"/>
      <c r="T624" s="125"/>
      <c r="U624" s="125"/>
      <c r="V624" s="125"/>
      <c r="W624" s="125"/>
      <c r="X624" s="125"/>
      <c r="Y624" s="125"/>
      <c r="Z624" s="125"/>
      <c r="AA624" s="125"/>
      <c r="AB624" s="125"/>
      <c r="AC624" s="125"/>
      <c r="AD624" s="125"/>
      <c r="AE624" s="1"/>
    </row>
    <row r="625" spans="1:31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</row>
    <row r="626" spans="1:31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</row>
    <row r="627" spans="1:31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</row>
    <row r="628" spans="1:31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</row>
    <row r="629" spans="1:31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</row>
    <row r="630" spans="1:31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</row>
    <row r="631" spans="1: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</row>
    <row r="632" spans="1:31" ht="15.75" customHeight="1">
      <c r="A632" s="131" t="s">
        <v>63</v>
      </c>
      <c r="B632" s="131"/>
      <c r="C632" s="131"/>
      <c r="D632" s="1"/>
      <c r="E632" s="1"/>
      <c r="F632" s="1"/>
      <c r="G632" s="1"/>
      <c r="H632" s="1"/>
      <c r="I632" s="1"/>
      <c r="K632" s="21"/>
      <c r="L632" s="21"/>
      <c r="M632" s="1"/>
      <c r="N632" s="1"/>
      <c r="O632" s="131" t="s">
        <v>64</v>
      </c>
      <c r="P632" s="131"/>
      <c r="Q632" s="13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</row>
    <row r="633" spans="1:31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</row>
    <row r="634" spans="1:31" ht="15.75" customHeight="1">
      <c r="A634" s="125"/>
      <c r="B634" s="125"/>
      <c r="C634" s="125"/>
      <c r="D634" s="125"/>
      <c r="E634" s="125"/>
      <c r="F634" s="125"/>
      <c r="G634" s="125"/>
      <c r="H634" s="125"/>
      <c r="I634" s="125"/>
      <c r="J634" s="125"/>
      <c r="K634" s="125"/>
      <c r="L634" s="125"/>
      <c r="M634" s="1"/>
      <c r="N634" s="1"/>
      <c r="O634" s="125"/>
      <c r="P634" s="125"/>
      <c r="Q634" s="125"/>
      <c r="R634" s="125"/>
      <c r="S634" s="125"/>
      <c r="T634" s="125"/>
      <c r="U634" s="125"/>
      <c r="V634" s="125"/>
      <c r="W634" s="125"/>
      <c r="X634" s="125"/>
      <c r="Y634" s="125"/>
      <c r="Z634" s="125"/>
      <c r="AA634" s="125"/>
      <c r="AB634" s="125"/>
      <c r="AC634" s="125"/>
      <c r="AD634" s="125"/>
      <c r="AE634" s="1"/>
    </row>
    <row r="635" spans="1:31" ht="15.75" customHeight="1">
      <c r="A635" s="125"/>
      <c r="B635" s="125"/>
      <c r="C635" s="125"/>
      <c r="D635" s="125"/>
      <c r="E635" s="125"/>
      <c r="F635" s="125"/>
      <c r="G635" s="125"/>
      <c r="H635" s="125"/>
      <c r="I635" s="125"/>
      <c r="J635" s="125"/>
      <c r="K635" s="125"/>
      <c r="L635" s="125"/>
      <c r="M635" s="1"/>
      <c r="N635" s="1"/>
      <c r="O635" s="125"/>
      <c r="P635" s="125"/>
      <c r="Q635" s="125"/>
      <c r="R635" s="125"/>
      <c r="S635" s="125"/>
      <c r="T635" s="125"/>
      <c r="U635" s="125"/>
      <c r="V635" s="125"/>
      <c r="W635" s="125"/>
      <c r="X635" s="125"/>
      <c r="Y635" s="125"/>
      <c r="Z635" s="125"/>
      <c r="AA635" s="125"/>
      <c r="AB635" s="125"/>
      <c r="AC635" s="125"/>
      <c r="AD635" s="125"/>
      <c r="AE635" s="1"/>
    </row>
    <row r="636" spans="1:31" ht="15.75" customHeight="1">
      <c r="A636" s="125"/>
      <c r="B636" s="125"/>
      <c r="C636" s="125"/>
      <c r="D636" s="125"/>
      <c r="E636" s="125"/>
      <c r="F636" s="125"/>
      <c r="G636" s="125"/>
      <c r="H636" s="125"/>
      <c r="I636" s="125"/>
      <c r="J636" s="125"/>
      <c r="K636" s="125"/>
      <c r="L636" s="125"/>
      <c r="M636" s="1"/>
      <c r="N636" s="1"/>
      <c r="O636" s="125"/>
      <c r="P636" s="125"/>
      <c r="Q636" s="125"/>
      <c r="R636" s="125"/>
      <c r="S636" s="125"/>
      <c r="T636" s="125"/>
      <c r="U636" s="125"/>
      <c r="V636" s="125"/>
      <c r="W636" s="125"/>
      <c r="X636" s="125"/>
      <c r="Y636" s="125"/>
      <c r="Z636" s="125"/>
      <c r="AA636" s="125"/>
      <c r="AB636" s="125"/>
      <c r="AC636" s="125"/>
      <c r="AD636" s="125"/>
      <c r="AE636" s="1"/>
    </row>
    <row r="637" spans="1:31" ht="15.75" customHeight="1">
      <c r="A637" s="125"/>
      <c r="B637" s="125"/>
      <c r="C637" s="125"/>
      <c r="D637" s="125"/>
      <c r="E637" s="125"/>
      <c r="F637" s="125"/>
      <c r="G637" s="125"/>
      <c r="H637" s="125"/>
      <c r="I637" s="125"/>
      <c r="J637" s="125"/>
      <c r="K637" s="125"/>
      <c r="L637" s="125"/>
      <c r="M637" s="1"/>
      <c r="N637" s="1"/>
      <c r="O637" s="125"/>
      <c r="P637" s="125"/>
      <c r="Q637" s="125"/>
      <c r="R637" s="125"/>
      <c r="S637" s="125"/>
      <c r="T637" s="125"/>
      <c r="U637" s="125"/>
      <c r="V637" s="125"/>
      <c r="W637" s="125"/>
      <c r="X637" s="125"/>
      <c r="Y637" s="125"/>
      <c r="Z637" s="125"/>
      <c r="AA637" s="125"/>
      <c r="AB637" s="125"/>
      <c r="AC637" s="125"/>
      <c r="AD637" s="125"/>
      <c r="AE637" s="1"/>
    </row>
    <row r="638" spans="1:31" ht="15.75" customHeight="1">
      <c r="A638" s="125"/>
      <c r="B638" s="125"/>
      <c r="C638" s="125"/>
      <c r="D638" s="125"/>
      <c r="E638" s="125"/>
      <c r="F638" s="125"/>
      <c r="G638" s="125"/>
      <c r="H638" s="125"/>
      <c r="I638" s="125"/>
      <c r="J638" s="125"/>
      <c r="K638" s="125"/>
      <c r="L638" s="125"/>
      <c r="M638" s="1"/>
      <c r="N638" s="1"/>
      <c r="O638" s="125"/>
      <c r="P638" s="125"/>
      <c r="Q638" s="125"/>
      <c r="R638" s="125"/>
      <c r="S638" s="125"/>
      <c r="T638" s="125"/>
      <c r="U638" s="125"/>
      <c r="V638" s="125"/>
      <c r="W638" s="125"/>
      <c r="X638" s="125"/>
      <c r="Y638" s="125"/>
      <c r="Z638" s="125"/>
      <c r="AA638" s="125"/>
      <c r="AB638" s="125"/>
      <c r="AC638" s="125"/>
      <c r="AD638" s="125"/>
      <c r="AE638" s="1"/>
    </row>
    <row r="639" spans="1:31" ht="15.75" customHeight="1">
      <c r="A639" s="125"/>
      <c r="B639" s="125"/>
      <c r="C639" s="125"/>
      <c r="D639" s="125"/>
      <c r="E639" s="125"/>
      <c r="F639" s="125"/>
      <c r="G639" s="125"/>
      <c r="H639" s="125"/>
      <c r="I639" s="125"/>
      <c r="J639" s="125"/>
      <c r="K639" s="125"/>
      <c r="L639" s="125"/>
      <c r="M639" s="1"/>
      <c r="N639" s="1"/>
      <c r="O639" s="125"/>
      <c r="P639" s="125"/>
      <c r="Q639" s="125"/>
      <c r="R639" s="125"/>
      <c r="S639" s="125"/>
      <c r="T639" s="125"/>
      <c r="U639" s="125"/>
      <c r="V639" s="125"/>
      <c r="W639" s="125"/>
      <c r="X639" s="125"/>
      <c r="Y639" s="125"/>
      <c r="Z639" s="125"/>
      <c r="AA639" s="125"/>
      <c r="AB639" s="125"/>
      <c r="AC639" s="125"/>
      <c r="AD639" s="125"/>
      <c r="AE639" s="1"/>
    </row>
    <row r="640" spans="1:31" ht="15.75" customHeight="1">
      <c r="A640" s="125"/>
      <c r="B640" s="125"/>
      <c r="C640" s="125"/>
      <c r="D640" s="125"/>
      <c r="E640" s="125"/>
      <c r="F640" s="125"/>
      <c r="G640" s="125"/>
      <c r="H640" s="125"/>
      <c r="I640" s="125"/>
      <c r="J640" s="125"/>
      <c r="K640" s="125"/>
      <c r="L640" s="125"/>
      <c r="M640" s="1"/>
      <c r="N640" s="1"/>
      <c r="O640" s="125"/>
      <c r="P640" s="125"/>
      <c r="Q640" s="125"/>
      <c r="R640" s="125"/>
      <c r="S640" s="125"/>
      <c r="T640" s="125"/>
      <c r="U640" s="125"/>
      <c r="V640" s="125"/>
      <c r="W640" s="125"/>
      <c r="X640" s="125"/>
      <c r="Y640" s="125"/>
      <c r="Z640" s="125"/>
      <c r="AA640" s="125"/>
      <c r="AB640" s="125"/>
      <c r="AC640" s="125"/>
      <c r="AD640" s="125"/>
      <c r="AE640" s="1"/>
    </row>
    <row r="641" spans="1:31" ht="15.75" customHeight="1">
      <c r="A641" s="125"/>
      <c r="B641" s="125"/>
      <c r="C641" s="125"/>
      <c r="D641" s="125"/>
      <c r="E641" s="125"/>
      <c r="F641" s="125"/>
      <c r="G641" s="125"/>
      <c r="H641" s="125"/>
      <c r="I641" s="125"/>
      <c r="J641" s="125"/>
      <c r="K641" s="125"/>
      <c r="L641" s="125"/>
      <c r="M641" s="1"/>
      <c r="N641" s="1"/>
      <c r="O641" s="125"/>
      <c r="P641" s="125"/>
      <c r="Q641" s="125"/>
      <c r="R641" s="125"/>
      <c r="S641" s="125"/>
      <c r="T641" s="125"/>
      <c r="U641" s="125"/>
      <c r="V641" s="125"/>
      <c r="W641" s="125"/>
      <c r="X641" s="125"/>
      <c r="Y641" s="125"/>
      <c r="Z641" s="125"/>
      <c r="AA641" s="125"/>
      <c r="AB641" s="125"/>
      <c r="AC641" s="125"/>
      <c r="AD641" s="125"/>
      <c r="AE641" s="1"/>
    </row>
    <row r="642" spans="1:31" ht="15.75" customHeight="1">
      <c r="A642" s="125"/>
      <c r="B642" s="125"/>
      <c r="C642" s="125"/>
      <c r="D642" s="125"/>
      <c r="E642" s="125"/>
      <c r="F642" s="125"/>
      <c r="G642" s="125"/>
      <c r="H642" s="125"/>
      <c r="I642" s="125"/>
      <c r="J642" s="125"/>
      <c r="K642" s="125"/>
      <c r="L642" s="125"/>
      <c r="M642" s="1"/>
      <c r="N642" s="1"/>
      <c r="O642" s="125"/>
      <c r="P642" s="125"/>
      <c r="Q642" s="125"/>
      <c r="R642" s="125"/>
      <c r="S642" s="125"/>
      <c r="T642" s="125"/>
      <c r="U642" s="125"/>
      <c r="V642" s="125"/>
      <c r="W642" s="125"/>
      <c r="X642" s="125"/>
      <c r="Y642" s="125"/>
      <c r="Z642" s="125"/>
      <c r="AA642" s="125"/>
      <c r="AB642" s="125"/>
      <c r="AC642" s="125"/>
      <c r="AD642" s="125"/>
      <c r="AE642" s="1"/>
    </row>
    <row r="643" spans="1:31" ht="15.75" customHeight="1">
      <c r="A643" s="125"/>
      <c r="B643" s="125"/>
      <c r="C643" s="125"/>
      <c r="D643" s="125"/>
      <c r="E643" s="125"/>
      <c r="F643" s="125"/>
      <c r="G643" s="125"/>
      <c r="H643" s="125"/>
      <c r="I643" s="125"/>
      <c r="J643" s="125"/>
      <c r="K643" s="125"/>
      <c r="L643" s="125"/>
      <c r="M643" s="1"/>
      <c r="N643" s="1"/>
      <c r="O643" s="125"/>
      <c r="P643" s="125"/>
      <c r="Q643" s="125"/>
      <c r="R643" s="125"/>
      <c r="S643" s="125"/>
      <c r="T643" s="125"/>
      <c r="U643" s="125"/>
      <c r="V643" s="125"/>
      <c r="W643" s="125"/>
      <c r="X643" s="125"/>
      <c r="Y643" s="125"/>
      <c r="Z643" s="125"/>
      <c r="AA643" s="125"/>
      <c r="AB643" s="125"/>
      <c r="AC643" s="125"/>
      <c r="AD643" s="125"/>
      <c r="AE643" s="1"/>
    </row>
    <row r="644" spans="1:31" ht="15.75" customHeight="1">
      <c r="A644" s="125"/>
      <c r="B644" s="125"/>
      <c r="C644" s="125"/>
      <c r="D644" s="125"/>
      <c r="E644" s="125"/>
      <c r="F644" s="125"/>
      <c r="G644" s="125"/>
      <c r="H644" s="125"/>
      <c r="I644" s="125"/>
      <c r="J644" s="125"/>
      <c r="K644" s="125"/>
      <c r="L644" s="125"/>
      <c r="M644" s="1"/>
      <c r="N644" s="1"/>
      <c r="O644" s="125"/>
      <c r="P644" s="125"/>
      <c r="Q644" s="125"/>
      <c r="R644" s="125"/>
      <c r="S644" s="125"/>
      <c r="T644" s="125"/>
      <c r="U644" s="125"/>
      <c r="V644" s="125"/>
      <c r="W644" s="125"/>
      <c r="X644" s="125"/>
      <c r="Y644" s="125"/>
      <c r="Z644" s="125"/>
      <c r="AA644" s="125"/>
      <c r="AB644" s="125"/>
      <c r="AC644" s="125"/>
      <c r="AD644" s="125"/>
      <c r="AE644" s="1"/>
    </row>
    <row r="645" spans="1:31" ht="15.75" customHeight="1">
      <c r="A645" s="125"/>
      <c r="B645" s="125"/>
      <c r="C645" s="125"/>
      <c r="D645" s="125"/>
      <c r="E645" s="125"/>
      <c r="F645" s="125"/>
      <c r="G645" s="125"/>
      <c r="H645" s="125"/>
      <c r="I645" s="125"/>
      <c r="J645" s="125"/>
      <c r="K645" s="125"/>
      <c r="L645" s="125"/>
      <c r="M645" s="1"/>
      <c r="N645" s="1"/>
      <c r="O645" s="125"/>
      <c r="P645" s="125"/>
      <c r="Q645" s="125"/>
      <c r="R645" s="125"/>
      <c r="S645" s="125"/>
      <c r="T645" s="125"/>
      <c r="U645" s="125"/>
      <c r="V645" s="125"/>
      <c r="W645" s="125"/>
      <c r="X645" s="125"/>
      <c r="Y645" s="125"/>
      <c r="Z645" s="125"/>
      <c r="AA645" s="125"/>
      <c r="AB645" s="125"/>
      <c r="AC645" s="125"/>
      <c r="AD645" s="125"/>
      <c r="AE645" s="1"/>
    </row>
    <row r="646" spans="1:31" ht="15.75" customHeight="1">
      <c r="A646" s="125"/>
      <c r="B646" s="125"/>
      <c r="C646" s="125"/>
      <c r="D646" s="125"/>
      <c r="E646" s="125"/>
      <c r="F646" s="125"/>
      <c r="G646" s="125"/>
      <c r="H646" s="125"/>
      <c r="I646" s="125"/>
      <c r="J646" s="125"/>
      <c r="K646" s="125"/>
      <c r="L646" s="125"/>
      <c r="M646" s="1"/>
      <c r="N646" s="1"/>
      <c r="O646" s="125"/>
      <c r="P646" s="125"/>
      <c r="Q646" s="125"/>
      <c r="R646" s="125"/>
      <c r="S646" s="125"/>
      <c r="T646" s="125"/>
      <c r="U646" s="125"/>
      <c r="V646" s="125"/>
      <c r="W646" s="125"/>
      <c r="X646" s="125"/>
      <c r="Y646" s="125"/>
      <c r="Z646" s="125"/>
      <c r="AA646" s="125"/>
      <c r="AB646" s="125"/>
      <c r="AC646" s="125"/>
      <c r="AD646" s="125"/>
      <c r="AE646" s="1"/>
    </row>
    <row r="647" spans="1:31" ht="15.75" customHeight="1">
      <c r="A647" s="125"/>
      <c r="B647" s="125"/>
      <c r="C647" s="125"/>
      <c r="D647" s="125"/>
      <c r="E647" s="125"/>
      <c r="F647" s="125"/>
      <c r="G647" s="125"/>
      <c r="H647" s="125"/>
      <c r="I647" s="125"/>
      <c r="J647" s="125"/>
      <c r="K647" s="125"/>
      <c r="L647" s="125"/>
      <c r="M647" s="1"/>
      <c r="N647" s="1"/>
      <c r="O647" s="125"/>
      <c r="P647" s="125"/>
      <c r="Q647" s="125"/>
      <c r="R647" s="125"/>
      <c r="S647" s="125"/>
      <c r="T647" s="125"/>
      <c r="U647" s="125"/>
      <c r="V647" s="125"/>
      <c r="W647" s="125"/>
      <c r="X647" s="125"/>
      <c r="Y647" s="125"/>
      <c r="Z647" s="125"/>
      <c r="AA647" s="125"/>
      <c r="AB647" s="125"/>
      <c r="AC647" s="125"/>
      <c r="AD647" s="125"/>
      <c r="AE647" s="1"/>
    </row>
    <row r="648" spans="1:31" ht="15.75" customHeight="1">
      <c r="A648" s="125"/>
      <c r="B648" s="125"/>
      <c r="C648" s="125"/>
      <c r="D648" s="125"/>
      <c r="E648" s="125"/>
      <c r="F648" s="125"/>
      <c r="G648" s="125"/>
      <c r="H648" s="125"/>
      <c r="I648" s="125"/>
      <c r="J648" s="125"/>
      <c r="K648" s="125"/>
      <c r="L648" s="125"/>
      <c r="M648" s="1"/>
      <c r="N648" s="1"/>
      <c r="O648" s="125"/>
      <c r="P648" s="125"/>
      <c r="Q648" s="125"/>
      <c r="R648" s="125"/>
      <c r="S648" s="125"/>
      <c r="T648" s="125"/>
      <c r="U648" s="125"/>
      <c r="V648" s="125"/>
      <c r="W648" s="125"/>
      <c r="X648" s="125"/>
      <c r="Y648" s="125"/>
      <c r="Z648" s="125"/>
      <c r="AA648" s="125"/>
      <c r="AB648" s="125"/>
      <c r="AC648" s="125"/>
      <c r="AD648" s="125"/>
      <c r="AE648" s="1"/>
    </row>
    <row r="649" spans="1:31" ht="15.75" customHeight="1">
      <c r="A649" s="125"/>
      <c r="B649" s="125"/>
      <c r="C649" s="125"/>
      <c r="D649" s="125"/>
      <c r="E649" s="125"/>
      <c r="F649" s="125"/>
      <c r="G649" s="125"/>
      <c r="H649" s="125"/>
      <c r="I649" s="125"/>
      <c r="J649" s="125"/>
      <c r="K649" s="125"/>
      <c r="L649" s="125"/>
      <c r="M649" s="1"/>
      <c r="N649" s="1"/>
      <c r="O649" s="125"/>
      <c r="P649" s="125"/>
      <c r="Q649" s="125"/>
      <c r="R649" s="125"/>
      <c r="S649" s="125"/>
      <c r="T649" s="125"/>
      <c r="U649" s="125"/>
      <c r="V649" s="125"/>
      <c r="W649" s="125"/>
      <c r="X649" s="125"/>
      <c r="Y649" s="125"/>
      <c r="Z649" s="125"/>
      <c r="AA649" s="125"/>
      <c r="AB649" s="125"/>
      <c r="AC649" s="125"/>
      <c r="AD649" s="125"/>
      <c r="AE649" s="1"/>
    </row>
    <row r="650" spans="1:31" ht="15.75" customHeight="1">
      <c r="A650" s="125"/>
      <c r="B650" s="125"/>
      <c r="C650" s="125"/>
      <c r="D650" s="125"/>
      <c r="E650" s="125"/>
      <c r="F650" s="125"/>
      <c r="G650" s="125"/>
      <c r="H650" s="125"/>
      <c r="I650" s="125"/>
      <c r="J650" s="125"/>
      <c r="K650" s="125"/>
      <c r="L650" s="125"/>
      <c r="M650" s="1"/>
      <c r="N650" s="1"/>
      <c r="O650" s="125"/>
      <c r="P650" s="125"/>
      <c r="Q650" s="125"/>
      <c r="R650" s="125"/>
      <c r="S650" s="125"/>
      <c r="T650" s="125"/>
      <c r="U650" s="125"/>
      <c r="V650" s="125"/>
      <c r="W650" s="125"/>
      <c r="X650" s="125"/>
      <c r="Y650" s="125"/>
      <c r="Z650" s="125"/>
      <c r="AA650" s="125"/>
      <c r="AB650" s="125"/>
      <c r="AC650" s="125"/>
      <c r="AD650" s="125"/>
      <c r="AE650" s="1"/>
    </row>
    <row r="651" spans="1:31" ht="15.75" customHeight="1">
      <c r="A651" s="125"/>
      <c r="B651" s="125"/>
      <c r="C651" s="125"/>
      <c r="D651" s="125"/>
      <c r="E651" s="125"/>
      <c r="F651" s="125"/>
      <c r="G651" s="125"/>
      <c r="H651" s="125"/>
      <c r="I651" s="125"/>
      <c r="J651" s="125"/>
      <c r="K651" s="125"/>
      <c r="L651" s="125"/>
      <c r="M651" s="1"/>
      <c r="N651" s="1"/>
      <c r="O651" s="125"/>
      <c r="P651" s="125"/>
      <c r="Q651" s="125"/>
      <c r="R651" s="125"/>
      <c r="S651" s="125"/>
      <c r="T651" s="125"/>
      <c r="U651" s="125"/>
      <c r="V651" s="125"/>
      <c r="W651" s="125"/>
      <c r="X651" s="125"/>
      <c r="Y651" s="125"/>
      <c r="Z651" s="125"/>
      <c r="AA651" s="125"/>
      <c r="AB651" s="125"/>
      <c r="AC651" s="125"/>
      <c r="AD651" s="125"/>
      <c r="AE651" s="1"/>
    </row>
    <row r="652" spans="1:31" ht="15.75" customHeight="1">
      <c r="A652" s="125"/>
      <c r="B652" s="125"/>
      <c r="C652" s="125"/>
      <c r="D652" s="125"/>
      <c r="E652" s="125"/>
      <c r="F652" s="125"/>
      <c r="G652" s="125"/>
      <c r="H652" s="125"/>
      <c r="I652" s="125"/>
      <c r="J652" s="125"/>
      <c r="K652" s="125"/>
      <c r="L652" s="125"/>
      <c r="M652" s="1"/>
      <c r="N652" s="1"/>
      <c r="O652" s="125"/>
      <c r="P652" s="125"/>
      <c r="Q652" s="125"/>
      <c r="R652" s="125"/>
      <c r="S652" s="125"/>
      <c r="T652" s="125"/>
      <c r="U652" s="125"/>
      <c r="V652" s="125"/>
      <c r="W652" s="125"/>
      <c r="X652" s="125"/>
      <c r="Y652" s="125"/>
      <c r="Z652" s="125"/>
      <c r="AA652" s="125"/>
      <c r="AB652" s="125"/>
      <c r="AC652" s="125"/>
      <c r="AD652" s="125"/>
      <c r="AE652" s="1"/>
    </row>
    <row r="653" spans="1:31" ht="15.75" customHeight="1">
      <c r="A653" s="125"/>
      <c r="B653" s="125"/>
      <c r="C653" s="125"/>
      <c r="D653" s="125"/>
      <c r="E653" s="125"/>
      <c r="F653" s="125"/>
      <c r="G653" s="125"/>
      <c r="H653" s="125"/>
      <c r="I653" s="125"/>
      <c r="J653" s="125"/>
      <c r="K653" s="125"/>
      <c r="L653" s="125"/>
      <c r="M653" s="1"/>
      <c r="N653" s="1"/>
      <c r="O653" s="125"/>
      <c r="P653" s="125"/>
      <c r="Q653" s="125"/>
      <c r="R653" s="125"/>
      <c r="S653" s="125"/>
      <c r="T653" s="125"/>
      <c r="U653" s="125"/>
      <c r="V653" s="125"/>
      <c r="W653" s="125"/>
      <c r="X653" s="125"/>
      <c r="Y653" s="125"/>
      <c r="Z653" s="125"/>
      <c r="AA653" s="125"/>
      <c r="AB653" s="125"/>
      <c r="AC653" s="125"/>
      <c r="AD653" s="125"/>
      <c r="AE653" s="1"/>
    </row>
    <row r="654" spans="1:31" ht="15.75" customHeight="1">
      <c r="A654" s="125"/>
      <c r="B654" s="125"/>
      <c r="C654" s="125"/>
      <c r="D654" s="125"/>
      <c r="E654" s="125"/>
      <c r="F654" s="125"/>
      <c r="G654" s="125"/>
      <c r="H654" s="125"/>
      <c r="I654" s="125"/>
      <c r="J654" s="125"/>
      <c r="K654" s="125"/>
      <c r="L654" s="125"/>
      <c r="M654" s="1"/>
      <c r="N654" s="1"/>
      <c r="O654" s="125"/>
      <c r="P654" s="125"/>
      <c r="Q654" s="125"/>
      <c r="R654" s="125"/>
      <c r="S654" s="125"/>
      <c r="T654" s="125"/>
      <c r="U654" s="125"/>
      <c r="V654" s="125"/>
      <c r="W654" s="125"/>
      <c r="X654" s="125"/>
      <c r="Y654" s="125"/>
      <c r="Z654" s="125"/>
      <c r="AA654" s="125"/>
      <c r="AB654" s="125"/>
      <c r="AC654" s="125"/>
      <c r="AD654" s="125"/>
      <c r="AE654" s="1"/>
    </row>
    <row r="655" spans="1:31" ht="15.75" customHeight="1">
      <c r="A655" s="125"/>
      <c r="B655" s="125"/>
      <c r="C655" s="125"/>
      <c r="D655" s="125"/>
      <c r="E655" s="125"/>
      <c r="F655" s="125"/>
      <c r="G655" s="125"/>
      <c r="H655" s="125"/>
      <c r="I655" s="125"/>
      <c r="J655" s="125"/>
      <c r="K655" s="125"/>
      <c r="L655" s="125"/>
      <c r="M655" s="1"/>
      <c r="N655" s="1"/>
      <c r="O655" s="125"/>
      <c r="P655" s="125"/>
      <c r="Q655" s="125"/>
      <c r="R655" s="125"/>
      <c r="S655" s="125"/>
      <c r="T655" s="125"/>
      <c r="U655" s="125"/>
      <c r="V655" s="125"/>
      <c r="W655" s="125"/>
      <c r="X655" s="125"/>
      <c r="Y655" s="125"/>
      <c r="Z655" s="125"/>
      <c r="AA655" s="125"/>
      <c r="AB655" s="125"/>
      <c r="AC655" s="125"/>
      <c r="AD655" s="125"/>
      <c r="AE655" s="1"/>
    </row>
    <row r="656" spans="1:31" ht="15.75" customHeight="1">
      <c r="A656" s="125"/>
      <c r="B656" s="125"/>
      <c r="C656" s="125"/>
      <c r="D656" s="125"/>
      <c r="E656" s="125"/>
      <c r="F656" s="125"/>
      <c r="G656" s="125"/>
      <c r="H656" s="125"/>
      <c r="I656" s="125"/>
      <c r="J656" s="125"/>
      <c r="K656" s="125"/>
      <c r="L656" s="125"/>
      <c r="M656" s="1"/>
      <c r="N656" s="1"/>
      <c r="O656" s="125"/>
      <c r="P656" s="125"/>
      <c r="Q656" s="125"/>
      <c r="R656" s="125"/>
      <c r="S656" s="125"/>
      <c r="T656" s="125"/>
      <c r="U656" s="125"/>
      <c r="V656" s="125"/>
      <c r="W656" s="125"/>
      <c r="X656" s="125"/>
      <c r="Y656" s="125"/>
      <c r="Z656" s="125"/>
      <c r="AA656" s="125"/>
      <c r="AB656" s="125"/>
      <c r="AC656" s="125"/>
      <c r="AD656" s="125"/>
      <c r="AE656" s="1"/>
    </row>
    <row r="657" spans="1:31" ht="15.75" customHeight="1">
      <c r="A657" s="125"/>
      <c r="B657" s="125"/>
      <c r="C657" s="125"/>
      <c r="D657" s="125"/>
      <c r="E657" s="125"/>
      <c r="F657" s="125"/>
      <c r="G657" s="125"/>
      <c r="H657" s="125"/>
      <c r="I657" s="125"/>
      <c r="J657" s="125"/>
      <c r="K657" s="125"/>
      <c r="L657" s="125"/>
      <c r="M657" s="1"/>
      <c r="N657" s="1"/>
      <c r="O657" s="125"/>
      <c r="P657" s="125"/>
      <c r="Q657" s="125"/>
      <c r="R657" s="125"/>
      <c r="S657" s="125"/>
      <c r="T657" s="125"/>
      <c r="U657" s="125"/>
      <c r="V657" s="125"/>
      <c r="W657" s="125"/>
      <c r="X657" s="125"/>
      <c r="Y657" s="125"/>
      <c r="Z657" s="125"/>
      <c r="AA657" s="125"/>
      <c r="AB657" s="125"/>
      <c r="AC657" s="125"/>
      <c r="AD657" s="125"/>
      <c r="AE657" s="1"/>
    </row>
    <row r="658" spans="1:31" ht="15.75" customHeight="1">
      <c r="A658" s="125"/>
      <c r="B658" s="125"/>
      <c r="C658" s="125"/>
      <c r="D658" s="125"/>
      <c r="E658" s="125"/>
      <c r="F658" s="125"/>
      <c r="G658" s="125"/>
      <c r="H658" s="125"/>
      <c r="I658" s="125"/>
      <c r="J658" s="125"/>
      <c r="K658" s="125"/>
      <c r="L658" s="125"/>
      <c r="M658" s="1"/>
      <c r="N658" s="1"/>
      <c r="O658" s="125"/>
      <c r="P658" s="125"/>
      <c r="Q658" s="125"/>
      <c r="R658" s="125"/>
      <c r="S658" s="125"/>
      <c r="T658" s="125"/>
      <c r="U658" s="125"/>
      <c r="V658" s="125"/>
      <c r="W658" s="125"/>
      <c r="X658" s="125"/>
      <c r="Y658" s="125"/>
      <c r="Z658" s="125"/>
      <c r="AA658" s="125"/>
      <c r="AB658" s="125"/>
      <c r="AC658" s="125"/>
      <c r="AD658" s="125"/>
      <c r="AE658" s="1"/>
    </row>
    <row r="659" spans="1:31" ht="15.75" customHeight="1">
      <c r="A659" s="125"/>
      <c r="B659" s="125"/>
      <c r="C659" s="125"/>
      <c r="D659" s="125"/>
      <c r="E659" s="125"/>
      <c r="F659" s="125"/>
      <c r="G659" s="125"/>
      <c r="H659" s="125"/>
      <c r="I659" s="125"/>
      <c r="J659" s="125"/>
      <c r="K659" s="125"/>
      <c r="L659" s="125"/>
      <c r="M659" s="1"/>
      <c r="N659" s="1"/>
      <c r="O659" s="125"/>
      <c r="P659" s="125"/>
      <c r="Q659" s="125"/>
      <c r="R659" s="125"/>
      <c r="S659" s="125"/>
      <c r="T659" s="125"/>
      <c r="U659" s="125"/>
      <c r="V659" s="125"/>
      <c r="W659" s="125"/>
      <c r="X659" s="125"/>
      <c r="Y659" s="125"/>
      <c r="Z659" s="125"/>
      <c r="AA659" s="125"/>
      <c r="AB659" s="125"/>
      <c r="AC659" s="125"/>
      <c r="AD659" s="125"/>
      <c r="AE659" s="1"/>
    </row>
    <row r="660" spans="1:31" ht="15.75" customHeight="1">
      <c r="A660" s="125"/>
      <c r="B660" s="125"/>
      <c r="C660" s="125"/>
      <c r="D660" s="125"/>
      <c r="E660" s="125"/>
      <c r="F660" s="125"/>
      <c r="G660" s="125"/>
      <c r="H660" s="125"/>
      <c r="I660" s="125"/>
      <c r="J660" s="125"/>
      <c r="K660" s="125"/>
      <c r="L660" s="125"/>
      <c r="M660" s="1"/>
      <c r="N660" s="1"/>
      <c r="O660" s="125"/>
      <c r="P660" s="125"/>
      <c r="Q660" s="125"/>
      <c r="R660" s="125"/>
      <c r="S660" s="125"/>
      <c r="T660" s="125"/>
      <c r="U660" s="125"/>
      <c r="V660" s="125"/>
      <c r="W660" s="125"/>
      <c r="X660" s="125"/>
      <c r="Y660" s="125"/>
      <c r="Z660" s="125"/>
      <c r="AA660" s="125"/>
      <c r="AB660" s="125"/>
      <c r="AC660" s="125"/>
      <c r="AD660" s="125"/>
      <c r="AE660" s="1"/>
    </row>
    <row r="661" spans="1:31" ht="15.75" customHeight="1">
      <c r="A661" s="125"/>
      <c r="B661" s="125"/>
      <c r="C661" s="125"/>
      <c r="D661" s="125"/>
      <c r="E661" s="125"/>
      <c r="F661" s="125"/>
      <c r="G661" s="125"/>
      <c r="H661" s="125"/>
      <c r="I661" s="125"/>
      <c r="J661" s="125"/>
      <c r="K661" s="125"/>
      <c r="L661" s="125"/>
      <c r="M661" s="1"/>
      <c r="N661" s="1"/>
      <c r="O661" s="125"/>
      <c r="P661" s="125"/>
      <c r="Q661" s="125"/>
      <c r="R661" s="125"/>
      <c r="S661" s="125"/>
      <c r="T661" s="125"/>
      <c r="U661" s="125"/>
      <c r="V661" s="125"/>
      <c r="W661" s="125"/>
      <c r="X661" s="125"/>
      <c r="Y661" s="125"/>
      <c r="Z661" s="125"/>
      <c r="AA661" s="125"/>
      <c r="AB661" s="125"/>
      <c r="AC661" s="125"/>
      <c r="AD661" s="125"/>
      <c r="AE661" s="1"/>
    </row>
    <row r="662" spans="1:31" ht="15.75" customHeight="1">
      <c r="A662" s="125"/>
      <c r="B662" s="125"/>
      <c r="C662" s="125"/>
      <c r="D662" s="125"/>
      <c r="E662" s="125"/>
      <c r="F662" s="125"/>
      <c r="G662" s="125"/>
      <c r="H662" s="125"/>
      <c r="I662" s="125"/>
      <c r="J662" s="125"/>
      <c r="K662" s="125"/>
      <c r="L662" s="125"/>
      <c r="M662" s="1"/>
      <c r="N662" s="1"/>
      <c r="O662" s="125"/>
      <c r="P662" s="125"/>
      <c r="Q662" s="125"/>
      <c r="R662" s="125"/>
      <c r="S662" s="125"/>
      <c r="T662" s="125"/>
      <c r="U662" s="125"/>
      <c r="V662" s="125"/>
      <c r="W662" s="125"/>
      <c r="X662" s="125"/>
      <c r="Y662" s="125"/>
      <c r="Z662" s="125"/>
      <c r="AA662" s="125"/>
      <c r="AB662" s="125"/>
      <c r="AC662" s="125"/>
      <c r="AD662" s="125"/>
      <c r="AE662" s="1"/>
    </row>
    <row r="663" spans="1:31" ht="15.75" customHeight="1">
      <c r="A663" s="125"/>
      <c r="B663" s="125"/>
      <c r="C663" s="125"/>
      <c r="D663" s="125"/>
      <c r="E663" s="125"/>
      <c r="F663" s="125"/>
      <c r="G663" s="125"/>
      <c r="H663" s="125"/>
      <c r="I663" s="125"/>
      <c r="J663" s="125"/>
      <c r="K663" s="125"/>
      <c r="L663" s="125"/>
      <c r="M663" s="1"/>
      <c r="N663" s="1"/>
      <c r="O663" s="125"/>
      <c r="P663" s="125"/>
      <c r="Q663" s="125"/>
      <c r="R663" s="125"/>
      <c r="S663" s="125"/>
      <c r="T663" s="125"/>
      <c r="U663" s="125"/>
      <c r="V663" s="125"/>
      <c r="W663" s="125"/>
      <c r="X663" s="125"/>
      <c r="Y663" s="125"/>
      <c r="Z663" s="125"/>
      <c r="AA663" s="125"/>
      <c r="AB663" s="125"/>
      <c r="AC663" s="125"/>
      <c r="AD663" s="125"/>
      <c r="AE663" s="1"/>
    </row>
    <row r="664" spans="1:31" ht="15.75" customHeight="1">
      <c r="A664" s="125"/>
      <c r="B664" s="125"/>
      <c r="C664" s="125"/>
      <c r="D664" s="125"/>
      <c r="E664" s="125"/>
      <c r="F664" s="125"/>
      <c r="G664" s="125"/>
      <c r="H664" s="125"/>
      <c r="I664" s="125"/>
      <c r="J664" s="125"/>
      <c r="K664" s="125"/>
      <c r="L664" s="125"/>
      <c r="M664" s="1"/>
      <c r="N664" s="1"/>
      <c r="O664" s="125"/>
      <c r="P664" s="125"/>
      <c r="Q664" s="125"/>
      <c r="R664" s="125"/>
      <c r="S664" s="125"/>
      <c r="T664" s="125"/>
      <c r="U664" s="125"/>
      <c r="V664" s="125"/>
      <c r="W664" s="125"/>
      <c r="X664" s="125"/>
      <c r="Y664" s="125"/>
      <c r="Z664" s="125"/>
      <c r="AA664" s="125"/>
      <c r="AB664" s="125"/>
      <c r="AC664" s="125"/>
      <c r="AD664" s="125"/>
      <c r="AE664" s="1"/>
    </row>
    <row r="665" spans="1:31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</row>
    <row r="666" spans="1:31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</row>
    <row r="667" spans="1:31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</row>
    <row r="668" spans="1:31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</row>
    <row r="669" spans="1:31" ht="20.25" customHeight="1" thickBot="1">
      <c r="A669" s="133" t="s">
        <v>19</v>
      </c>
      <c r="B669" s="133"/>
      <c r="C669" s="133"/>
      <c r="D669" s="133"/>
      <c r="E669" s="133"/>
      <c r="F669" s="4"/>
      <c r="G669" s="5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1"/>
      <c r="Z669" s="1"/>
      <c r="AA669" s="1"/>
      <c r="AB669" s="1"/>
      <c r="AC669" s="1"/>
      <c r="AD669" s="1"/>
      <c r="AE669" s="1"/>
    </row>
    <row r="670" spans="1:31" ht="15.75" customHeight="1">
      <c r="A670" s="1"/>
      <c r="B670" s="1"/>
      <c r="C670" s="1"/>
      <c r="D670" s="1"/>
      <c r="E670" s="1"/>
      <c r="F670" s="1"/>
      <c r="H670" s="21"/>
      <c r="I670" s="2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</row>
    <row r="671" spans="1:31" ht="15.75" customHeight="1">
      <c r="A671" s="134" t="s">
        <v>65</v>
      </c>
      <c r="B671" s="134"/>
      <c r="C671" s="134"/>
      <c r="D671" s="21"/>
      <c r="E671" s="21"/>
      <c r="F671" s="1"/>
      <c r="P671" s="1"/>
    </row>
    <row r="672" spans="1:31" ht="15.75" customHeight="1">
      <c r="A672" s="135"/>
      <c r="B672" s="135"/>
      <c r="C672" s="135"/>
      <c r="D672" s="21"/>
      <c r="E672" s="21"/>
      <c r="F672" s="1"/>
      <c r="P672" s="1"/>
    </row>
    <row r="673" spans="1:76" ht="16.5" customHeight="1">
      <c r="A673" s="136"/>
      <c r="B673" s="136"/>
      <c r="C673" s="136"/>
      <c r="D673" s="21"/>
      <c r="E673" s="21"/>
      <c r="F673" s="1"/>
      <c r="P673" s="1"/>
    </row>
    <row r="674" spans="1:76" ht="15.75" customHeight="1">
      <c r="A674" s="1"/>
      <c r="B674" s="1"/>
      <c r="C674" s="1"/>
      <c r="D674" s="1"/>
      <c r="E674" s="1"/>
      <c r="F674" s="1"/>
      <c r="H674" s="21"/>
      <c r="I674" s="2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</row>
    <row r="675" spans="1:76" ht="15.75" customHeight="1">
      <c r="A675" s="130" t="s">
        <v>138</v>
      </c>
      <c r="B675" s="130"/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</row>
    <row r="676" spans="1:76" ht="15.75" customHeight="1">
      <c r="A676" s="130"/>
      <c r="B676" s="130"/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</row>
    <row r="677" spans="1:76" ht="15.75" customHeight="1"/>
    <row r="678" spans="1:76" ht="15.75" customHeight="1">
      <c r="A678" s="132" t="s">
        <v>99</v>
      </c>
      <c r="B678" s="132"/>
      <c r="C678" s="132"/>
      <c r="D678" s="35" t="s">
        <v>70</v>
      </c>
      <c r="E678" s="35" t="s">
        <v>72</v>
      </c>
      <c r="F678" s="35" t="s">
        <v>100</v>
      </c>
      <c r="G678" s="35" t="s">
        <v>101</v>
      </c>
    </row>
    <row r="679" spans="1:76" ht="15.75" customHeight="1">
      <c r="A679" s="132" t="s">
        <v>70</v>
      </c>
      <c r="B679" s="132"/>
      <c r="C679" s="132"/>
      <c r="D679" s="37"/>
      <c r="E679" s="37"/>
      <c r="F679" s="37"/>
      <c r="G679" s="37"/>
    </row>
    <row r="680" spans="1:76" ht="15.75" customHeight="1">
      <c r="A680" s="132" t="s">
        <v>71</v>
      </c>
      <c r="B680" s="132"/>
      <c r="C680" s="132"/>
      <c r="D680" s="37"/>
      <c r="E680" s="37"/>
      <c r="F680" s="37"/>
      <c r="G680" s="37"/>
    </row>
    <row r="681" spans="1:76" ht="15.75" customHeight="1">
      <c r="A681" s="132" t="s">
        <v>91</v>
      </c>
      <c r="B681" s="132"/>
      <c r="C681" s="132"/>
      <c r="D681" s="37"/>
      <c r="E681" s="37"/>
      <c r="F681" s="37"/>
      <c r="G681" s="37"/>
    </row>
    <row r="682" spans="1:76" ht="15.75" customHeight="1"/>
    <row r="683" spans="1:76" ht="15.75" customHeight="1"/>
    <row r="684" spans="1:76" ht="15.75" customHeight="1">
      <c r="A684" s="1"/>
      <c r="B684" s="1"/>
      <c r="C684" s="1"/>
      <c r="D684" s="1"/>
      <c r="E684" s="1"/>
      <c r="F684" s="1"/>
      <c r="H684" s="21"/>
      <c r="I684" s="21"/>
    </row>
    <row r="685" spans="1:76" s="26" customFormat="1" ht="16.5" customHeight="1">
      <c r="A685" s="131" t="s">
        <v>41</v>
      </c>
      <c r="B685" s="131"/>
      <c r="C685" s="131"/>
      <c r="D685" s="131"/>
      <c r="E685" s="25"/>
      <c r="F685" s="25"/>
      <c r="G685" s="25"/>
      <c r="H685" s="25"/>
      <c r="I685" s="2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</row>
    <row r="686" spans="1:76" ht="15.75" customHeight="1">
      <c r="A686" s="1"/>
      <c r="B686" s="1"/>
      <c r="C686" s="1"/>
      <c r="D686" s="1"/>
      <c r="E686" s="1"/>
      <c r="F686" s="1"/>
      <c r="G686" s="1"/>
      <c r="H686" s="1"/>
      <c r="I686" s="1"/>
      <c r="BL686" s="26"/>
      <c r="BM686" s="26"/>
      <c r="BN686" s="26"/>
      <c r="BO686" s="26"/>
      <c r="BP686" s="26"/>
      <c r="BQ686" s="26"/>
      <c r="BR686" s="26"/>
      <c r="BS686" s="26"/>
      <c r="BT686" s="26"/>
      <c r="BU686" s="26"/>
      <c r="BV686" s="26"/>
      <c r="BW686" s="26"/>
      <c r="BX686" s="26"/>
    </row>
    <row r="687" spans="1:76" ht="15.75" customHeight="1">
      <c r="A687" s="125"/>
      <c r="B687" s="125"/>
      <c r="C687" s="125"/>
      <c r="D687" s="125"/>
      <c r="E687" s="125"/>
      <c r="F687" s="125"/>
      <c r="G687" s="125"/>
      <c r="H687" s="125"/>
      <c r="I687" s="125"/>
      <c r="J687" s="125"/>
      <c r="K687" s="125"/>
      <c r="L687" s="125"/>
    </row>
    <row r="688" spans="1:76" ht="15.75" customHeight="1">
      <c r="A688" s="125"/>
      <c r="B688" s="125"/>
      <c r="C688" s="125"/>
      <c r="D688" s="125"/>
      <c r="E688" s="125"/>
      <c r="F688" s="125"/>
      <c r="G688" s="125"/>
      <c r="H688" s="125"/>
      <c r="I688" s="125"/>
      <c r="J688" s="125"/>
      <c r="K688" s="125"/>
      <c r="L688" s="125"/>
    </row>
    <row r="689" spans="1:12" ht="15.75" customHeight="1">
      <c r="A689" s="125"/>
      <c r="B689" s="125"/>
      <c r="C689" s="125"/>
      <c r="D689" s="125"/>
      <c r="E689" s="125"/>
      <c r="F689" s="125"/>
      <c r="G689" s="125"/>
      <c r="H689" s="125"/>
      <c r="I689" s="125"/>
      <c r="J689" s="125"/>
      <c r="K689" s="125"/>
      <c r="L689" s="125"/>
    </row>
    <row r="690" spans="1:12" ht="15.75" customHeight="1">
      <c r="A690" s="125"/>
      <c r="B690" s="125"/>
      <c r="C690" s="125"/>
      <c r="D690" s="125"/>
      <c r="E690" s="125"/>
      <c r="F690" s="125"/>
      <c r="G690" s="125"/>
      <c r="H690" s="125"/>
      <c r="I690" s="125"/>
      <c r="J690" s="125"/>
      <c r="K690" s="125"/>
      <c r="L690" s="125"/>
    </row>
    <row r="691" spans="1:12" ht="15.75" customHeight="1">
      <c r="A691" s="125"/>
      <c r="B691" s="125"/>
      <c r="C691" s="125"/>
      <c r="D691" s="125"/>
      <c r="E691" s="125"/>
      <c r="F691" s="125"/>
      <c r="G691" s="125"/>
      <c r="H691" s="125"/>
      <c r="I691" s="125"/>
      <c r="J691" s="125"/>
      <c r="K691" s="125"/>
      <c r="L691" s="125"/>
    </row>
    <row r="692" spans="1:12" ht="15.75" customHeight="1">
      <c r="A692" s="125"/>
      <c r="B692" s="125"/>
      <c r="C692" s="125"/>
      <c r="D692" s="125"/>
      <c r="E692" s="125"/>
      <c r="F692" s="125"/>
      <c r="G692" s="125"/>
      <c r="H692" s="125"/>
      <c r="I692" s="125"/>
      <c r="J692" s="125"/>
      <c r="K692" s="125"/>
      <c r="L692" s="125"/>
    </row>
    <row r="693" spans="1:12" ht="15.75" customHeight="1">
      <c r="A693" s="125"/>
      <c r="B693" s="125"/>
      <c r="C693" s="125"/>
      <c r="D693" s="125"/>
      <c r="E693" s="125"/>
      <c r="F693" s="125"/>
      <c r="G693" s="125"/>
      <c r="H693" s="125"/>
      <c r="I693" s="125"/>
      <c r="J693" s="125"/>
      <c r="K693" s="125"/>
      <c r="L693" s="125"/>
    </row>
    <row r="694" spans="1:12" ht="15.75" customHeight="1">
      <c r="A694" s="125"/>
      <c r="B694" s="125"/>
      <c r="C694" s="125"/>
      <c r="D694" s="125"/>
      <c r="E694" s="125"/>
      <c r="F694" s="125"/>
      <c r="G694" s="125"/>
      <c r="H694" s="125"/>
      <c r="I694" s="125"/>
      <c r="J694" s="125"/>
      <c r="K694" s="125"/>
      <c r="L694" s="125"/>
    </row>
    <row r="695" spans="1:12" ht="15.75" customHeight="1">
      <c r="A695" s="125"/>
      <c r="B695" s="125"/>
      <c r="C695" s="125"/>
      <c r="D695" s="125"/>
      <c r="E695" s="125"/>
      <c r="F695" s="125"/>
      <c r="G695" s="125"/>
      <c r="H695" s="125"/>
      <c r="I695" s="125"/>
      <c r="J695" s="125"/>
      <c r="K695" s="125"/>
      <c r="L695" s="125"/>
    </row>
    <row r="696" spans="1:12" ht="15.75" customHeight="1">
      <c r="A696" s="125"/>
      <c r="B696" s="125"/>
      <c r="C696" s="125"/>
      <c r="D696" s="125"/>
      <c r="E696" s="125"/>
      <c r="F696" s="125"/>
      <c r="G696" s="125"/>
      <c r="H696" s="125"/>
      <c r="I696" s="125"/>
      <c r="J696" s="125"/>
      <c r="K696" s="125"/>
      <c r="L696" s="125"/>
    </row>
    <row r="697" spans="1:12" ht="15.75" customHeight="1">
      <c r="A697" s="125"/>
      <c r="B697" s="125"/>
      <c r="C697" s="125"/>
      <c r="D697" s="125"/>
      <c r="E697" s="125"/>
      <c r="F697" s="125"/>
      <c r="G697" s="125"/>
      <c r="H697" s="125"/>
      <c r="I697" s="125"/>
      <c r="J697" s="125"/>
      <c r="K697" s="125"/>
      <c r="L697" s="125"/>
    </row>
    <row r="698" spans="1:12" ht="15.75" customHeight="1">
      <c r="A698" s="125"/>
      <c r="B698" s="125"/>
      <c r="C698" s="125"/>
      <c r="D698" s="125"/>
      <c r="E698" s="125"/>
      <c r="F698" s="125"/>
      <c r="G698" s="125"/>
      <c r="H698" s="125"/>
      <c r="I698" s="125"/>
      <c r="J698" s="125"/>
      <c r="K698" s="125"/>
      <c r="L698" s="125"/>
    </row>
    <row r="699" spans="1:12" ht="15.75" customHeight="1">
      <c r="A699" s="125"/>
      <c r="B699" s="125"/>
      <c r="C699" s="125"/>
      <c r="D699" s="125"/>
      <c r="E699" s="125"/>
      <c r="F699" s="125"/>
      <c r="G699" s="125"/>
      <c r="H699" s="125"/>
      <c r="I699" s="125"/>
      <c r="J699" s="125"/>
      <c r="K699" s="125"/>
      <c r="L699" s="125"/>
    </row>
    <row r="700" spans="1:12" ht="15.75" customHeight="1">
      <c r="A700" s="125"/>
      <c r="B700" s="125"/>
      <c r="C700" s="125"/>
      <c r="D700" s="125"/>
      <c r="E700" s="125"/>
      <c r="F700" s="125"/>
      <c r="G700" s="125"/>
      <c r="H700" s="125"/>
      <c r="I700" s="125"/>
      <c r="J700" s="125"/>
      <c r="K700" s="125"/>
      <c r="L700" s="125"/>
    </row>
    <row r="701" spans="1:12" ht="15.75" customHeight="1">
      <c r="A701" s="125"/>
      <c r="B701" s="125"/>
      <c r="C701" s="125"/>
      <c r="D701" s="125"/>
      <c r="E701" s="125"/>
      <c r="F701" s="125"/>
      <c r="G701" s="125"/>
      <c r="H701" s="125"/>
      <c r="I701" s="125"/>
      <c r="J701" s="125"/>
      <c r="K701" s="125"/>
      <c r="L701" s="125"/>
    </row>
    <row r="702" spans="1:12" ht="15.75" customHeight="1">
      <c r="A702" s="125"/>
      <c r="B702" s="125"/>
      <c r="C702" s="125"/>
      <c r="D702" s="125"/>
      <c r="E702" s="125"/>
      <c r="F702" s="125"/>
      <c r="G702" s="125"/>
      <c r="H702" s="125"/>
      <c r="I702" s="125"/>
      <c r="J702" s="125"/>
      <c r="K702" s="125"/>
      <c r="L702" s="125"/>
    </row>
    <row r="703" spans="1:12" ht="15.75" customHeight="1">
      <c r="A703" s="125"/>
      <c r="B703" s="125"/>
      <c r="C703" s="125"/>
      <c r="D703" s="125"/>
      <c r="E703" s="125"/>
      <c r="F703" s="125"/>
      <c r="G703" s="125"/>
      <c r="H703" s="125"/>
      <c r="I703" s="125"/>
      <c r="J703" s="125"/>
      <c r="K703" s="125"/>
      <c r="L703" s="125"/>
    </row>
    <row r="704" spans="1:12" ht="15.75" customHeight="1">
      <c r="A704" s="125"/>
      <c r="B704" s="125"/>
      <c r="C704" s="125"/>
      <c r="D704" s="125"/>
      <c r="E704" s="125"/>
      <c r="F704" s="125"/>
      <c r="G704" s="125"/>
      <c r="H704" s="125"/>
      <c r="I704" s="125"/>
      <c r="J704" s="125"/>
      <c r="K704" s="125"/>
      <c r="L704" s="125"/>
    </row>
    <row r="705" spans="1:12" ht="15.75" customHeight="1">
      <c r="A705" s="125"/>
      <c r="B705" s="125"/>
      <c r="C705" s="125"/>
      <c r="D705" s="125"/>
      <c r="E705" s="125"/>
      <c r="F705" s="125"/>
      <c r="G705" s="125"/>
      <c r="H705" s="125"/>
      <c r="I705" s="125"/>
      <c r="J705" s="125"/>
      <c r="K705" s="125"/>
      <c r="L705" s="125"/>
    </row>
    <row r="706" spans="1:12" ht="15.75" customHeight="1">
      <c r="A706" s="125"/>
      <c r="B706" s="125"/>
      <c r="C706" s="125"/>
      <c r="D706" s="125"/>
      <c r="E706" s="125"/>
      <c r="F706" s="125"/>
      <c r="G706" s="125"/>
      <c r="H706" s="125"/>
      <c r="I706" s="125"/>
      <c r="J706" s="125"/>
      <c r="K706" s="125"/>
      <c r="L706" s="125"/>
    </row>
    <row r="707" spans="1:12" ht="15.75" customHeight="1">
      <c r="A707" s="125"/>
      <c r="B707" s="125"/>
      <c r="C707" s="125"/>
      <c r="D707" s="125"/>
      <c r="E707" s="125"/>
      <c r="F707" s="125"/>
      <c r="G707" s="125"/>
      <c r="H707" s="125"/>
      <c r="I707" s="125"/>
      <c r="J707" s="125"/>
      <c r="K707" s="125"/>
      <c r="L707" s="125"/>
    </row>
    <row r="708" spans="1:12" ht="15.75" customHeight="1">
      <c r="A708" s="125"/>
      <c r="B708" s="125"/>
      <c r="C708" s="125"/>
      <c r="D708" s="125"/>
      <c r="E708" s="125"/>
      <c r="F708" s="125"/>
      <c r="G708" s="125"/>
      <c r="H708" s="125"/>
      <c r="I708" s="125"/>
      <c r="J708" s="125"/>
      <c r="K708" s="125"/>
      <c r="L708" s="125"/>
    </row>
    <row r="709" spans="1:12" ht="15.75" customHeight="1">
      <c r="A709" s="125"/>
      <c r="B709" s="125"/>
      <c r="C709" s="125"/>
      <c r="D709" s="125"/>
      <c r="E709" s="125"/>
      <c r="F709" s="125"/>
      <c r="G709" s="125"/>
      <c r="H709" s="125"/>
      <c r="I709" s="125"/>
      <c r="J709" s="125"/>
      <c r="K709" s="125"/>
      <c r="L709" s="125"/>
    </row>
    <row r="710" spans="1:12" ht="15.75" customHeight="1">
      <c r="A710" s="125"/>
      <c r="B710" s="125"/>
      <c r="C710" s="125"/>
      <c r="D710" s="125"/>
      <c r="E710" s="125"/>
      <c r="F710" s="125"/>
      <c r="G710" s="125"/>
      <c r="H710" s="125"/>
      <c r="I710" s="125"/>
      <c r="J710" s="125"/>
      <c r="K710" s="125"/>
      <c r="L710" s="125"/>
    </row>
    <row r="711" spans="1:12" ht="15.75" customHeight="1">
      <c r="A711" s="125"/>
      <c r="B711" s="125"/>
      <c r="C711" s="125"/>
      <c r="D711" s="125"/>
      <c r="E711" s="125"/>
      <c r="F711" s="125"/>
      <c r="G711" s="125"/>
      <c r="H711" s="125"/>
      <c r="I711" s="125"/>
      <c r="J711" s="125"/>
      <c r="K711" s="125"/>
      <c r="L711" s="125"/>
    </row>
    <row r="712" spans="1:12" ht="15.75" customHeight="1">
      <c r="A712" s="125"/>
      <c r="B712" s="125"/>
      <c r="C712" s="125"/>
      <c r="D712" s="125"/>
      <c r="E712" s="125"/>
      <c r="F712" s="125"/>
      <c r="G712" s="125"/>
      <c r="H712" s="125"/>
      <c r="I712" s="125"/>
      <c r="J712" s="125"/>
      <c r="K712" s="125"/>
      <c r="L712" s="125"/>
    </row>
    <row r="713" spans="1:12" ht="15.75" customHeight="1">
      <c r="A713" s="125"/>
      <c r="B713" s="125"/>
      <c r="C713" s="125"/>
      <c r="D713" s="125"/>
      <c r="E713" s="125"/>
      <c r="F713" s="125"/>
      <c r="G713" s="125"/>
      <c r="H713" s="125"/>
      <c r="I713" s="125"/>
      <c r="J713" s="125"/>
      <c r="K713" s="125"/>
      <c r="L713" s="125"/>
    </row>
    <row r="714" spans="1:12" ht="15.75" customHeight="1">
      <c r="A714" s="125"/>
      <c r="B714" s="125"/>
      <c r="C714" s="125"/>
      <c r="D714" s="125"/>
      <c r="E714" s="125"/>
      <c r="F714" s="125"/>
      <c r="G714" s="125"/>
      <c r="H714" s="125"/>
      <c r="I714" s="125"/>
      <c r="J714" s="125"/>
      <c r="K714" s="125"/>
      <c r="L714" s="125"/>
    </row>
    <row r="715" spans="1:12" ht="15.75" customHeight="1">
      <c r="A715" s="125"/>
      <c r="B715" s="125"/>
      <c r="C715" s="125"/>
      <c r="D715" s="125"/>
      <c r="E715" s="125"/>
      <c r="F715" s="125"/>
      <c r="G715" s="125"/>
      <c r="H715" s="125"/>
      <c r="I715" s="125"/>
      <c r="J715" s="125"/>
      <c r="K715" s="125"/>
      <c r="L715" s="125"/>
    </row>
    <row r="716" spans="1:12" ht="15.75" customHeight="1">
      <c r="A716" s="125"/>
      <c r="B716" s="125"/>
      <c r="C716" s="125"/>
      <c r="D716" s="125"/>
      <c r="E716" s="125"/>
      <c r="F716" s="125"/>
      <c r="G716" s="125"/>
      <c r="H716" s="125"/>
      <c r="I716" s="125"/>
      <c r="J716" s="125"/>
      <c r="K716" s="125"/>
      <c r="L716" s="125"/>
    </row>
    <row r="717" spans="1:12" ht="15.75" customHeight="1">
      <c r="A717" s="125"/>
      <c r="B717" s="125"/>
      <c r="C717" s="125"/>
      <c r="D717" s="125"/>
      <c r="E717" s="125"/>
      <c r="F717" s="125"/>
      <c r="G717" s="125"/>
      <c r="H717" s="125"/>
      <c r="I717" s="125"/>
      <c r="J717" s="125"/>
      <c r="K717" s="125"/>
      <c r="L717" s="125"/>
    </row>
    <row r="718" spans="1:12" ht="15.75" customHeight="1">
      <c r="A718" s="1"/>
      <c r="B718" s="1"/>
      <c r="C718" s="1"/>
      <c r="D718" s="1"/>
      <c r="E718" s="1"/>
      <c r="F718" s="1"/>
      <c r="G718" s="1"/>
      <c r="H718" s="1"/>
      <c r="I718" s="1"/>
    </row>
    <row r="719" spans="1:12" ht="15.75" customHeight="1">
      <c r="A719" s="1"/>
      <c r="B719" s="1"/>
      <c r="C719" s="1"/>
      <c r="D719" s="1"/>
      <c r="E719" s="1"/>
      <c r="F719" s="1"/>
      <c r="G719" s="1"/>
      <c r="H719" s="1"/>
      <c r="I719" s="1"/>
    </row>
    <row r="720" spans="1:12" ht="15.75" customHeight="1">
      <c r="A720" s="1"/>
      <c r="B720" s="1"/>
      <c r="C720" s="1"/>
      <c r="D720" s="1"/>
      <c r="E720" s="1"/>
      <c r="F720" s="1"/>
      <c r="G720" s="1"/>
      <c r="H720" s="1"/>
      <c r="I720" s="1"/>
    </row>
    <row r="721" spans="1:31" ht="15.75" customHeight="1">
      <c r="A721" s="1"/>
      <c r="B721" s="1"/>
      <c r="C721" s="1"/>
      <c r="D721" s="1"/>
      <c r="E721" s="1"/>
      <c r="F721" s="1"/>
      <c r="G721" s="1"/>
      <c r="H721" s="1"/>
      <c r="I721" s="1"/>
    </row>
    <row r="722" spans="1:31" ht="15.75" customHeight="1">
      <c r="A722" s="1"/>
      <c r="B722" s="1"/>
      <c r="C722" s="1"/>
      <c r="D722" s="1"/>
      <c r="E722" s="1"/>
      <c r="F722" s="1"/>
      <c r="G722" s="1"/>
      <c r="H722" s="1"/>
      <c r="I722" s="1"/>
    </row>
    <row r="723" spans="1:31" ht="16.5" customHeight="1">
      <c r="B723" s="21"/>
      <c r="C723" s="21"/>
      <c r="D723" s="21"/>
      <c r="E723" s="1"/>
      <c r="F723" s="1"/>
      <c r="G723" s="1"/>
      <c r="H723" s="1"/>
      <c r="I723" s="1"/>
    </row>
    <row r="724" spans="1:31" ht="15.75" customHeight="1">
      <c r="A724" s="131" t="s">
        <v>66</v>
      </c>
      <c r="B724" s="131"/>
      <c r="C724" s="131"/>
      <c r="D724" s="131"/>
      <c r="E724" s="1"/>
      <c r="F724" s="1"/>
      <c r="G724" s="1"/>
      <c r="H724" s="1"/>
      <c r="I724" s="1"/>
    </row>
    <row r="725" spans="1:31" ht="15.75" customHeight="1">
      <c r="A725" s="1"/>
      <c r="B725" s="1"/>
      <c r="C725" s="1"/>
      <c r="D725" s="1"/>
      <c r="E725" s="1"/>
      <c r="F725" s="1"/>
      <c r="G725" s="1"/>
      <c r="H725" s="1"/>
      <c r="I725" s="1"/>
    </row>
    <row r="726" spans="1:31" ht="15.75" customHeight="1">
      <c r="A726" s="125"/>
      <c r="B726" s="125"/>
      <c r="C726" s="125"/>
      <c r="D726" s="125"/>
      <c r="E726" s="125"/>
      <c r="F726" s="125"/>
      <c r="G726" s="125"/>
      <c r="H726" s="125"/>
      <c r="I726" s="125"/>
      <c r="J726" s="125"/>
      <c r="K726" s="125"/>
      <c r="L726" s="125"/>
      <c r="M726" s="1"/>
      <c r="N726" s="1"/>
    </row>
    <row r="727" spans="1:31" ht="15.75" customHeight="1">
      <c r="A727" s="125"/>
      <c r="B727" s="125"/>
      <c r="C727" s="125"/>
      <c r="D727" s="125"/>
      <c r="E727" s="125"/>
      <c r="F727" s="125"/>
      <c r="G727" s="125"/>
      <c r="H727" s="125"/>
      <c r="I727" s="125"/>
      <c r="J727" s="125"/>
      <c r="K727" s="125"/>
      <c r="L727" s="125"/>
      <c r="M727" s="1"/>
      <c r="N727" s="1"/>
    </row>
    <row r="728" spans="1:31" ht="15.75" customHeight="1">
      <c r="A728" s="125"/>
      <c r="B728" s="125"/>
      <c r="C728" s="125"/>
      <c r="D728" s="125"/>
      <c r="E728" s="125"/>
      <c r="F728" s="125"/>
      <c r="G728" s="125"/>
      <c r="H728" s="125"/>
      <c r="I728" s="125"/>
      <c r="J728" s="125"/>
      <c r="K728" s="125"/>
      <c r="L728" s="125"/>
      <c r="M728" s="1"/>
      <c r="N728" s="1"/>
      <c r="AE728" s="1"/>
    </row>
    <row r="729" spans="1:31" ht="15.75" customHeight="1">
      <c r="A729" s="125"/>
      <c r="B729" s="125"/>
      <c r="C729" s="125"/>
      <c r="D729" s="125"/>
      <c r="E729" s="125"/>
      <c r="F729" s="125"/>
      <c r="G729" s="125"/>
      <c r="H729" s="125"/>
      <c r="I729" s="125"/>
      <c r="J729" s="125"/>
      <c r="K729" s="125"/>
      <c r="L729" s="125"/>
      <c r="M729" s="1"/>
      <c r="N729" s="1"/>
      <c r="AE729" s="1"/>
    </row>
    <row r="730" spans="1:31" ht="15.75" customHeight="1">
      <c r="A730" s="125"/>
      <c r="B730" s="125"/>
      <c r="C730" s="125"/>
      <c r="D730" s="125"/>
      <c r="E730" s="125"/>
      <c r="F730" s="125"/>
      <c r="G730" s="125"/>
      <c r="H730" s="125"/>
      <c r="I730" s="125"/>
      <c r="J730" s="125"/>
      <c r="K730" s="125"/>
      <c r="L730" s="125"/>
      <c r="M730" s="1"/>
      <c r="N730" s="1"/>
      <c r="AE730" s="1"/>
    </row>
    <row r="731" spans="1:31" ht="15.75" customHeight="1">
      <c r="A731" s="125"/>
      <c r="B731" s="125"/>
      <c r="C731" s="125"/>
      <c r="D731" s="125"/>
      <c r="E731" s="125"/>
      <c r="F731" s="125"/>
      <c r="G731" s="125"/>
      <c r="H731" s="125"/>
      <c r="I731" s="125"/>
      <c r="J731" s="125"/>
      <c r="K731" s="125"/>
      <c r="L731" s="125"/>
      <c r="M731" s="1"/>
      <c r="N731" s="1"/>
      <c r="AE731" s="1"/>
    </row>
    <row r="732" spans="1:31" ht="15.75" customHeight="1">
      <c r="A732" s="125"/>
      <c r="B732" s="125"/>
      <c r="C732" s="125"/>
      <c r="D732" s="125"/>
      <c r="E732" s="125"/>
      <c r="F732" s="125"/>
      <c r="G732" s="125"/>
      <c r="H732" s="125"/>
      <c r="I732" s="125"/>
      <c r="J732" s="125"/>
      <c r="K732" s="125"/>
      <c r="L732" s="125"/>
      <c r="M732" s="1"/>
      <c r="N732" s="1"/>
      <c r="AE732" s="1"/>
    </row>
    <row r="733" spans="1:31" ht="15.75" customHeight="1">
      <c r="A733" s="125"/>
      <c r="B733" s="125"/>
      <c r="C733" s="125"/>
      <c r="D733" s="125"/>
      <c r="E733" s="125"/>
      <c r="F733" s="125"/>
      <c r="G733" s="125"/>
      <c r="H733" s="125"/>
      <c r="I733" s="125"/>
      <c r="J733" s="125"/>
      <c r="K733" s="125"/>
      <c r="L733" s="125"/>
      <c r="M733" s="1"/>
      <c r="N733" s="1"/>
      <c r="AE733" s="1"/>
    </row>
    <row r="734" spans="1:31" ht="15.75" customHeight="1">
      <c r="A734" s="125"/>
      <c r="B734" s="125"/>
      <c r="C734" s="125"/>
      <c r="D734" s="125"/>
      <c r="E734" s="125"/>
      <c r="F734" s="125"/>
      <c r="G734" s="125"/>
      <c r="H734" s="125"/>
      <c r="I734" s="125"/>
      <c r="J734" s="125"/>
      <c r="K734" s="125"/>
      <c r="L734" s="125"/>
      <c r="M734" s="1"/>
      <c r="N734" s="1"/>
      <c r="AE734" s="1"/>
    </row>
    <row r="735" spans="1:31" ht="15.75" customHeight="1">
      <c r="A735" s="125"/>
      <c r="B735" s="125"/>
      <c r="C735" s="125"/>
      <c r="D735" s="125"/>
      <c r="E735" s="125"/>
      <c r="F735" s="125"/>
      <c r="G735" s="125"/>
      <c r="H735" s="125"/>
      <c r="I735" s="125"/>
      <c r="J735" s="125"/>
      <c r="K735" s="125"/>
      <c r="L735" s="125"/>
      <c r="M735" s="1"/>
      <c r="N735" s="1"/>
      <c r="AE735" s="1"/>
    </row>
    <row r="736" spans="1:31" ht="15.75" customHeight="1">
      <c r="A736" s="125"/>
      <c r="B736" s="125"/>
      <c r="C736" s="125"/>
      <c r="D736" s="125"/>
      <c r="E736" s="125"/>
      <c r="F736" s="125"/>
      <c r="G736" s="125"/>
      <c r="H736" s="125"/>
      <c r="I736" s="125"/>
      <c r="J736" s="125"/>
      <c r="K736" s="125"/>
      <c r="L736" s="125"/>
      <c r="M736" s="1"/>
      <c r="N736" s="1"/>
      <c r="AE736" s="1"/>
    </row>
    <row r="737" spans="1:31" ht="15.75" customHeight="1">
      <c r="A737" s="125"/>
      <c r="B737" s="125"/>
      <c r="C737" s="125"/>
      <c r="D737" s="125"/>
      <c r="E737" s="125"/>
      <c r="F737" s="125"/>
      <c r="G737" s="125"/>
      <c r="H737" s="125"/>
      <c r="I737" s="125"/>
      <c r="J737" s="125"/>
      <c r="K737" s="125"/>
      <c r="L737" s="125"/>
      <c r="M737" s="1"/>
      <c r="N737" s="1"/>
      <c r="AE737" s="1"/>
    </row>
    <row r="738" spans="1:31" ht="15.75" customHeight="1">
      <c r="A738" s="125"/>
      <c r="B738" s="125"/>
      <c r="C738" s="125"/>
      <c r="D738" s="125"/>
      <c r="E738" s="125"/>
      <c r="F738" s="125"/>
      <c r="G738" s="125"/>
      <c r="H738" s="125"/>
      <c r="I738" s="125"/>
      <c r="J738" s="125"/>
      <c r="K738" s="125"/>
      <c r="L738" s="125"/>
      <c r="M738" s="1"/>
      <c r="N738" s="1"/>
      <c r="AE738" s="1"/>
    </row>
    <row r="739" spans="1:31" ht="15.75" customHeight="1">
      <c r="A739" s="125"/>
      <c r="B739" s="125"/>
      <c r="C739" s="125"/>
      <c r="D739" s="125"/>
      <c r="E739" s="125"/>
      <c r="F739" s="125"/>
      <c r="G739" s="125"/>
      <c r="H739" s="125"/>
      <c r="I739" s="125"/>
      <c r="J739" s="125"/>
      <c r="K739" s="125"/>
      <c r="L739" s="125"/>
      <c r="M739" s="1"/>
      <c r="N739" s="1"/>
      <c r="AE739" s="1"/>
    </row>
    <row r="740" spans="1:31" ht="15.75" customHeight="1">
      <c r="A740" s="125"/>
      <c r="B740" s="125"/>
      <c r="C740" s="125"/>
      <c r="D740" s="125"/>
      <c r="E740" s="125"/>
      <c r="F740" s="125"/>
      <c r="G740" s="125"/>
      <c r="H740" s="125"/>
      <c r="I740" s="125"/>
      <c r="J740" s="125"/>
      <c r="K740" s="125"/>
      <c r="L740" s="125"/>
      <c r="M740" s="1"/>
      <c r="N740" s="1"/>
      <c r="AE740" s="1"/>
    </row>
    <row r="741" spans="1:31" ht="15.75" customHeight="1">
      <c r="A741" s="125"/>
      <c r="B741" s="125"/>
      <c r="C741" s="125"/>
      <c r="D741" s="125"/>
      <c r="E741" s="125"/>
      <c r="F741" s="125"/>
      <c r="G741" s="125"/>
      <c r="H741" s="125"/>
      <c r="I741" s="125"/>
      <c r="J741" s="125"/>
      <c r="K741" s="125"/>
      <c r="L741" s="125"/>
      <c r="M741" s="1"/>
      <c r="N741" s="1"/>
      <c r="AE741" s="1"/>
    </row>
    <row r="742" spans="1:31" ht="15.75" customHeight="1">
      <c r="A742" s="125"/>
      <c r="B742" s="125"/>
      <c r="C742" s="125"/>
      <c r="D742" s="125"/>
      <c r="E742" s="125"/>
      <c r="F742" s="125"/>
      <c r="G742" s="125"/>
      <c r="H742" s="125"/>
      <c r="I742" s="125"/>
      <c r="J742" s="125"/>
      <c r="K742" s="125"/>
      <c r="L742" s="125"/>
      <c r="M742" s="1"/>
      <c r="N742" s="1"/>
      <c r="AE742" s="1"/>
    </row>
    <row r="743" spans="1:31" ht="15.75" customHeight="1">
      <c r="A743" s="125"/>
      <c r="B743" s="125"/>
      <c r="C743" s="125"/>
      <c r="D743" s="125"/>
      <c r="E743" s="125"/>
      <c r="F743" s="125"/>
      <c r="G743" s="125"/>
      <c r="H743" s="125"/>
      <c r="I743" s="125"/>
      <c r="J743" s="125"/>
      <c r="K743" s="125"/>
      <c r="L743" s="125"/>
      <c r="M743" s="1"/>
      <c r="N743" s="1"/>
      <c r="AE743" s="1"/>
    </row>
    <row r="744" spans="1:31" ht="15.75" customHeight="1">
      <c r="A744" s="125"/>
      <c r="B744" s="125"/>
      <c r="C744" s="125"/>
      <c r="D744" s="125"/>
      <c r="E744" s="125"/>
      <c r="F744" s="125"/>
      <c r="G744" s="125"/>
      <c r="H744" s="125"/>
      <c r="I744" s="125"/>
      <c r="J744" s="125"/>
      <c r="K744" s="125"/>
      <c r="L744" s="125"/>
      <c r="M744" s="1"/>
      <c r="N744" s="1"/>
      <c r="AE744" s="1"/>
    </row>
    <row r="745" spans="1:31" ht="15.75" customHeight="1">
      <c r="A745" s="125"/>
      <c r="B745" s="125"/>
      <c r="C745" s="125"/>
      <c r="D745" s="125"/>
      <c r="E745" s="125"/>
      <c r="F745" s="125"/>
      <c r="G745" s="125"/>
      <c r="H745" s="125"/>
      <c r="I745" s="125"/>
      <c r="J745" s="125"/>
      <c r="K745" s="125"/>
      <c r="L745" s="125"/>
      <c r="M745" s="1"/>
      <c r="N745" s="1"/>
      <c r="AE745" s="1"/>
    </row>
    <row r="746" spans="1:31" ht="15.75" customHeight="1">
      <c r="A746" s="125"/>
      <c r="B746" s="125"/>
      <c r="C746" s="125"/>
      <c r="D746" s="125"/>
      <c r="E746" s="125"/>
      <c r="F746" s="125"/>
      <c r="G746" s="125"/>
      <c r="H746" s="125"/>
      <c r="I746" s="125"/>
      <c r="J746" s="125"/>
      <c r="K746" s="125"/>
      <c r="L746" s="125"/>
      <c r="M746" s="1"/>
      <c r="N746" s="1"/>
      <c r="AE746" s="1"/>
    </row>
    <row r="747" spans="1:31" ht="15.75" customHeight="1">
      <c r="A747" s="125"/>
      <c r="B747" s="125"/>
      <c r="C747" s="125"/>
      <c r="D747" s="125"/>
      <c r="E747" s="125"/>
      <c r="F747" s="125"/>
      <c r="G747" s="125"/>
      <c r="H747" s="125"/>
      <c r="I747" s="125"/>
      <c r="J747" s="125"/>
      <c r="K747" s="125"/>
      <c r="L747" s="125"/>
      <c r="M747" s="1"/>
      <c r="N747" s="1"/>
      <c r="AE747" s="1"/>
    </row>
    <row r="748" spans="1:31" ht="15.75" customHeight="1">
      <c r="A748" s="125"/>
      <c r="B748" s="125"/>
      <c r="C748" s="125"/>
      <c r="D748" s="125"/>
      <c r="E748" s="125"/>
      <c r="F748" s="125"/>
      <c r="G748" s="125"/>
      <c r="H748" s="125"/>
      <c r="I748" s="125"/>
      <c r="J748" s="125"/>
      <c r="K748" s="125"/>
      <c r="L748" s="125"/>
      <c r="M748" s="1"/>
      <c r="N748" s="1"/>
      <c r="AE748" s="1"/>
    </row>
    <row r="749" spans="1:31" ht="15.75" customHeight="1">
      <c r="A749" s="125"/>
      <c r="B749" s="125"/>
      <c r="C749" s="125"/>
      <c r="D749" s="125"/>
      <c r="E749" s="125"/>
      <c r="F749" s="125"/>
      <c r="G749" s="125"/>
      <c r="H749" s="125"/>
      <c r="I749" s="125"/>
      <c r="J749" s="125"/>
      <c r="K749" s="125"/>
      <c r="L749" s="125"/>
      <c r="M749" s="1"/>
      <c r="N749" s="1"/>
      <c r="AE749" s="1"/>
    </row>
    <row r="750" spans="1:31" ht="15.75" customHeight="1">
      <c r="A750" s="125"/>
      <c r="B750" s="125"/>
      <c r="C750" s="125"/>
      <c r="D750" s="125"/>
      <c r="E750" s="125"/>
      <c r="F750" s="125"/>
      <c r="G750" s="125"/>
      <c r="H750" s="125"/>
      <c r="I750" s="125"/>
      <c r="J750" s="125"/>
      <c r="K750" s="125"/>
      <c r="L750" s="125"/>
      <c r="M750" s="1"/>
      <c r="N750" s="1"/>
      <c r="AE750" s="1"/>
    </row>
    <row r="751" spans="1:31" ht="15.75" customHeight="1">
      <c r="A751" s="125"/>
      <c r="B751" s="125"/>
      <c r="C751" s="125"/>
      <c r="D751" s="125"/>
      <c r="E751" s="125"/>
      <c r="F751" s="125"/>
      <c r="G751" s="125"/>
      <c r="H751" s="125"/>
      <c r="I751" s="125"/>
      <c r="J751" s="125"/>
      <c r="K751" s="125"/>
      <c r="L751" s="125"/>
      <c r="M751" s="1"/>
      <c r="N751" s="1"/>
      <c r="AE751" s="1"/>
    </row>
    <row r="752" spans="1:31" ht="15.75" customHeight="1">
      <c r="A752" s="125"/>
      <c r="B752" s="125"/>
      <c r="C752" s="125"/>
      <c r="D752" s="125"/>
      <c r="E752" s="125"/>
      <c r="F752" s="125"/>
      <c r="G752" s="125"/>
      <c r="H752" s="125"/>
      <c r="I752" s="125"/>
      <c r="J752" s="125"/>
      <c r="K752" s="125"/>
      <c r="L752" s="125"/>
      <c r="M752" s="1"/>
      <c r="N752" s="1"/>
      <c r="AE752" s="1"/>
    </row>
    <row r="753" spans="1:31" ht="15.75" customHeight="1">
      <c r="A753" s="125"/>
      <c r="B753" s="125"/>
      <c r="C753" s="125"/>
      <c r="D753" s="125"/>
      <c r="E753" s="125"/>
      <c r="F753" s="125"/>
      <c r="G753" s="125"/>
      <c r="H753" s="125"/>
      <c r="I753" s="125"/>
      <c r="J753" s="125"/>
      <c r="K753" s="125"/>
      <c r="L753" s="125"/>
      <c r="M753" s="1"/>
      <c r="N753" s="1"/>
      <c r="AE753" s="1"/>
    </row>
    <row r="754" spans="1:31" ht="15.75" customHeight="1">
      <c r="A754" s="125"/>
      <c r="B754" s="125"/>
      <c r="C754" s="125"/>
      <c r="D754" s="125"/>
      <c r="E754" s="125"/>
      <c r="F754" s="125"/>
      <c r="G754" s="125"/>
      <c r="H754" s="125"/>
      <c r="I754" s="125"/>
      <c r="J754" s="125"/>
      <c r="K754" s="125"/>
      <c r="L754" s="125"/>
      <c r="M754" s="1"/>
      <c r="N754" s="1"/>
      <c r="AE754" s="1"/>
    </row>
    <row r="755" spans="1:31" ht="15.75" customHeight="1">
      <c r="A755" s="125"/>
      <c r="B755" s="125"/>
      <c r="C755" s="125"/>
      <c r="D755" s="125"/>
      <c r="E755" s="125"/>
      <c r="F755" s="125"/>
      <c r="G755" s="125"/>
      <c r="H755" s="125"/>
      <c r="I755" s="125"/>
      <c r="J755" s="125"/>
      <c r="K755" s="125"/>
      <c r="L755" s="125"/>
      <c r="M755" s="1"/>
      <c r="N755" s="1"/>
      <c r="AE755" s="1"/>
    </row>
    <row r="756" spans="1:31" ht="15.75" customHeight="1">
      <c r="A756" s="125"/>
      <c r="B756" s="125"/>
      <c r="C756" s="125"/>
      <c r="D756" s="125"/>
      <c r="E756" s="125"/>
      <c r="F756" s="125"/>
      <c r="G756" s="125"/>
      <c r="H756" s="125"/>
      <c r="I756" s="125"/>
      <c r="J756" s="125"/>
      <c r="K756" s="125"/>
      <c r="L756" s="125"/>
      <c r="M756" s="1"/>
      <c r="N756" s="1"/>
      <c r="AE756" s="1"/>
    </row>
    <row r="757" spans="1:31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AE757" s="1"/>
    </row>
    <row r="758" spans="1:31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AE758" s="1"/>
    </row>
    <row r="759" spans="1:31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AE759" s="1"/>
    </row>
    <row r="760" spans="1:31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AE760" s="1"/>
    </row>
    <row r="761" spans="1:3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AE761" s="1"/>
    </row>
    <row r="762" spans="1:31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AE762" s="1"/>
    </row>
    <row r="763" spans="1:31" ht="15.75" customHeight="1">
      <c r="A763" s="131" t="s">
        <v>67</v>
      </c>
      <c r="B763" s="131"/>
      <c r="C763" s="131"/>
      <c r="D763" s="131"/>
      <c r="E763" s="1"/>
      <c r="F763" s="1"/>
      <c r="G763" s="1"/>
      <c r="H763" s="1"/>
      <c r="I763" s="1"/>
      <c r="J763" s="1"/>
      <c r="K763" s="1"/>
      <c r="L763" s="1"/>
      <c r="M763" s="1"/>
      <c r="N763" s="1"/>
      <c r="AE763" s="1"/>
    </row>
    <row r="764" spans="1:31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AE764" s="1"/>
    </row>
    <row r="765" spans="1:31" ht="15.75" customHeight="1">
      <c r="A765" s="125"/>
      <c r="B765" s="125"/>
      <c r="C765" s="125"/>
      <c r="D765" s="125"/>
      <c r="E765" s="125"/>
      <c r="F765" s="125"/>
      <c r="G765" s="125"/>
      <c r="H765" s="125"/>
      <c r="I765" s="125"/>
      <c r="J765" s="125"/>
      <c r="K765" s="125"/>
      <c r="L765" s="125"/>
      <c r="M765" s="1"/>
      <c r="N765" s="1"/>
      <c r="AE765" s="1"/>
    </row>
    <row r="766" spans="1:31" ht="15.75" customHeight="1">
      <c r="A766" s="125"/>
      <c r="B766" s="125"/>
      <c r="C766" s="125"/>
      <c r="D766" s="125"/>
      <c r="E766" s="125"/>
      <c r="F766" s="125"/>
      <c r="G766" s="125"/>
      <c r="H766" s="125"/>
      <c r="I766" s="125"/>
      <c r="J766" s="125"/>
      <c r="K766" s="125"/>
      <c r="L766" s="125"/>
      <c r="M766" s="1"/>
      <c r="N766" s="1"/>
      <c r="AE766" s="1"/>
    </row>
    <row r="767" spans="1:31" ht="15.75" customHeight="1">
      <c r="A767" s="125"/>
      <c r="B767" s="125"/>
      <c r="C767" s="125"/>
      <c r="D767" s="125"/>
      <c r="E767" s="125"/>
      <c r="F767" s="125"/>
      <c r="G767" s="125"/>
      <c r="H767" s="125"/>
      <c r="I767" s="125"/>
      <c r="J767" s="125"/>
      <c r="K767" s="125"/>
      <c r="L767" s="125"/>
      <c r="M767" s="1"/>
      <c r="N767" s="1"/>
      <c r="AE767" s="1"/>
    </row>
    <row r="768" spans="1:31" ht="15.75" customHeight="1">
      <c r="A768" s="125"/>
      <c r="B768" s="125"/>
      <c r="C768" s="125"/>
      <c r="D768" s="125"/>
      <c r="E768" s="125"/>
      <c r="F768" s="125"/>
      <c r="G768" s="125"/>
      <c r="H768" s="125"/>
      <c r="I768" s="125"/>
      <c r="J768" s="125"/>
      <c r="K768" s="125"/>
      <c r="L768" s="125"/>
      <c r="M768" s="1"/>
      <c r="N768" s="1"/>
      <c r="AE768" s="1"/>
    </row>
    <row r="769" spans="1:31" ht="15.75" customHeight="1">
      <c r="A769" s="125"/>
      <c r="B769" s="125"/>
      <c r="C769" s="125"/>
      <c r="D769" s="125"/>
      <c r="E769" s="125"/>
      <c r="F769" s="125"/>
      <c r="G769" s="125"/>
      <c r="H769" s="125"/>
      <c r="I769" s="125"/>
      <c r="J769" s="125"/>
      <c r="K769" s="125"/>
      <c r="L769" s="125"/>
      <c r="M769" s="1"/>
      <c r="N769" s="1"/>
      <c r="AE769" s="1"/>
    </row>
    <row r="770" spans="1:31" ht="15.75" customHeight="1">
      <c r="A770" s="125"/>
      <c r="B770" s="125"/>
      <c r="C770" s="125"/>
      <c r="D770" s="125"/>
      <c r="E770" s="125"/>
      <c r="F770" s="125"/>
      <c r="G770" s="125"/>
      <c r="H770" s="125"/>
      <c r="I770" s="125"/>
      <c r="J770" s="125"/>
      <c r="K770" s="125"/>
      <c r="L770" s="125"/>
      <c r="M770" s="1"/>
      <c r="N770" s="1"/>
      <c r="AE770" s="1"/>
    </row>
    <row r="771" spans="1:31" ht="15.75" customHeight="1">
      <c r="A771" s="125"/>
      <c r="B771" s="125"/>
      <c r="C771" s="125"/>
      <c r="D771" s="125"/>
      <c r="E771" s="125"/>
      <c r="F771" s="125"/>
      <c r="G771" s="125"/>
      <c r="H771" s="125"/>
      <c r="I771" s="125"/>
      <c r="J771" s="125"/>
      <c r="K771" s="125"/>
      <c r="L771" s="125"/>
      <c r="M771" s="1"/>
      <c r="N771" s="1"/>
      <c r="AE771" s="1"/>
    </row>
    <row r="772" spans="1:31" ht="15.75" customHeight="1">
      <c r="A772" s="125"/>
      <c r="B772" s="125"/>
      <c r="C772" s="125"/>
      <c r="D772" s="125"/>
      <c r="E772" s="125"/>
      <c r="F772" s="125"/>
      <c r="G772" s="125"/>
      <c r="H772" s="125"/>
      <c r="I772" s="125"/>
      <c r="J772" s="125"/>
      <c r="K772" s="125"/>
      <c r="L772" s="125"/>
      <c r="M772" s="1"/>
      <c r="N772" s="1"/>
      <c r="AE772" s="1"/>
    </row>
    <row r="773" spans="1:31" ht="15.75" customHeight="1">
      <c r="A773" s="125"/>
      <c r="B773" s="125"/>
      <c r="C773" s="125"/>
      <c r="D773" s="125"/>
      <c r="E773" s="125"/>
      <c r="F773" s="125"/>
      <c r="G773" s="125"/>
      <c r="H773" s="125"/>
      <c r="I773" s="125"/>
      <c r="J773" s="125"/>
      <c r="K773" s="125"/>
      <c r="L773" s="125"/>
      <c r="M773" s="1"/>
      <c r="N773" s="1"/>
      <c r="AE773" s="1"/>
    </row>
    <row r="774" spans="1:31" ht="15.75" customHeight="1">
      <c r="A774" s="125"/>
      <c r="B774" s="125"/>
      <c r="C774" s="125"/>
      <c r="D774" s="125"/>
      <c r="E774" s="125"/>
      <c r="F774" s="125"/>
      <c r="G774" s="125"/>
      <c r="H774" s="125"/>
      <c r="I774" s="125"/>
      <c r="J774" s="125"/>
      <c r="K774" s="125"/>
      <c r="L774" s="125"/>
      <c r="M774" s="1"/>
      <c r="N774" s="1"/>
      <c r="AE774" s="1"/>
    </row>
    <row r="775" spans="1:31" ht="15.75" customHeight="1">
      <c r="A775" s="125"/>
      <c r="B775" s="125"/>
      <c r="C775" s="125"/>
      <c r="D775" s="125"/>
      <c r="E775" s="125"/>
      <c r="F775" s="125"/>
      <c r="G775" s="125"/>
      <c r="H775" s="125"/>
      <c r="I775" s="125"/>
      <c r="J775" s="125"/>
      <c r="K775" s="125"/>
      <c r="L775" s="125"/>
      <c r="M775" s="1"/>
      <c r="N775" s="1"/>
      <c r="AE775" s="1"/>
    </row>
    <row r="776" spans="1:31" ht="15.75" customHeight="1">
      <c r="A776" s="125"/>
      <c r="B776" s="125"/>
      <c r="C776" s="125"/>
      <c r="D776" s="125"/>
      <c r="E776" s="125"/>
      <c r="F776" s="125"/>
      <c r="G776" s="125"/>
      <c r="H776" s="125"/>
      <c r="I776" s="125"/>
      <c r="J776" s="125"/>
      <c r="K776" s="125"/>
      <c r="L776" s="125"/>
      <c r="M776" s="1"/>
      <c r="N776" s="1"/>
      <c r="AE776" s="1"/>
    </row>
    <row r="777" spans="1:31" ht="15.75" customHeight="1">
      <c r="A777" s="125"/>
      <c r="B777" s="125"/>
      <c r="C777" s="125"/>
      <c r="D777" s="125"/>
      <c r="E777" s="125"/>
      <c r="F777" s="125"/>
      <c r="G777" s="125"/>
      <c r="H777" s="125"/>
      <c r="I777" s="125"/>
      <c r="J777" s="125"/>
      <c r="K777" s="125"/>
      <c r="L777" s="125"/>
      <c r="M777" s="1"/>
      <c r="N777" s="1"/>
      <c r="AE777" s="1"/>
    </row>
    <row r="778" spans="1:31" ht="15.75" customHeight="1">
      <c r="A778" s="125"/>
      <c r="B778" s="125"/>
      <c r="C778" s="125"/>
      <c r="D778" s="125"/>
      <c r="E778" s="125"/>
      <c r="F778" s="125"/>
      <c r="G778" s="125"/>
      <c r="H778" s="125"/>
      <c r="I778" s="125"/>
      <c r="J778" s="125"/>
      <c r="K778" s="125"/>
      <c r="L778" s="125"/>
      <c r="M778" s="1"/>
      <c r="N778" s="1"/>
      <c r="AE778" s="1"/>
    </row>
    <row r="779" spans="1:31" ht="15.75" customHeight="1">
      <c r="A779" s="125"/>
      <c r="B779" s="125"/>
      <c r="C779" s="125"/>
      <c r="D779" s="125"/>
      <c r="E779" s="125"/>
      <c r="F779" s="125"/>
      <c r="G779" s="125"/>
      <c r="H779" s="125"/>
      <c r="I779" s="125"/>
      <c r="J779" s="125"/>
      <c r="K779" s="125"/>
      <c r="L779" s="125"/>
      <c r="M779" s="1"/>
      <c r="N779" s="1"/>
      <c r="AE779" s="1"/>
    </row>
    <row r="780" spans="1:31" ht="15.75" customHeight="1">
      <c r="A780" s="125"/>
      <c r="B780" s="125"/>
      <c r="C780" s="125"/>
      <c r="D780" s="125"/>
      <c r="E780" s="125"/>
      <c r="F780" s="125"/>
      <c r="G780" s="125"/>
      <c r="H780" s="125"/>
      <c r="I780" s="125"/>
      <c r="J780" s="125"/>
      <c r="K780" s="125"/>
      <c r="L780" s="125"/>
      <c r="M780" s="1"/>
      <c r="N780" s="1"/>
      <c r="AE780" s="1"/>
    </row>
    <row r="781" spans="1:31" ht="15.75" customHeight="1">
      <c r="A781" s="125"/>
      <c r="B781" s="125"/>
      <c r="C781" s="125"/>
      <c r="D781" s="125"/>
      <c r="E781" s="125"/>
      <c r="F781" s="125"/>
      <c r="G781" s="125"/>
      <c r="H781" s="125"/>
      <c r="I781" s="125"/>
      <c r="J781" s="125"/>
      <c r="K781" s="125"/>
      <c r="L781" s="125"/>
      <c r="M781" s="1"/>
      <c r="N781" s="1"/>
      <c r="AE781" s="1"/>
    </row>
    <row r="782" spans="1:31" ht="15.75" customHeight="1">
      <c r="A782" s="125"/>
      <c r="B782" s="125"/>
      <c r="C782" s="125"/>
      <c r="D782" s="125"/>
      <c r="E782" s="125"/>
      <c r="F782" s="125"/>
      <c r="G782" s="125"/>
      <c r="H782" s="125"/>
      <c r="I782" s="125"/>
      <c r="J782" s="125"/>
      <c r="K782" s="125"/>
      <c r="L782" s="125"/>
      <c r="M782" s="1"/>
      <c r="N782" s="1"/>
      <c r="AE782" s="1"/>
    </row>
    <row r="783" spans="1:31" ht="15.75" customHeight="1">
      <c r="A783" s="125"/>
      <c r="B783" s="125"/>
      <c r="C783" s="125"/>
      <c r="D783" s="125"/>
      <c r="E783" s="125"/>
      <c r="F783" s="125"/>
      <c r="G783" s="125"/>
      <c r="H783" s="125"/>
      <c r="I783" s="125"/>
      <c r="J783" s="125"/>
      <c r="K783" s="125"/>
      <c r="L783" s="125"/>
      <c r="M783" s="1"/>
      <c r="N783" s="1"/>
      <c r="AE783" s="1"/>
    </row>
    <row r="784" spans="1:31" ht="15.75" customHeight="1">
      <c r="A784" s="125"/>
      <c r="B784" s="125"/>
      <c r="C784" s="125"/>
      <c r="D784" s="125"/>
      <c r="E784" s="125"/>
      <c r="F784" s="125"/>
      <c r="G784" s="125"/>
      <c r="H784" s="125"/>
      <c r="I784" s="125"/>
      <c r="J784" s="125"/>
      <c r="K784" s="125"/>
      <c r="L784" s="125"/>
      <c r="M784" s="1"/>
      <c r="N784" s="1"/>
      <c r="AE784" s="1"/>
    </row>
    <row r="785" spans="1:31" ht="15.75" customHeight="1">
      <c r="A785" s="125"/>
      <c r="B785" s="125"/>
      <c r="C785" s="125"/>
      <c r="D785" s="125"/>
      <c r="E785" s="125"/>
      <c r="F785" s="125"/>
      <c r="G785" s="125"/>
      <c r="H785" s="125"/>
      <c r="I785" s="125"/>
      <c r="J785" s="125"/>
      <c r="K785" s="125"/>
      <c r="L785" s="125"/>
      <c r="M785" s="1"/>
      <c r="N785" s="1"/>
      <c r="AE785" s="1"/>
    </row>
    <row r="786" spans="1:31" ht="15.75" customHeight="1">
      <c r="A786" s="125"/>
      <c r="B786" s="125"/>
      <c r="C786" s="125"/>
      <c r="D786" s="125"/>
      <c r="E786" s="125"/>
      <c r="F786" s="125"/>
      <c r="G786" s="125"/>
      <c r="H786" s="125"/>
      <c r="I786" s="125"/>
      <c r="J786" s="125"/>
      <c r="K786" s="125"/>
      <c r="L786" s="125"/>
      <c r="M786" s="1"/>
      <c r="N786" s="1"/>
      <c r="AE786" s="1"/>
    </row>
    <row r="787" spans="1:31" ht="15.75" customHeight="1">
      <c r="A787" s="125"/>
      <c r="B787" s="125"/>
      <c r="C787" s="125"/>
      <c r="D787" s="125"/>
      <c r="E787" s="125"/>
      <c r="F787" s="125"/>
      <c r="G787" s="125"/>
      <c r="H787" s="125"/>
      <c r="I787" s="125"/>
      <c r="J787" s="125"/>
      <c r="K787" s="125"/>
      <c r="L787" s="125"/>
      <c r="M787" s="1"/>
      <c r="N787" s="1"/>
      <c r="AE787" s="1"/>
    </row>
    <row r="788" spans="1:31" ht="15.75" customHeight="1">
      <c r="A788" s="125"/>
      <c r="B788" s="125"/>
      <c r="C788" s="125"/>
      <c r="D788" s="125"/>
      <c r="E788" s="125"/>
      <c r="F788" s="125"/>
      <c r="G788" s="125"/>
      <c r="H788" s="125"/>
      <c r="I788" s="125"/>
      <c r="J788" s="125"/>
      <c r="K788" s="125"/>
      <c r="L788" s="125"/>
      <c r="M788" s="1"/>
      <c r="N788" s="1"/>
      <c r="AE788" s="1"/>
    </row>
    <row r="789" spans="1:31" ht="15.75" customHeight="1">
      <c r="A789" s="125"/>
      <c r="B789" s="125"/>
      <c r="C789" s="125"/>
      <c r="D789" s="125"/>
      <c r="E789" s="125"/>
      <c r="F789" s="125"/>
      <c r="G789" s="125"/>
      <c r="H789" s="125"/>
      <c r="I789" s="125"/>
      <c r="J789" s="125"/>
      <c r="K789" s="125"/>
      <c r="L789" s="125"/>
      <c r="M789" s="1"/>
      <c r="N789" s="1"/>
      <c r="AE789" s="1"/>
    </row>
    <row r="790" spans="1:31" ht="15.75" customHeight="1">
      <c r="A790" s="125"/>
      <c r="B790" s="125"/>
      <c r="C790" s="125"/>
      <c r="D790" s="125"/>
      <c r="E790" s="125"/>
      <c r="F790" s="125"/>
      <c r="G790" s="125"/>
      <c r="H790" s="125"/>
      <c r="I790" s="125"/>
      <c r="J790" s="125"/>
      <c r="K790" s="125"/>
      <c r="L790" s="125"/>
      <c r="M790" s="1"/>
      <c r="N790" s="1"/>
      <c r="AE790" s="1"/>
    </row>
    <row r="791" spans="1:31" ht="15.75" customHeight="1">
      <c r="A791" s="125"/>
      <c r="B791" s="125"/>
      <c r="C791" s="125"/>
      <c r="D791" s="125"/>
      <c r="E791" s="125"/>
      <c r="F791" s="125"/>
      <c r="G791" s="125"/>
      <c r="H791" s="125"/>
      <c r="I791" s="125"/>
      <c r="J791" s="125"/>
      <c r="K791" s="125"/>
      <c r="L791" s="125"/>
      <c r="M791" s="1"/>
      <c r="N791" s="1"/>
      <c r="AE791" s="1"/>
    </row>
    <row r="792" spans="1:31" ht="15.75" customHeight="1">
      <c r="A792" s="125"/>
      <c r="B792" s="125"/>
      <c r="C792" s="125"/>
      <c r="D792" s="125"/>
      <c r="E792" s="125"/>
      <c r="F792" s="125"/>
      <c r="G792" s="125"/>
      <c r="H792" s="125"/>
      <c r="I792" s="125"/>
      <c r="J792" s="125"/>
      <c r="K792" s="125"/>
      <c r="L792" s="125"/>
      <c r="M792" s="1"/>
      <c r="N792" s="1"/>
      <c r="AE792" s="1"/>
    </row>
    <row r="793" spans="1:31" ht="15.75" customHeight="1">
      <c r="A793" s="125"/>
      <c r="B793" s="125"/>
      <c r="C793" s="125"/>
      <c r="D793" s="125"/>
      <c r="E793" s="125"/>
      <c r="F793" s="125"/>
      <c r="G793" s="125"/>
      <c r="H793" s="125"/>
      <c r="I793" s="125"/>
      <c r="J793" s="125"/>
      <c r="K793" s="125"/>
      <c r="L793" s="125"/>
      <c r="M793" s="1"/>
      <c r="N793" s="1"/>
      <c r="AE793" s="1"/>
    </row>
    <row r="794" spans="1:31" ht="15.75" customHeight="1">
      <c r="A794" s="125"/>
      <c r="B794" s="125"/>
      <c r="C794" s="125"/>
      <c r="D794" s="125"/>
      <c r="E794" s="125"/>
      <c r="F794" s="125"/>
      <c r="G794" s="125"/>
      <c r="H794" s="125"/>
      <c r="I794" s="125"/>
      <c r="J794" s="125"/>
      <c r="K794" s="125"/>
      <c r="L794" s="125"/>
      <c r="M794" s="1"/>
      <c r="N794" s="1"/>
      <c r="AE794" s="1"/>
    </row>
    <row r="795" spans="1:31" ht="15.75" customHeight="1">
      <c r="A795" s="125"/>
      <c r="B795" s="125"/>
      <c r="C795" s="125"/>
      <c r="D795" s="125"/>
      <c r="E795" s="125"/>
      <c r="F795" s="125"/>
      <c r="G795" s="125"/>
      <c r="H795" s="125"/>
      <c r="I795" s="125"/>
      <c r="J795" s="125"/>
      <c r="K795" s="125"/>
      <c r="L795" s="125"/>
      <c r="M795" s="1"/>
      <c r="N795" s="1"/>
      <c r="AE795" s="1"/>
    </row>
    <row r="796" spans="1:31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AE796" s="1"/>
    </row>
    <row r="797" spans="1:31" ht="15" customHeight="1"/>
    <row r="798" spans="1:31" ht="15" customHeight="1"/>
    <row r="799" spans="1:31" ht="15" customHeight="1"/>
    <row r="800" spans="1:31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hidden="1" customHeight="1"/>
  </sheetData>
  <mergeCells count="287">
    <mergeCell ref="AF34:AJ34"/>
    <mergeCell ref="AK34:AN34"/>
    <mergeCell ref="AF33:AR33"/>
    <mergeCell ref="AK26:AN26"/>
    <mergeCell ref="AO26:AR26"/>
    <mergeCell ref="AE201:AQ230"/>
    <mergeCell ref="AE199:AG199"/>
    <mergeCell ref="AF36:AR44"/>
    <mergeCell ref="AK28:AN28"/>
    <mergeCell ref="AF29:AJ29"/>
    <mergeCell ref="AK29:AN29"/>
    <mergeCell ref="AF31:AJ31"/>
    <mergeCell ref="AK31:AN31"/>
    <mergeCell ref="AF32:AJ32"/>
    <mergeCell ref="AK32:AN32"/>
    <mergeCell ref="AO32:AR32"/>
    <mergeCell ref="AF30:AJ30"/>
    <mergeCell ref="AK30:AN30"/>
    <mergeCell ref="AO27:AR27"/>
    <mergeCell ref="AO28:AR28"/>
    <mergeCell ref="AO29:AR29"/>
    <mergeCell ref="AO30:AR30"/>
    <mergeCell ref="AO34:AR34"/>
    <mergeCell ref="AO31:AR31"/>
    <mergeCell ref="H3:L3"/>
    <mergeCell ref="H9:L9"/>
    <mergeCell ref="E15:G15"/>
    <mergeCell ref="H15:L15"/>
    <mergeCell ref="H12:L12"/>
    <mergeCell ref="H13:L13"/>
    <mergeCell ref="A3:G4"/>
    <mergeCell ref="A12:G13"/>
    <mergeCell ref="M3:R25"/>
    <mergeCell ref="E7:F7"/>
    <mergeCell ref="H7:L7"/>
    <mergeCell ref="A8:D8"/>
    <mergeCell ref="E8:F8"/>
    <mergeCell ref="H8:L8"/>
    <mergeCell ref="A18:D18"/>
    <mergeCell ref="E18:G18"/>
    <mergeCell ref="A19:D19"/>
    <mergeCell ref="E19:G19"/>
    <mergeCell ref="A20:D20"/>
    <mergeCell ref="E20:G20"/>
    <mergeCell ref="A15:D15"/>
    <mergeCell ref="A16:D16"/>
    <mergeCell ref="E16:G16"/>
    <mergeCell ref="A17:D17"/>
    <mergeCell ref="A1:D1"/>
    <mergeCell ref="E1:G1"/>
    <mergeCell ref="A2:D2"/>
    <mergeCell ref="E2:G2"/>
    <mergeCell ref="A14:D14"/>
    <mergeCell ref="E14:G14"/>
    <mergeCell ref="A9:D9"/>
    <mergeCell ref="E9:F9"/>
    <mergeCell ref="H16:L16"/>
    <mergeCell ref="H14:L14"/>
    <mergeCell ref="H4:L4"/>
    <mergeCell ref="A5:D5"/>
    <mergeCell ref="E5:G5"/>
    <mergeCell ref="H5:L5"/>
    <mergeCell ref="A6:D6"/>
    <mergeCell ref="E6:F6"/>
    <mergeCell ref="A10:D10"/>
    <mergeCell ref="E10:G10"/>
    <mergeCell ref="H10:L10"/>
    <mergeCell ref="A11:D11"/>
    <mergeCell ref="E11:G11"/>
    <mergeCell ref="H11:L11"/>
    <mergeCell ref="H6:L6"/>
    <mergeCell ref="A7:D7"/>
    <mergeCell ref="E17:G17"/>
    <mergeCell ref="A32:E32"/>
    <mergeCell ref="A33:D33"/>
    <mergeCell ref="A34:D34"/>
    <mergeCell ref="B36:B37"/>
    <mergeCell ref="F36:F37"/>
    <mergeCell ref="G36:G37"/>
    <mergeCell ref="A21:D21"/>
    <mergeCell ref="E21:G21"/>
    <mergeCell ref="A22:D22"/>
    <mergeCell ref="E22:G22"/>
    <mergeCell ref="A23:D23"/>
    <mergeCell ref="E23:G23"/>
    <mergeCell ref="N125:P125"/>
    <mergeCell ref="A189:E189"/>
    <mergeCell ref="A199:C199"/>
    <mergeCell ref="N199:P199"/>
    <mergeCell ref="A193:C193"/>
    <mergeCell ref="A194:C194"/>
    <mergeCell ref="A246:C246"/>
    <mergeCell ref="A238:E238"/>
    <mergeCell ref="A240:E240"/>
    <mergeCell ref="A241:E241"/>
    <mergeCell ref="A243:C243"/>
    <mergeCell ref="A244:C244"/>
    <mergeCell ref="A245:C245"/>
    <mergeCell ref="A201:L231"/>
    <mergeCell ref="N201:AC231"/>
    <mergeCell ref="H36:H37"/>
    <mergeCell ref="A74:E74"/>
    <mergeCell ref="A75:E75"/>
    <mergeCell ref="B77:B78"/>
    <mergeCell ref="C77:C78"/>
    <mergeCell ref="A191:C191"/>
    <mergeCell ref="A192:C192"/>
    <mergeCell ref="A118:E118"/>
    <mergeCell ref="A125:C125"/>
    <mergeCell ref="A120:C120"/>
    <mergeCell ref="A121:C121"/>
    <mergeCell ref="A122:C122"/>
    <mergeCell ref="O592:R592"/>
    <mergeCell ref="A446:C446"/>
    <mergeCell ref="A447:C447"/>
    <mergeCell ref="D446:E446"/>
    <mergeCell ref="A499:C499"/>
    <mergeCell ref="O499:R499"/>
    <mergeCell ref="A538:C538"/>
    <mergeCell ref="O538:Q538"/>
    <mergeCell ref="A259:L289"/>
    <mergeCell ref="A583:C583"/>
    <mergeCell ref="O540:AD570"/>
    <mergeCell ref="A581:C581"/>
    <mergeCell ref="A582:C582"/>
    <mergeCell ref="A589:C589"/>
    <mergeCell ref="A493:C493"/>
    <mergeCell ref="A494:C494"/>
    <mergeCell ref="A495:C495"/>
    <mergeCell ref="A496:C496"/>
    <mergeCell ref="A497:C497"/>
    <mergeCell ref="A585:C585"/>
    <mergeCell ref="A586:C586"/>
    <mergeCell ref="A587:C587"/>
    <mergeCell ref="A588:C588"/>
    <mergeCell ref="A580:C580"/>
    <mergeCell ref="O256:Q256"/>
    <mergeCell ref="AG257:AI257"/>
    <mergeCell ref="A295:C295"/>
    <mergeCell ref="A297:C297"/>
    <mergeCell ref="O353:AD383"/>
    <mergeCell ref="A396:C396"/>
    <mergeCell ref="A256:C256"/>
    <mergeCell ref="A249:C249"/>
    <mergeCell ref="A250:C250"/>
    <mergeCell ref="A344:C344"/>
    <mergeCell ref="A353:L383"/>
    <mergeCell ref="A334:E334"/>
    <mergeCell ref="A336:C336"/>
    <mergeCell ref="A254:D254"/>
    <mergeCell ref="A255:C255"/>
    <mergeCell ref="A395:C395"/>
    <mergeCell ref="A390:E390"/>
    <mergeCell ref="A632:C632"/>
    <mergeCell ref="O632:Q632"/>
    <mergeCell ref="D445:E445"/>
    <mergeCell ref="O351:Q351"/>
    <mergeCell ref="A337:C337"/>
    <mergeCell ref="O297:Q297"/>
    <mergeCell ref="AG297:AI297"/>
    <mergeCell ref="O259:AD289"/>
    <mergeCell ref="AG259:AS288"/>
    <mergeCell ref="AG299:AS328"/>
    <mergeCell ref="A299:L329"/>
    <mergeCell ref="O299:AD329"/>
    <mergeCell ref="AG353:AS382"/>
    <mergeCell ref="AG403:AS432"/>
    <mergeCell ref="AG401:AI401"/>
    <mergeCell ref="A594:L624"/>
    <mergeCell ref="O594:AD624"/>
    <mergeCell ref="A592:C592"/>
    <mergeCell ref="A340:C340"/>
    <mergeCell ref="A578:E578"/>
    <mergeCell ref="A351:C351"/>
    <mergeCell ref="A341:C341"/>
    <mergeCell ref="A343:C343"/>
    <mergeCell ref="A342:C342"/>
    <mergeCell ref="A248:C248"/>
    <mergeCell ref="AV353:BH382"/>
    <mergeCell ref="AG351:AI351"/>
    <mergeCell ref="AV351:AX351"/>
    <mergeCell ref="A450:L480"/>
    <mergeCell ref="A501:L531"/>
    <mergeCell ref="O501:AD531"/>
    <mergeCell ref="A397:C397"/>
    <mergeCell ref="A398:C398"/>
    <mergeCell ref="A443:E443"/>
    <mergeCell ref="A486:E486"/>
    <mergeCell ref="A488:C488"/>
    <mergeCell ref="A489:C489"/>
    <mergeCell ref="A490:C490"/>
    <mergeCell ref="A491:C491"/>
    <mergeCell ref="A392:C392"/>
    <mergeCell ref="A401:C401"/>
    <mergeCell ref="A440:E440"/>
    <mergeCell ref="A442:E442"/>
    <mergeCell ref="A403:L433"/>
    <mergeCell ref="O403:AD433"/>
    <mergeCell ref="O401:Q401"/>
    <mergeCell ref="D394:F394"/>
    <mergeCell ref="G394:I394"/>
    <mergeCell ref="A765:L795"/>
    <mergeCell ref="A634:L664"/>
    <mergeCell ref="O634:AD664"/>
    <mergeCell ref="A675:L676"/>
    <mergeCell ref="A724:D724"/>
    <mergeCell ref="A763:D763"/>
    <mergeCell ref="A687:L717"/>
    <mergeCell ref="A726:L756"/>
    <mergeCell ref="A685:D685"/>
    <mergeCell ref="A678:C678"/>
    <mergeCell ref="A679:C679"/>
    <mergeCell ref="A680:C680"/>
    <mergeCell ref="A681:C681"/>
    <mergeCell ref="A669:E669"/>
    <mergeCell ref="A671:C671"/>
    <mergeCell ref="A672:C672"/>
    <mergeCell ref="A673:C673"/>
    <mergeCell ref="A540:L570"/>
    <mergeCell ref="AK15:AN15"/>
    <mergeCell ref="AK16:AN16"/>
    <mergeCell ref="AK17:AN17"/>
    <mergeCell ref="AK18:AN18"/>
    <mergeCell ref="AK19:AN19"/>
    <mergeCell ref="AK20:AN20"/>
    <mergeCell ref="AK21:AN21"/>
    <mergeCell ref="AF4:AJ4"/>
    <mergeCell ref="AK4:AN4"/>
    <mergeCell ref="AF5:AJ5"/>
    <mergeCell ref="AF8:AJ8"/>
    <mergeCell ref="AF9:AJ9"/>
    <mergeCell ref="AF10:AJ10"/>
    <mergeCell ref="AF20:AJ20"/>
    <mergeCell ref="AF21:AJ21"/>
    <mergeCell ref="AK13:AN13"/>
    <mergeCell ref="AK14:AN14"/>
    <mergeCell ref="AF22:AJ22"/>
    <mergeCell ref="AF23:AJ23"/>
    <mergeCell ref="AF24:AJ24"/>
    <mergeCell ref="AF25:AJ25"/>
    <mergeCell ref="AF27:AJ27"/>
    <mergeCell ref="AF11:AJ11"/>
    <mergeCell ref="U3:AD3"/>
    <mergeCell ref="AF2:AN3"/>
    <mergeCell ref="AF6:AJ7"/>
    <mergeCell ref="AK27:AN27"/>
    <mergeCell ref="AK25:AN25"/>
    <mergeCell ref="AK5:AN5"/>
    <mergeCell ref="AK6:AN6"/>
    <mergeCell ref="AK7:AN7"/>
    <mergeCell ref="AK8:AN8"/>
    <mergeCell ref="AK9:AN9"/>
    <mergeCell ref="AK10:AN10"/>
    <mergeCell ref="AK11:AN11"/>
    <mergeCell ref="AK12:AN12"/>
    <mergeCell ref="AK24:AN24"/>
    <mergeCell ref="AF12:AJ12"/>
    <mergeCell ref="AF13:AJ13"/>
    <mergeCell ref="AF14:AJ14"/>
    <mergeCell ref="AF15:AJ15"/>
    <mergeCell ref="AF16:AJ16"/>
    <mergeCell ref="AF17:AJ17"/>
    <mergeCell ref="AF18:AJ18"/>
    <mergeCell ref="AF19:AJ19"/>
    <mergeCell ref="AF26:AJ26"/>
    <mergeCell ref="AO2:AR3"/>
    <mergeCell ref="AO9:AR9"/>
    <mergeCell ref="AO10:AR10"/>
    <mergeCell ref="AO11:AR11"/>
    <mergeCell ref="AO12:AR12"/>
    <mergeCell ref="AO13:AR13"/>
    <mergeCell ref="AO14:AR14"/>
    <mergeCell ref="AO15:AR15"/>
    <mergeCell ref="AO16:AR16"/>
    <mergeCell ref="AO8:AR8"/>
    <mergeCell ref="AF28:AJ28"/>
    <mergeCell ref="AO17:AR17"/>
    <mergeCell ref="AO18:AR18"/>
    <mergeCell ref="AO19:AR19"/>
    <mergeCell ref="AO20:AR20"/>
    <mergeCell ref="AO21:AR21"/>
    <mergeCell ref="AO22:AR22"/>
    <mergeCell ref="AO23:AR23"/>
    <mergeCell ref="AO24:AR24"/>
    <mergeCell ref="AO25:AR25"/>
    <mergeCell ref="AK22:AN22"/>
    <mergeCell ref="AK23:AN23"/>
  </mergeCells>
  <conditionalFormatting sqref="K244:L246 J341:K344 K248:L250 K192:L194">
    <cfRule type="colorScale" priority="58">
      <colorScale>
        <cfvo type="num" val="2"/>
        <cfvo type="num" val="2"/>
        <cfvo type="num" val="5"/>
        <color rgb="FFF8696B"/>
        <color rgb="FFFFEB84"/>
        <color rgb="FF63BE7B"/>
      </colorScale>
    </cfRule>
  </conditionalFormatting>
  <conditionalFormatting sqref="AO35:AR35 AO32 AO24:AR25 AO27:AR27 AO34 AO28:AO30">
    <cfRule type="colorScale" priority="55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15:AN15">
    <cfRule type="expression" dxfId="67" priority="23">
      <formula>OR($K$244&lt;0,$L$244&lt;0)</formula>
    </cfRule>
    <cfRule type="expression" dxfId="66" priority="52">
      <formula>OR($K$244&lt;1,$L$244&lt;1)</formula>
    </cfRule>
  </conditionalFormatting>
  <conditionalFormatting sqref="AK16:AN16">
    <cfRule type="expression" dxfId="65" priority="22">
      <formula>OR($K$245&lt;0,$L$245&lt;0)</formula>
    </cfRule>
    <cfRule type="expression" dxfId="64" priority="51">
      <formula>OR($K$245&lt;1,$L$245&lt;1)</formula>
    </cfRule>
  </conditionalFormatting>
  <conditionalFormatting sqref="AK17:AN17">
    <cfRule type="expression" dxfId="63" priority="21">
      <formula>OR($K$246&lt;0,$L$246&lt;0)</formula>
    </cfRule>
    <cfRule type="expression" dxfId="62" priority="50">
      <formula>OR($K$246&lt;1,$L$246&lt;1)</formula>
    </cfRule>
  </conditionalFormatting>
  <conditionalFormatting sqref="AK19:AN19">
    <cfRule type="expression" dxfId="61" priority="20">
      <formula>OR($K$248&lt;0,$L$248&lt;0)</formula>
    </cfRule>
    <cfRule type="expression" dxfId="60" priority="49">
      <formula>OR($K$248&lt;1,$L$248&lt;1)</formula>
    </cfRule>
  </conditionalFormatting>
  <conditionalFormatting sqref="AK20:AN20">
    <cfRule type="expression" dxfId="59" priority="19">
      <formula>OR($K$249&lt;0,$L$249&lt;0)</formula>
    </cfRule>
    <cfRule type="expression" dxfId="58" priority="48">
      <formula>OR($K$249&lt;1,$L$249&lt;1)</formula>
    </cfRule>
  </conditionalFormatting>
  <conditionalFormatting sqref="AK21:AN21">
    <cfRule type="expression" dxfId="57" priority="18">
      <formula>OR($K$250&lt;0,$L$250&lt;0)</formula>
    </cfRule>
    <cfRule type="expression" dxfId="56" priority="47">
      <formula>OR($K$250&lt;1,$L$250&lt;1)</formula>
    </cfRule>
  </conditionalFormatting>
  <conditionalFormatting sqref="AK24:AN24">
    <cfRule type="expression" dxfId="55" priority="17">
      <formula>OR($J$341&lt;0,$K$341&lt;0)</formula>
    </cfRule>
    <cfRule type="expression" dxfId="54" priority="46">
      <formula>OR($J$341&lt;1,$K$341&lt;1)</formula>
    </cfRule>
  </conditionalFormatting>
  <conditionalFormatting sqref="AK25:AN25">
    <cfRule type="expression" dxfId="53" priority="16">
      <formula>OR($J$342&lt;0,$K$342&lt;0)</formula>
    </cfRule>
    <cfRule type="expression" dxfId="52" priority="45">
      <formula>OR($J$342&lt;1,$K$342&lt;1)</formula>
    </cfRule>
  </conditionalFormatting>
  <conditionalFormatting sqref="AK27:AN27">
    <cfRule type="expression" dxfId="51" priority="15">
      <formula>OR($J$344&lt;0,$K$344&lt;0)</formula>
    </cfRule>
    <cfRule type="expression" dxfId="50" priority="44">
      <formula>OR($J$344&lt;1,$K$344&lt;1)</formula>
    </cfRule>
  </conditionalFormatting>
  <conditionalFormatting sqref="AO12:AR21">
    <cfRule type="colorScale" priority="41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O31">
    <cfRule type="colorScale" priority="40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28">
    <cfRule type="expression" dxfId="49" priority="14">
      <formula>$D$447&lt;$E$16</formula>
    </cfRule>
    <cfRule type="expression" dxfId="48" priority="59">
      <formula>$D$447&lt;($E$16*1.2)</formula>
    </cfRule>
  </conditionalFormatting>
  <conditionalFormatting sqref="AO8:AR9">
    <cfRule type="colorScale" priority="36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O10:AR11">
    <cfRule type="colorScale" priority="35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8:AN8">
    <cfRule type="containsText" dxfId="47" priority="30" operator="containsText" text="out of spec">
      <formula>NOT(ISERROR(SEARCH("out of spec",AK8)))</formula>
    </cfRule>
    <cfRule type="containsText" dxfId="46" priority="31" operator="containsText" text="With spec">
      <formula>NOT(ISERROR(SEARCH("With spec",AK8)))</formula>
    </cfRule>
  </conditionalFormatting>
  <conditionalFormatting sqref="AK9:AN9">
    <cfRule type="colorScale" priority="29">
      <colorScale>
        <cfvo type="num" val="0.7"/>
        <cfvo type="num" val="0.9"/>
        <cfvo type="num" val="1"/>
        <color rgb="FFF8696B"/>
        <color rgb="FFFFEB84"/>
        <color rgb="FF63BE7B"/>
      </colorScale>
    </cfRule>
  </conditionalFormatting>
  <conditionalFormatting sqref="AK10:AN10">
    <cfRule type="expression" priority="32" stopIfTrue="1">
      <formula>OR(ISBLANK($D$121),ISBLANK($E$121))</formula>
    </cfRule>
    <cfRule type="expression" dxfId="45" priority="33">
      <formula>OR($D$121&lt;$F$121,$E$121&lt;$G$121)</formula>
    </cfRule>
    <cfRule type="expression" dxfId="44" priority="34">
      <formula>OR($D$121&lt;$F$121+5,$E$121&lt;$G$121+2)</formula>
    </cfRule>
  </conditionalFormatting>
  <conditionalFormatting sqref="AK11:AN11">
    <cfRule type="expression" priority="26" stopIfTrue="1">
      <formula>OR(ISBLANK($D$122),ISBLANK($E$122))</formula>
    </cfRule>
    <cfRule type="expression" dxfId="43" priority="27">
      <formula>OR($D$122&lt;$F$122,$E$122&lt;$G$122)</formula>
    </cfRule>
    <cfRule type="expression" dxfId="42" priority="28">
      <formula>OR($D$122&lt;$F$122+5,$E$122&lt;$G$122+2)</formula>
    </cfRule>
  </conditionalFormatting>
  <conditionalFormatting sqref="AK32">
    <cfRule type="expression" dxfId="41" priority="12">
      <formula>MAX($E$679:$E$681)&gt;$E$14</formula>
    </cfRule>
    <cfRule type="expression" dxfId="40" priority="13">
      <formula>MAX($E$679:$E$681)&gt;(0.8*$E$14)</formula>
    </cfRule>
  </conditionalFormatting>
  <conditionalFormatting sqref="L341">
    <cfRule type="colorScale" priority="11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conditionalFormatting sqref="M192">
    <cfRule type="colorScale" priority="9">
      <colorScale>
        <cfvo type="num" val="1"/>
        <cfvo type="num" val="2.5"/>
        <cfvo type="num" val="5"/>
        <color rgb="FF92D050"/>
        <color rgb="FFFFEB84"/>
        <color rgb="FFC00000"/>
      </colorScale>
    </cfRule>
  </conditionalFormatting>
  <conditionalFormatting sqref="AO26:AR26">
    <cfRule type="colorScale" priority="8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26:AN26">
    <cfRule type="expression" dxfId="34" priority="6">
      <formula>$L$342&gt;3</formula>
    </cfRule>
    <cfRule type="expression" dxfId="35" priority="7">
      <formula>$L$423&gt;2.1</formula>
    </cfRule>
  </conditionalFormatting>
  <conditionalFormatting sqref="AK12:AN12">
    <cfRule type="expression" dxfId="39" priority="25">
      <formula>OR($K$192&lt;0,$L$192&lt;0,$M$192&gt;5)</formula>
    </cfRule>
    <cfRule type="expression" dxfId="38" priority="54">
      <formula>OR($K$192&lt;1,$L$192&lt;1,$M$192&gt;3.5)</formula>
    </cfRule>
  </conditionalFormatting>
  <conditionalFormatting sqref="AK13:AN13">
    <cfRule type="expression" dxfId="37" priority="4">
      <formula>OR($K$193&lt;0,$L$193&lt;0,$M$193&gt;3)</formula>
    </cfRule>
    <cfRule type="expression" dxfId="36" priority="5">
      <formula>OR($K$192&lt;1,$L$192&lt;1,$M$192&gt;2.1)</formula>
    </cfRule>
  </conditionalFormatting>
  <conditionalFormatting sqref="M193:M194">
    <cfRule type="colorScale" priority="3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L342:L343">
    <cfRule type="colorScale" priority="2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L344">
    <cfRule type="colorScale" priority="1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pageMargins left="0" right="0" top="0.39410000000000006" bottom="0.39410000000000006" header="0" footer="0"/>
  <pageSetup orientation="portrait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22</xdr:col>
                    <xdr:colOff>276225</xdr:colOff>
                    <xdr:row>3</xdr:row>
                    <xdr:rowOff>200025</xdr:rowOff>
                  </from>
                  <to>
                    <xdr:col>26</xdr:col>
                    <xdr:colOff>609600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47</vt:i4>
      </vt:variant>
    </vt:vector>
  </HeadingPairs>
  <TitlesOfParts>
    <vt:vector size="49" baseType="lpstr">
      <vt:lpstr>Cover</vt:lpstr>
      <vt:lpstr>DISCRETE VR Buck</vt:lpstr>
      <vt:lpstr>DUT_VIN</vt:lpstr>
      <vt:lpstr>DUT_VOUT</vt:lpstr>
      <vt:lpstr>ICCMAX</vt:lpstr>
      <vt:lpstr>ICCTDC</vt:lpstr>
      <vt:lpstr>JITTER_MAX</vt:lpstr>
      <vt:lpstr>JITTER_MEAS</vt:lpstr>
      <vt:lpstr>JITTER_MIN</vt:lpstr>
      <vt:lpstr>JITTER_TDC</vt:lpstr>
      <vt:lpstr>MB_REV</vt:lpstr>
      <vt:lpstr>NET_NAME</vt:lpstr>
      <vt:lpstr>OCP_MEAS</vt:lpstr>
      <vt:lpstr>OVERCURRENT</vt:lpstr>
      <vt:lpstr>Summary</vt:lpstr>
      <vt:lpstr>SWITCH_FREQ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VDS_LOW_MEAS</vt:lpstr>
      <vt:lpstr>VDS_LOW_MIN</vt:lpstr>
      <vt:lpstr>VDS_LOW_TDC</vt:lpstr>
      <vt:lpstr>VDS_LOW_TRAN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Company>Logic Supply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Kate Hathaway</cp:lastModifiedBy>
  <dcterms:created xsi:type="dcterms:W3CDTF">2021-03-25T14:28:55Z</dcterms:created>
  <dcterms:modified xsi:type="dcterms:W3CDTF">2025-01-08T14:44:47Z</dcterms:modified>
</cp:coreProperties>
</file>