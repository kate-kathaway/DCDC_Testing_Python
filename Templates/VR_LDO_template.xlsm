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te.hathaway\Documents\DCDC_Testing_Python\Templates\"/>
    </mc:Choice>
  </mc:AlternateContent>
  <xr:revisionPtr revIDLastSave="0" documentId="13_ncr:1_{F18F781E-230D-4DFF-971B-758132F1298B}" xr6:coauthVersionLast="36" xr6:coauthVersionMax="36" xr10:uidLastSave="{00000000-0000-0000-0000-000000000000}"/>
  <bookViews>
    <workbookView xWindow="0" yWindow="0" windowWidth="28800" windowHeight="12225" activeTab="1" xr2:uid="{00000000-000D-0000-FFFF-FFFF00000000}"/>
  </bookViews>
  <sheets>
    <sheet name="Cover" sheetId="1" r:id="rId1"/>
    <sheet name="DISCRETE VR LDO" sheetId="2" r:id="rId2"/>
  </sheets>
  <functionGroups builtInGroupCount="19"/>
  <definedNames>
    <definedName name="DUT_VIN">'DISCRETE VR LDO'!$E$9</definedName>
    <definedName name="DUT_VOUT">'DISCRETE VR LDO'!$E$6</definedName>
    <definedName name="ICCMAX">'DISCRETE VR LDO'!$E$11:$G$11</definedName>
    <definedName name="ICCTDC">'DISCRETE VR LDO'!$E$12:$G$12</definedName>
    <definedName name="MB_REV">'DISCRETE VR LDO'!$E$5</definedName>
    <definedName name="NET_NAME">'DISCRETE VR LDO'!$E$2</definedName>
    <definedName name="OCP_MEAS">'DISCRETE VR LDO'!$D$267</definedName>
    <definedName name="OVERCURRENT">'DISCRETE VR LDO'!$A$270</definedName>
    <definedName name="Summary">'DISCRETE VR LDO'!$AJ$3:$AM$31</definedName>
    <definedName name="tran_0_50_10000">'DISCRETE VR LDO'!$AG$127</definedName>
    <definedName name="tran_50_100_100">'DISCRETE VR LDO'!$A$167</definedName>
    <definedName name="tran_50_100_1000">'DISCRETE VR LDO'!$O$167</definedName>
    <definedName name="tran_50_100_10000">'DISCRETE VR LDO'!$AG$167</definedName>
    <definedName name="trans_0_50_100">'DISCRETE VR LDO'!$A$127</definedName>
    <definedName name="trans_0_50_1000">'DISCRETE VR LDO'!$O$127</definedName>
    <definedName name="TRANS_0_50_MEAS">'DISCRETE VR LDO'!$D$112:$F$114</definedName>
    <definedName name="TRANS_50_100_MEAS">'DISCRETE VR LDO'!$D$116:$F$118</definedName>
    <definedName name="TRANSIENT_CURR">'DISCRETE VR LDO'!$E$13</definedName>
    <definedName name="TRANSIENT_SLEW">'DISCRETE VR LDO'!$E$14</definedName>
    <definedName name="TURN_OFF_AC">'DISCRETE VR LDO'!$A$454</definedName>
    <definedName name="TURN_OFF_AC_Z">'DISCRETE VR LDO'!$O$454</definedName>
    <definedName name="TURN_OFF_MEAS">'DISCRETE VR LDO'!$D$406:$E$409</definedName>
    <definedName name="TURN_OFF_PB">'DISCRETE VR LDO'!$A$414</definedName>
    <definedName name="TURN_OFF_PB_Z">'DISCRETE VR LDO'!$O$414</definedName>
    <definedName name="TURN_ON_MEAS">'DISCRETE VR LDO'!$D$314:$D$317</definedName>
    <definedName name="TURN_ON_MIN">'DISCRETE VR LDO'!$A$321</definedName>
    <definedName name="TURN_ON_MIN_Z">'DISCRETE VR LDO'!$O$321</definedName>
    <definedName name="TURN_ON_TDC">'DISCRETE VR LDO'!$A$360</definedName>
    <definedName name="TURN_ON_TDC_Z">'DISCRETE VR LDO'!$O$360</definedName>
    <definedName name="VIN_MAX">'DISCRETE VR LDO'!$AG$221</definedName>
    <definedName name="VIN_MEAS">'DISCRETE VR LDO'!$D$209:$E$212</definedName>
    <definedName name="VIN_MIN">'DISCRETE VR LDO'!$A$221</definedName>
    <definedName name="VIN_TDC">'DISCRETE VR LDO'!$O$221</definedName>
    <definedName name="VIN_TRANS">'DISCRETE VR LDO'!$AV$221</definedName>
    <definedName name="VO_MAX">'DISCRETE VR LDO'!$AE$69</definedName>
    <definedName name="VO_MEAS">'DISCRETE VR LDO'!$D$60:$F$62</definedName>
    <definedName name="VO_MIN">'DISCRETE VR LDO'!$A$69</definedName>
    <definedName name="VO_TDC">'DISCRETE VR LDO'!$N$69</definedName>
  </definedNames>
  <calcPr calcId="191029"/>
  <extLst>
    <ext uri="GoogleSheetsCustomDataVersion2">
      <go:sheetsCustomData xmlns:go="http://customooxmlschemas.google.com/" r:id="rId7" roundtripDataChecksum="w9Txoy+cxKOUnO3zH4Poz8LIUWxoKSgKqPMrEnRyDsw="/>
    </ext>
  </extLst>
</workbook>
</file>

<file path=xl/calcChain.xml><?xml version="1.0" encoding="utf-8"?>
<calcChain xmlns="http://schemas.openxmlformats.org/spreadsheetml/2006/main">
  <c r="AN9" i="2" l="1"/>
  <c r="G212" i="2"/>
  <c r="I212" i="2" s="1"/>
  <c r="K212" i="2" s="1"/>
  <c r="F212" i="2"/>
  <c r="H212" i="2" s="1"/>
  <c r="J212" i="2" s="1"/>
  <c r="G211" i="2"/>
  <c r="I211" i="2" s="1"/>
  <c r="K211" i="2" s="1"/>
  <c r="F211" i="2"/>
  <c r="H211" i="2" s="1"/>
  <c r="J211" i="2" s="1"/>
  <c r="J210" i="2"/>
  <c r="I210" i="2"/>
  <c r="K210" i="2" s="1"/>
  <c r="H210" i="2"/>
  <c r="G210" i="2"/>
  <c r="F210" i="2"/>
  <c r="H209" i="2"/>
  <c r="J209" i="2" s="1"/>
  <c r="G209" i="2"/>
  <c r="I209" i="2" s="1"/>
  <c r="K209" i="2" s="1"/>
  <c r="F209" i="2"/>
  <c r="G114" i="2"/>
  <c r="I114" i="2" s="1"/>
  <c r="K114" i="2" s="1"/>
  <c r="AN27" i="2"/>
  <c r="AJ27" i="2"/>
  <c r="AN26" i="2"/>
  <c r="AJ26" i="2"/>
  <c r="AN25" i="2"/>
  <c r="AJ25" i="2"/>
  <c r="C25" i="2"/>
  <c r="AN24" i="2"/>
  <c r="AJ24" i="2"/>
  <c r="AN23" i="2"/>
  <c r="AJ23" i="2"/>
  <c r="AJ21" i="2"/>
  <c r="AJ20" i="2"/>
  <c r="AJ19" i="2"/>
  <c r="AN17" i="2"/>
  <c r="AJ17" i="2"/>
  <c r="AJ16" i="2"/>
  <c r="AJ15" i="2"/>
  <c r="AN11" i="2"/>
  <c r="AJ11" i="2"/>
  <c r="AN10" i="2"/>
  <c r="AJ10" i="2"/>
  <c r="AJ9" i="2"/>
  <c r="E8" i="2"/>
  <c r="G62" i="2" s="1"/>
  <c r="I62" i="2" s="1"/>
  <c r="K62" i="2" s="1"/>
  <c r="E7" i="2"/>
  <c r="H62" i="2" s="1"/>
  <c r="J62" i="2" s="1"/>
  <c r="L62" i="2" s="1"/>
  <c r="AJ6" i="2"/>
  <c r="AJ5" i="2"/>
  <c r="AJ4" i="2"/>
  <c r="AJ3" i="2"/>
  <c r="H114" i="2" l="1"/>
  <c r="J114" i="2" s="1"/>
  <c r="L114" i="2" s="1"/>
  <c r="AN19" i="2"/>
  <c r="G118" i="2"/>
  <c r="I118" i="2" s="1"/>
  <c r="K118" i="2" s="1"/>
  <c r="AN20" i="2"/>
  <c r="G60" i="2"/>
  <c r="I60" i="2" s="1"/>
  <c r="K60" i="2" s="1"/>
  <c r="AJ8" i="2"/>
  <c r="H112" i="2"/>
  <c r="J112" i="2" s="1"/>
  <c r="L112" i="2" s="1"/>
  <c r="AN21" i="2"/>
  <c r="G116" i="2"/>
  <c r="I116" i="2" s="1"/>
  <c r="K116" i="2" s="1"/>
  <c r="H116" i="2"/>
  <c r="J116" i="2" s="1"/>
  <c r="L116" i="2" s="1"/>
  <c r="H60" i="2"/>
  <c r="J60" i="2" s="1"/>
  <c r="L60" i="2" s="1"/>
  <c r="H118" i="2"/>
  <c r="J118" i="2" s="1"/>
  <c r="L118" i="2" s="1"/>
  <c r="G112" i="2"/>
  <c r="I112" i="2" s="1"/>
  <c r="K112" i="2" s="1"/>
  <c r="G61" i="2"/>
  <c r="I61" i="2" s="1"/>
  <c r="K61" i="2" s="1"/>
  <c r="G113" i="2"/>
  <c r="I113" i="2" s="1"/>
  <c r="K113" i="2" s="1"/>
  <c r="H113" i="2"/>
  <c r="J113" i="2" s="1"/>
  <c r="L113" i="2" s="1"/>
  <c r="G117" i="2"/>
  <c r="I117" i="2" s="1"/>
  <c r="K117" i="2" s="1"/>
  <c r="H117" i="2"/>
  <c r="J117" i="2" s="1"/>
  <c r="L117" i="2" s="1"/>
  <c r="H61" i="2"/>
  <c r="J61" i="2" s="1"/>
  <c r="L61" i="2" s="1"/>
  <c r="AN12" i="2"/>
  <c r="AN15" i="2"/>
  <c r="AN16" i="2"/>
</calcChain>
</file>

<file path=xl/sharedStrings.xml><?xml version="1.0" encoding="utf-8"?>
<sst xmlns="http://schemas.openxmlformats.org/spreadsheetml/2006/main" count="191" uniqueCount="141">
  <si>
    <t>ONLOGIC CONFIDENTIAL</t>
  </si>
  <si>
    <t>[Project xxx]
Linear regulator Testing</t>
  </si>
  <si>
    <t>Test Engineer</t>
  </si>
  <si>
    <t>Date of test</t>
  </si>
  <si>
    <t>Test location</t>
  </si>
  <si>
    <t>[Expansion card tests] Motherboard revision used</t>
  </si>
  <si>
    <t>Test instructions</t>
  </si>
  <si>
    <t>DC-DC Test instructions V1.0</t>
  </si>
  <si>
    <t>Test plan revision #</t>
  </si>
  <si>
    <t>V1.2</t>
  </si>
  <si>
    <t>Test equipment used</t>
  </si>
  <si>
    <t>Calibration Due Date</t>
  </si>
  <si>
    <t>HDO6104A</t>
  </si>
  <si>
    <t>Chroma 63004</t>
  </si>
  <si>
    <t>Summary of results</t>
  </si>
  <si>
    <t>Observed Anomalies</t>
  </si>
  <si>
    <t>Follow-up Steps</t>
  </si>
  <si>
    <t>Prepared by:</t>
  </si>
  <si>
    <t>[Name + Date]</t>
  </si>
  <si>
    <t>Reviewed by:</t>
  </si>
  <si>
    <t>SUMMARY</t>
  </si>
  <si>
    <t>Spec</t>
  </si>
  <si>
    <t>Output Net Name:</t>
  </si>
  <si>
    <t>Tests Performed</t>
  </si>
  <si>
    <t xml:space="preserve">NOTES &amp; CHANGES:
</t>
  </si>
  <si>
    <t>Make a copy of this template into the results folder from Labview</t>
  </si>
  <si>
    <t>Regulator</t>
  </si>
  <si>
    <t>Voltage vs Current</t>
  </si>
  <si>
    <t>Specification</t>
  </si>
  <si>
    <t>Motherboard Rev:</t>
  </si>
  <si>
    <t>Output Ripple Voltage</t>
  </si>
  <si>
    <t>Test Conditions</t>
  </si>
  <si>
    <t>Output Voltage:</t>
  </si>
  <si>
    <t>V</t>
  </si>
  <si>
    <t>Transient Response</t>
  </si>
  <si>
    <t>Output Maximum Limit:</t>
  </si>
  <si>
    <t>Input ripple voltage</t>
  </si>
  <si>
    <t>Test items</t>
  </si>
  <si>
    <t>Output Minimum Limit:</t>
  </si>
  <si>
    <t>Overcurrent Testing</t>
  </si>
  <si>
    <t>1. Voltage vs Current</t>
  </si>
  <si>
    <t>IN SPEC</t>
  </si>
  <si>
    <t>Input Voltage</t>
  </si>
  <si>
    <t>Turn-On Response Testing</t>
  </si>
  <si>
    <t>2. Output Ripple Voltage @ Min Load</t>
  </si>
  <si>
    <t>Controller:</t>
  </si>
  <si>
    <t>Turn-Off Response Testing</t>
  </si>
  <si>
    <t xml:space="preserve">    Output Ripple Voltage @ TDC Load</t>
  </si>
  <si>
    <t>ICC MAX:</t>
  </si>
  <si>
    <t xml:space="preserve">    Output Ripple Voltage @ Max Load</t>
  </si>
  <si>
    <t>TDC Load:</t>
  </si>
  <si>
    <t xml:space="preserve">    Output Ripple Voltage @ Min Load Transient @ input</t>
  </si>
  <si>
    <t>Transient Current:</t>
  </si>
  <si>
    <t xml:space="preserve">    Output Ripple Voltage @ TDC Load(sink)</t>
  </si>
  <si>
    <t>Transient Slew Rate:</t>
  </si>
  <si>
    <t>3.  0%~50%</t>
  </si>
  <si>
    <t>Load Point:</t>
  </si>
  <si>
    <t xml:space="preserve">    Transient Response@ Freq.= 100 HZ</t>
  </si>
  <si>
    <t>Output Voltage Measurement Point:</t>
  </si>
  <si>
    <t xml:space="preserve">    Transient response@ Freq.= 1 KHZ</t>
  </si>
  <si>
    <t>Vin cap:</t>
  </si>
  <si>
    <t xml:space="preserve">    Transient response@ Freq.= 10 KHz</t>
  </si>
  <si>
    <t>Vout cap:</t>
  </si>
  <si>
    <t xml:space="preserve">    50%~100%</t>
  </si>
  <si>
    <t>Voltage vs. Current</t>
  </si>
  <si>
    <t xml:space="preserve">Measurement Point(Input voltage):  </t>
  </si>
  <si>
    <t>4. Input ripple Voltage</t>
  </si>
  <si>
    <t>Measurement Point(Output voltage):</t>
  </si>
  <si>
    <t xml:space="preserve">    Min Load</t>
  </si>
  <si>
    <t xml:space="preserve">    TDC Load</t>
  </si>
  <si>
    <t>Output A</t>
  </si>
  <si>
    <t xml:space="preserve">    Max Load</t>
  </si>
  <si>
    <t>Cap V</t>
  </si>
  <si>
    <t xml:space="preserve">    Transient @ output</t>
  </si>
  <si>
    <t>5. Overcurrent Testing</t>
  </si>
  <si>
    <t>6.Turn-On Response Testing</t>
  </si>
  <si>
    <t>controlled repsonse, no overshoot</t>
  </si>
  <si>
    <t>7.Turn-Off Response Testing</t>
  </si>
  <si>
    <t>controlled repsonse, no undershoot</t>
  </si>
  <si>
    <t>Test Result</t>
  </si>
  <si>
    <t xml:space="preserve">Colored cells for voltage measurements have voltage margins &lt; 1%.  Check test results table for exact values </t>
  </si>
  <si>
    <t>Vout measured data</t>
  </si>
  <si>
    <t>Max</t>
  </si>
  <si>
    <t>Mean</t>
  </si>
  <si>
    <t>Min</t>
  </si>
  <si>
    <t>limit(-)</t>
  </si>
  <si>
    <t>limit (+)</t>
  </si>
  <si>
    <t>margin (-)</t>
  </si>
  <si>
    <t>margin (+)</t>
  </si>
  <si>
    <t>margin (-%)</t>
  </si>
  <si>
    <t>margin (+%)</t>
  </si>
  <si>
    <t>TDC</t>
  </si>
  <si>
    <t>Minimum Load</t>
  </si>
  <si>
    <t>TDC Load</t>
  </si>
  <si>
    <t>Max Load</t>
  </si>
  <si>
    <t>CH1: Output Voltage</t>
  </si>
  <si>
    <t>CH3: Output Current</t>
  </si>
  <si>
    <t>0-50 100Hz</t>
  </si>
  <si>
    <t>0-50 1000Hz</t>
  </si>
  <si>
    <t>0-50 10000Hz</t>
  </si>
  <si>
    <t>50-100 100Hz</t>
  </si>
  <si>
    <t>50-100 1000Hz</t>
  </si>
  <si>
    <t>50-100 10000Hz</t>
  </si>
  <si>
    <t>Source 0%~50%</t>
  </si>
  <si>
    <t>Frequency: 100Hz</t>
  </si>
  <si>
    <t>Frequency: 1 KHz</t>
  </si>
  <si>
    <t>Frequency: 10 KHz</t>
  </si>
  <si>
    <t>Source 50%~100%</t>
  </si>
  <si>
    <t>Input Ripple Analysis</t>
  </si>
  <si>
    <t>CH1:  Input Voltage</t>
  </si>
  <si>
    <t>CH3:  Output Current</t>
  </si>
  <si>
    <t>Input Voltage measurements</t>
  </si>
  <si>
    <t>Transient</t>
  </si>
  <si>
    <t>Transient load</t>
  </si>
  <si>
    <t>CH1:  Output Voltage</t>
  </si>
  <si>
    <t>Output Current</t>
  </si>
  <si>
    <t>Overcurrent measurements</t>
  </si>
  <si>
    <t>Peak (100ms) Current</t>
  </si>
  <si>
    <t>Iout</t>
  </si>
  <si>
    <t>CH2:  IC VCC</t>
  </si>
  <si>
    <t>CH3:  Enable Signal</t>
  </si>
  <si>
    <t>CH4: Output Voltage</t>
  </si>
  <si>
    <t>Turn On Measurements</t>
  </si>
  <si>
    <t>Rise Time</t>
  </si>
  <si>
    <t>Min load</t>
  </si>
  <si>
    <t>Min load Zoom</t>
  </si>
  <si>
    <t>TDC Load zoom</t>
  </si>
  <si>
    <t>Minimum Load (zoomed in)</t>
  </si>
  <si>
    <t>TDC Load (zoomed in)</t>
  </si>
  <si>
    <t>Turn Off Measurements</t>
  </si>
  <si>
    <t>Fall Time</t>
  </si>
  <si>
    <t>Output low level</t>
  </si>
  <si>
    <t>Power button</t>
  </si>
  <si>
    <t>Power button Zoom</t>
  </si>
  <si>
    <t xml:space="preserve">AC Power </t>
  </si>
  <si>
    <t>AC Power zoom</t>
  </si>
  <si>
    <t>Power Button</t>
  </si>
  <si>
    <t>Power Button (zoomed in)</t>
  </si>
  <si>
    <t>AC Power</t>
  </si>
  <si>
    <t>AC Power (zoomed in)</t>
  </si>
  <si>
    <t>BK9205B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</si>
</sst>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"/>
  </numFmts>
  <fonts count="25">
    <font>
      <sz val="11"/>
      <color theme="1"/>
      <name val="Arial"/>
      <scheme val="minor"/>
    </font>
    <font>
      <b/>
      <sz val="14"/>
      <color theme="1"/>
      <name val="Heebo"/>
    </font>
    <font>
      <sz val="11"/>
      <name val="Arial"/>
      <family val="2"/>
    </font>
    <font>
      <sz val="10"/>
      <color rgb="FF000000"/>
      <name val="Arial"/>
      <family val="2"/>
    </font>
    <font>
      <b/>
      <sz val="18"/>
      <color theme="1"/>
      <name val="Heebo"/>
    </font>
    <font>
      <u/>
      <sz val="11"/>
      <color theme="10"/>
      <name val="Arial"/>
      <family val="2"/>
    </font>
    <font>
      <sz val="14"/>
      <color theme="1"/>
      <name val="Heebo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22"/>
      <color theme="1"/>
      <name val="Arial"/>
      <family val="2"/>
    </font>
    <font>
      <sz val="14"/>
      <color rgb="FF000000"/>
      <name val="Arial"/>
      <family val="2"/>
    </font>
    <font>
      <b/>
      <sz val="14"/>
      <color rgb="FF0000FF"/>
      <name val="Arial"/>
      <family val="2"/>
    </font>
    <font>
      <b/>
      <sz val="14"/>
      <color theme="1"/>
      <name val="Arial"/>
      <family val="2"/>
    </font>
    <font>
      <b/>
      <sz val="12"/>
      <color rgb="FF0000FF"/>
      <name val="Arial"/>
      <family val="2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2"/>
      <color rgb="FF000080"/>
      <name val="Arial"/>
      <family val="2"/>
    </font>
    <font>
      <b/>
      <sz val="16"/>
      <color rgb="FF0000FF"/>
      <name val="Arial"/>
      <family val="2"/>
    </font>
    <font>
      <sz val="12"/>
      <color rgb="FFFFFFFF"/>
      <name val="Arial"/>
      <family val="2"/>
    </font>
    <font>
      <b/>
      <i/>
      <sz val="10"/>
      <color rgb="FFFFFFFF"/>
      <name val="Arial"/>
      <family val="2"/>
    </font>
    <font>
      <b/>
      <sz val="10"/>
      <color rgb="FF000000"/>
      <name val="Arial"/>
      <family val="2"/>
    </font>
    <font>
      <b/>
      <i/>
      <sz val="10"/>
      <color rgb="FF003366"/>
      <name val="Arial"/>
      <family val="2"/>
    </font>
    <font>
      <sz val="18"/>
      <color theme="1"/>
      <name val="Arial"/>
      <family val="2"/>
    </font>
    <font>
      <sz val="11"/>
      <color theme="1"/>
      <name val="Cambria"/>
      <family val="1"/>
    </font>
    <font>
      <b/>
      <sz val="12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D0D3D4"/>
        <bgColor rgb="FFD0D3D4"/>
      </patternFill>
    </fill>
    <fill>
      <patternFill patternType="solid">
        <fgColor rgb="FFFF8200"/>
        <bgColor rgb="FFFF8200"/>
      </patternFill>
    </fill>
    <fill>
      <patternFill patternType="solid">
        <fgColor rgb="FFFFD965"/>
        <bgColor rgb="FFFFD965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rgb="FFFFFF00"/>
      </patternFill>
    </fill>
    <fill>
      <patternFill patternType="solid">
        <fgColor rgb="FF99CCFF"/>
        <bgColor rgb="FF99CCFF"/>
      </patternFill>
    </fill>
    <fill>
      <patternFill patternType="solid">
        <fgColor rgb="FFCCFFFF"/>
        <bgColor rgb="FFCCFFFF"/>
      </patternFill>
    </fill>
    <fill>
      <patternFill patternType="solid">
        <fgColor theme="0"/>
        <bgColor theme="0"/>
      </patternFill>
    </fill>
    <fill>
      <patternFill patternType="solid">
        <fgColor rgb="FFDDDDDD"/>
        <bgColor rgb="FFDDDDDD"/>
      </patternFill>
    </fill>
    <fill>
      <patternFill patternType="solid">
        <fgColor rgb="FFFFCC00"/>
        <bgColor rgb="FFFFCC00"/>
      </patternFill>
    </fill>
    <fill>
      <patternFill patternType="solid">
        <fgColor rgb="FFE2EFD9"/>
        <bgColor rgb="FFE2EFD9"/>
      </patternFill>
    </fill>
    <fill>
      <patternFill patternType="solid">
        <fgColor rgb="FFFF99FF"/>
        <bgColor rgb="FFFF99FF"/>
      </patternFill>
    </fill>
    <fill>
      <patternFill patternType="solid">
        <fgColor rgb="FF00FFFF"/>
        <bgColor rgb="FF00FFFF"/>
      </patternFill>
    </fill>
    <fill>
      <patternFill patternType="solid">
        <fgColor rgb="FFDADADA"/>
        <bgColor rgb="FFDADADA"/>
      </patternFill>
    </fill>
    <fill>
      <patternFill patternType="solid">
        <fgColor rgb="FF00FF00"/>
        <bgColor rgb="FF00FF00"/>
      </patternFill>
    </fill>
    <fill>
      <patternFill patternType="solid">
        <fgColor rgb="FFFF3399"/>
        <bgColor rgb="FFFF3399"/>
      </patternFill>
    </fill>
  </fills>
  <borders count="6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137">
    <xf numFmtId="0" fontId="0" fillId="0" borderId="0" xfId="0" applyFont="1" applyAlignment="1"/>
    <xf numFmtId="0" fontId="3" fillId="0" borderId="0" xfId="0" applyFont="1"/>
    <xf numFmtId="0" fontId="7" fillId="0" borderId="0" xfId="0" applyFont="1"/>
    <xf numFmtId="0" fontId="8" fillId="0" borderId="0" xfId="0" applyFont="1" applyAlignment="1">
      <alignment vertical="center"/>
    </xf>
    <xf numFmtId="0" fontId="16" fillId="0" borderId="50" xfId="0" applyFont="1" applyBorder="1" applyAlignment="1">
      <alignment vertical="center"/>
    </xf>
    <xf numFmtId="0" fontId="8" fillId="0" borderId="54" xfId="0" applyFont="1" applyBorder="1" applyAlignment="1">
      <alignment vertical="center"/>
    </xf>
    <xf numFmtId="0" fontId="8" fillId="0" borderId="54" xfId="0" applyFont="1" applyBorder="1" applyAlignment="1">
      <alignment horizontal="left" vertical="center"/>
    </xf>
    <xf numFmtId="0" fontId="16" fillId="0" borderId="0" xfId="0" applyFont="1" applyAlignment="1">
      <alignment vertical="center"/>
    </xf>
    <xf numFmtId="0" fontId="8" fillId="9" borderId="55" xfId="0" applyFont="1" applyFill="1" applyBorder="1" applyAlignment="1">
      <alignment horizontal="left" vertical="top"/>
    </xf>
    <xf numFmtId="0" fontId="8" fillId="9" borderId="56" xfId="0" applyFont="1" applyFill="1" applyBorder="1" applyAlignment="1">
      <alignment horizontal="left" vertical="top"/>
    </xf>
    <xf numFmtId="0" fontId="8" fillId="9" borderId="57" xfId="0" applyFont="1" applyFill="1" applyBorder="1" applyAlignment="1">
      <alignment horizontal="left" vertical="top"/>
    </xf>
    <xf numFmtId="0" fontId="18" fillId="0" borderId="0" xfId="0" applyFont="1" applyAlignment="1">
      <alignment vertical="center"/>
    </xf>
    <xf numFmtId="165" fontId="19" fillId="0" borderId="0" xfId="0" applyNumberFormat="1" applyFont="1" applyAlignment="1">
      <alignment horizontal="center"/>
    </xf>
    <xf numFmtId="0" fontId="20" fillId="11" borderId="59" xfId="0" applyFont="1" applyFill="1" applyBorder="1" applyAlignment="1">
      <alignment horizontal="center" vertical="center" wrapText="1"/>
    </xf>
    <xf numFmtId="0" fontId="20" fillId="11" borderId="61" xfId="0" applyFont="1" applyFill="1" applyBorder="1" applyAlignment="1">
      <alignment horizontal="center" vertical="center" wrapText="1"/>
    </xf>
    <xf numFmtId="2" fontId="21" fillId="0" borderId="50" xfId="0" applyNumberFormat="1" applyFont="1" applyBorder="1" applyAlignment="1">
      <alignment horizontal="center"/>
    </xf>
    <xf numFmtId="164" fontId="21" fillId="0" borderId="50" xfId="0" applyNumberFormat="1" applyFont="1" applyBorder="1" applyAlignment="1">
      <alignment horizontal="center"/>
    </xf>
    <xf numFmtId="165" fontId="21" fillId="0" borderId="0" xfId="0" applyNumberFormat="1" applyFont="1" applyAlignment="1">
      <alignment horizontal="center" vertical="center"/>
    </xf>
    <xf numFmtId="165" fontId="21" fillId="0" borderId="0" xfId="0" applyNumberFormat="1" applyFont="1" applyAlignment="1">
      <alignment horizontal="center"/>
    </xf>
    <xf numFmtId="0" fontId="8" fillId="0" borderId="0" xfId="0" applyFont="1" applyAlignment="1">
      <alignment horizontal="left" vertical="center"/>
    </xf>
    <xf numFmtId="0" fontId="8" fillId="0" borderId="50" xfId="0" applyFont="1" applyBorder="1" applyAlignment="1">
      <alignment vertical="center"/>
    </xf>
    <xf numFmtId="0" fontId="8" fillId="0" borderId="50" xfId="0" applyFont="1" applyBorder="1" applyAlignment="1">
      <alignment horizontal="left" vertical="center"/>
    </xf>
    <xf numFmtId="0" fontId="7" fillId="12" borderId="50" xfId="0" applyFont="1" applyFill="1" applyBorder="1"/>
    <xf numFmtId="0" fontId="8" fillId="13" borderId="50" xfId="0" applyFont="1" applyFill="1" applyBorder="1" applyAlignment="1">
      <alignment horizontal="left" vertical="center"/>
    </xf>
    <xf numFmtId="0" fontId="8" fillId="13" borderId="50" xfId="0" applyFont="1" applyFill="1" applyBorder="1" applyAlignment="1">
      <alignment vertical="center"/>
    </xf>
    <xf numFmtId="2" fontId="8" fillId="0" borderId="50" xfId="0" applyNumberFormat="1" applyFont="1" applyBorder="1" applyAlignment="1">
      <alignment vertical="center"/>
    </xf>
    <xf numFmtId="0" fontId="23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15" borderId="65" xfId="0" applyFont="1" applyFill="1" applyBorder="1" applyAlignment="1">
      <alignment horizontal="left" vertical="center"/>
    </xf>
    <xf numFmtId="0" fontId="8" fillId="15" borderId="65" xfId="0" applyFont="1" applyFill="1" applyBorder="1" applyAlignment="1">
      <alignment vertical="center"/>
    </xf>
    <xf numFmtId="0" fontId="7" fillId="0" borderId="50" xfId="0" applyFont="1" applyBorder="1" applyAlignment="1">
      <alignment horizontal="center"/>
    </xf>
    <xf numFmtId="0" fontId="17" fillId="0" borderId="0" xfId="0" applyFont="1" applyAlignment="1">
      <alignment horizontal="left" vertical="center"/>
    </xf>
    <xf numFmtId="0" fontId="7" fillId="12" borderId="66" xfId="0" applyFont="1" applyFill="1" applyBorder="1"/>
    <xf numFmtId="0" fontId="7" fillId="12" borderId="65" xfId="0" applyFont="1" applyFill="1" applyBorder="1"/>
    <xf numFmtId="0" fontId="7" fillId="0" borderId="50" xfId="0" applyFont="1" applyBorder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7" fillId="0" borderId="0" xfId="0" applyFont="1" applyAlignment="1">
      <alignment wrapText="1"/>
    </xf>
    <xf numFmtId="0" fontId="1" fillId="0" borderId="22" xfId="0" applyFont="1" applyBorder="1" applyAlignment="1">
      <alignment horizontal="left"/>
    </xf>
    <xf numFmtId="0" fontId="2" fillId="0" borderId="23" xfId="0" applyFont="1" applyBorder="1"/>
    <xf numFmtId="0" fontId="2" fillId="0" borderId="24" xfId="0" applyFont="1" applyBorder="1"/>
    <xf numFmtId="0" fontId="1" fillId="0" borderId="27" xfId="0" applyFont="1" applyBorder="1" applyAlignment="1">
      <alignment horizontal="left" wrapText="1"/>
    </xf>
    <xf numFmtId="0" fontId="2" fillId="0" borderId="28" xfId="0" applyFont="1" applyBorder="1"/>
    <xf numFmtId="0" fontId="2" fillId="0" borderId="29" xfId="0" applyFont="1" applyBorder="1"/>
    <xf numFmtId="0" fontId="1" fillId="0" borderId="32" xfId="0" applyFont="1" applyBorder="1" applyAlignment="1">
      <alignment horizontal="left"/>
    </xf>
    <xf numFmtId="0" fontId="0" fillId="0" borderId="0" xfId="0" applyFont="1" applyAlignment="1"/>
    <xf numFmtId="0" fontId="1" fillId="0" borderId="17" xfId="0" applyFont="1" applyBorder="1" applyAlignment="1">
      <alignment horizontal="left"/>
    </xf>
    <xf numFmtId="0" fontId="2" fillId="0" borderId="18" xfId="0" applyFont="1" applyBorder="1"/>
    <xf numFmtId="0" fontId="2" fillId="0" borderId="19" xfId="0" applyFont="1" applyBorder="1"/>
    <xf numFmtId="0" fontId="1" fillId="0" borderId="27" xfId="0" applyFont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4" fillId="3" borderId="9" xfId="0" applyFont="1" applyFill="1" applyBorder="1" applyAlignment="1">
      <alignment horizontal="center" vertical="center" wrapText="1"/>
    </xf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1" fillId="0" borderId="20" xfId="0" applyFont="1" applyBorder="1" applyAlignment="1">
      <alignment horizontal="left"/>
    </xf>
    <xf numFmtId="0" fontId="2" fillId="0" borderId="21" xfId="0" applyFont="1" applyBorder="1"/>
    <xf numFmtId="14" fontId="1" fillId="0" borderId="25" xfId="0" applyNumberFormat="1" applyFont="1" applyBorder="1" applyAlignment="1">
      <alignment horizontal="left"/>
    </xf>
    <xf numFmtId="0" fontId="2" fillId="0" borderId="26" xfId="0" applyFont="1" applyBorder="1"/>
    <xf numFmtId="0" fontId="1" fillId="0" borderId="25" xfId="0" applyFont="1" applyBorder="1" applyAlignment="1">
      <alignment horizontal="left"/>
    </xf>
    <xf numFmtId="0" fontId="1" fillId="0" borderId="30" xfId="0" applyFont="1" applyBorder="1" applyAlignment="1">
      <alignment horizontal="left"/>
    </xf>
    <xf numFmtId="0" fontId="2" fillId="0" borderId="31" xfId="0" applyFont="1" applyBorder="1"/>
    <xf numFmtId="0" fontId="1" fillId="0" borderId="0" xfId="0" applyFont="1" applyAlignment="1">
      <alignment horizontal="left"/>
    </xf>
    <xf numFmtId="0" fontId="2" fillId="0" borderId="33" xfId="0" applyFont="1" applyBorder="1"/>
    <xf numFmtId="0" fontId="5" fillId="0" borderId="20" xfId="0" applyFont="1" applyBorder="1" applyAlignment="1">
      <alignment horizontal="left"/>
    </xf>
    <xf numFmtId="0" fontId="2" fillId="0" borderId="32" xfId="0" applyFont="1" applyBorder="1"/>
    <xf numFmtId="0" fontId="1" fillId="0" borderId="34" xfId="0" applyFont="1" applyBorder="1" applyAlignment="1">
      <alignment horizontal="left"/>
    </xf>
    <xf numFmtId="0" fontId="2" fillId="0" borderId="35" xfId="0" applyFont="1" applyBorder="1"/>
    <xf numFmtId="0" fontId="2" fillId="0" borderId="36" xfId="0" applyFont="1" applyBorder="1"/>
    <xf numFmtId="0" fontId="1" fillId="0" borderId="37" xfId="0" applyFont="1" applyBorder="1" applyAlignment="1">
      <alignment horizontal="left"/>
    </xf>
    <xf numFmtId="0" fontId="2" fillId="0" borderId="38" xfId="0" applyFont="1" applyBorder="1"/>
    <xf numFmtId="0" fontId="6" fillId="0" borderId="22" xfId="0" applyFont="1" applyBorder="1" applyAlignment="1">
      <alignment horizontal="center"/>
    </xf>
    <xf numFmtId="0" fontId="6" fillId="0" borderId="39" xfId="0" applyFont="1" applyBorder="1" applyAlignment="1">
      <alignment horizontal="center"/>
    </xf>
    <xf numFmtId="14" fontId="1" fillId="0" borderId="14" xfId="0" applyNumberFormat="1" applyFont="1" applyBorder="1" applyAlignment="1">
      <alignment horizontal="left"/>
    </xf>
    <xf numFmtId="0" fontId="2" fillId="0" borderId="40" xfId="0" applyFont="1" applyBorder="1"/>
    <xf numFmtId="0" fontId="7" fillId="0" borderId="25" xfId="0" applyFont="1" applyBorder="1"/>
    <xf numFmtId="0" fontId="13" fillId="0" borderId="0" xfId="0" applyFont="1" applyAlignment="1">
      <alignment horizontal="left" vertical="center"/>
    </xf>
    <xf numFmtId="0" fontId="8" fillId="6" borderId="43" xfId="0" applyFont="1" applyFill="1" applyBorder="1" applyAlignment="1">
      <alignment horizontal="center" vertical="center"/>
    </xf>
    <xf numFmtId="0" fontId="2" fillId="0" borderId="44" xfId="0" applyFont="1" applyBorder="1"/>
    <xf numFmtId="0" fontId="2" fillId="0" borderId="45" xfId="0" applyFont="1" applyBorder="1"/>
    <xf numFmtId="0" fontId="8" fillId="0" borderId="0" xfId="0" applyFont="1" applyAlignment="1">
      <alignment horizontal="center" vertical="center"/>
    </xf>
    <xf numFmtId="0" fontId="24" fillId="16" borderId="43" xfId="0" applyFont="1" applyFill="1" applyBorder="1" applyAlignment="1">
      <alignment horizontal="center" vertical="center"/>
    </xf>
    <xf numFmtId="0" fontId="17" fillId="10" borderId="51" xfId="0" applyFont="1" applyFill="1" applyBorder="1" applyAlignment="1">
      <alignment horizontal="left" vertical="center"/>
    </xf>
    <xf numFmtId="0" fontId="2" fillId="0" borderId="52" xfId="0" applyFont="1" applyBorder="1"/>
    <xf numFmtId="0" fontId="2" fillId="0" borderId="53" xfId="0" applyFont="1" applyBorder="1"/>
    <xf numFmtId="0" fontId="8" fillId="0" borderId="25" xfId="0" applyFont="1" applyBorder="1" applyAlignment="1">
      <alignment horizontal="center" vertical="center"/>
    </xf>
    <xf numFmtId="0" fontId="8" fillId="6" borderId="43" xfId="0" applyFont="1" applyFill="1" applyBorder="1" applyAlignment="1">
      <alignment vertical="center"/>
    </xf>
    <xf numFmtId="0" fontId="8" fillId="14" borderId="43" xfId="0" applyFont="1" applyFill="1" applyBorder="1" applyAlignment="1">
      <alignment vertical="center"/>
    </xf>
    <xf numFmtId="0" fontId="8" fillId="0" borderId="12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4" fillId="6" borderId="43" xfId="0" applyFont="1" applyFill="1" applyBorder="1" applyAlignment="1">
      <alignment horizontal="center" vertical="center"/>
    </xf>
    <xf numFmtId="0" fontId="24" fillId="17" borderId="43" xfId="0" applyFont="1" applyFill="1" applyBorder="1" applyAlignment="1">
      <alignment horizontal="center" vertical="center"/>
    </xf>
    <xf numFmtId="0" fontId="24" fillId="14" borderId="43" xfId="0" applyFont="1" applyFill="1" applyBorder="1" applyAlignment="1">
      <alignment horizontal="center" vertical="center"/>
    </xf>
    <xf numFmtId="0" fontId="10" fillId="0" borderId="25" xfId="0" applyFont="1" applyBorder="1" applyAlignment="1">
      <alignment horizontal="left" vertical="center"/>
    </xf>
    <xf numFmtId="0" fontId="15" fillId="7" borderId="25" xfId="0" applyFont="1" applyFill="1" applyBorder="1" applyAlignment="1">
      <alignment horizontal="left" vertical="center"/>
    </xf>
    <xf numFmtId="0" fontId="10" fillId="8" borderId="25" xfId="0" applyFont="1" applyFill="1" applyBorder="1" applyAlignment="1">
      <alignment horizontal="left" vertical="center"/>
    </xf>
    <xf numFmtId="0" fontId="10" fillId="7" borderId="25" xfId="0" applyFont="1" applyFill="1" applyBorder="1" applyAlignment="1">
      <alignment horizontal="left" vertical="center"/>
    </xf>
    <xf numFmtId="0" fontId="20" fillId="11" borderId="58" xfId="0" applyFont="1" applyFill="1" applyBorder="1" applyAlignment="1">
      <alignment horizontal="center" vertical="center" wrapText="1"/>
    </xf>
    <xf numFmtId="0" fontId="2" fillId="0" borderId="60" xfId="0" applyFont="1" applyBorder="1"/>
    <xf numFmtId="0" fontId="7" fillId="0" borderId="0" xfId="0" applyFont="1"/>
    <xf numFmtId="0" fontId="12" fillId="5" borderId="43" xfId="0" applyFont="1" applyFill="1" applyBorder="1" applyAlignment="1">
      <alignment horizontal="center" vertical="center"/>
    </xf>
    <xf numFmtId="0" fontId="8" fillId="6" borderId="46" xfId="0" applyFont="1" applyFill="1" applyBorder="1" applyAlignment="1">
      <alignment horizontal="center"/>
    </xf>
    <xf numFmtId="0" fontId="2" fillId="0" borderId="47" xfId="0" applyFont="1" applyBorder="1"/>
    <xf numFmtId="0" fontId="2" fillId="0" borderId="48" xfId="0" applyFont="1" applyBorder="1"/>
    <xf numFmtId="0" fontId="7" fillId="0" borderId="25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9" fillId="4" borderId="9" xfId="0" applyFont="1" applyFill="1" applyBorder="1" applyAlignment="1">
      <alignment horizontal="center"/>
    </xf>
    <xf numFmtId="0" fontId="2" fillId="0" borderId="41" xfId="0" applyFont="1" applyBorder="1"/>
    <xf numFmtId="0" fontId="2" fillId="0" borderId="42" xfId="0" applyFont="1" applyBorder="1"/>
    <xf numFmtId="0" fontId="16" fillId="0" borderId="25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8" fillId="9" borderId="25" xfId="0" applyFont="1" applyFill="1" applyBorder="1" applyAlignment="1">
      <alignment horizontal="left" vertical="top"/>
    </xf>
    <xf numFmtId="0" fontId="8" fillId="6" borderId="25" xfId="0" applyFont="1" applyFill="1" applyBorder="1" applyAlignment="1">
      <alignment horizontal="center"/>
    </xf>
    <xf numFmtId="0" fontId="2" fillId="0" borderId="49" xfId="0" applyFont="1" applyBorder="1"/>
    <xf numFmtId="0" fontId="14" fillId="6" borderId="9" xfId="0" applyFont="1" applyFill="1" applyBorder="1" applyAlignment="1">
      <alignment horizontal="center" vertical="center"/>
    </xf>
    <xf numFmtId="0" fontId="7" fillId="6" borderId="25" xfId="0" applyFont="1" applyFill="1" applyBorder="1"/>
    <xf numFmtId="0" fontId="11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left" vertical="top" wrapText="1"/>
    </xf>
    <xf numFmtId="0" fontId="13" fillId="0" borderId="0" xfId="0" applyFont="1" applyAlignment="1">
      <alignment horizontal="center" vertical="center"/>
    </xf>
    <xf numFmtId="0" fontId="8" fillId="10" borderId="62" xfId="0" applyFont="1" applyFill="1" applyBorder="1" applyAlignment="1">
      <alignment horizontal="center" vertical="top"/>
    </xf>
    <xf numFmtId="0" fontId="2" fillId="0" borderId="63" xfId="0" applyFont="1" applyBorder="1"/>
    <xf numFmtId="0" fontId="2" fillId="0" borderId="64" xfId="0" applyFont="1" applyBorder="1"/>
    <xf numFmtId="0" fontId="22" fillId="0" borderId="9" xfId="0" applyFont="1" applyBorder="1" applyAlignment="1">
      <alignment horizontal="center" vertical="center" wrapText="1"/>
    </xf>
    <xf numFmtId="0" fontId="8" fillId="9" borderId="25" xfId="0" applyFont="1" applyFill="1" applyBorder="1" applyAlignment="1">
      <alignment horizontal="center" vertical="top"/>
    </xf>
    <xf numFmtId="164" fontId="7" fillId="0" borderId="25" xfId="0" applyNumberFormat="1" applyFont="1" applyBorder="1" applyAlignment="1">
      <alignment horizontal="center"/>
    </xf>
    <xf numFmtId="2" fontId="7" fillId="0" borderId="25" xfId="0" applyNumberFormat="1" applyFont="1" applyBorder="1"/>
    <xf numFmtId="0" fontId="8" fillId="0" borderId="25" xfId="0" applyFont="1" applyBorder="1" applyAlignment="1">
      <alignment horizontal="center" vertical="center" wrapText="1"/>
    </xf>
  </cellXfs>
  <cellStyles count="1">
    <cellStyle name="Normal" xfId="0" builtinId="0"/>
  </cellStyles>
  <dxfs count="24">
    <dxf>
      <fill>
        <patternFill patternType="solid">
          <fgColor rgb="FFF4B083"/>
          <bgColor rgb="FFF4B083"/>
        </patternFill>
      </fill>
    </dxf>
    <dxf>
      <fill>
        <patternFill patternType="solid">
          <fgColor rgb="FFF4B083"/>
          <bgColor rgb="FFF4B083"/>
        </patternFill>
      </fill>
    </dxf>
    <dxf>
      <fill>
        <patternFill patternType="solid">
          <fgColor rgb="FFF4B083"/>
          <bgColor rgb="FFF4B083"/>
        </patternFill>
      </fill>
    </dxf>
    <dxf>
      <fill>
        <patternFill patternType="solid">
          <fgColor rgb="FFF4B083"/>
          <bgColor rgb="FFF4B083"/>
        </patternFill>
      </fill>
    </dxf>
    <dxf>
      <fill>
        <patternFill patternType="solid">
          <fgColor rgb="FFF4B083"/>
          <bgColor rgb="FFF4B083"/>
        </patternFill>
      </fill>
    </dxf>
    <dxf>
      <fill>
        <patternFill patternType="solid">
          <fgColor rgb="FFF4B083"/>
          <bgColor rgb="FFF4B083"/>
        </patternFill>
      </fill>
    </dxf>
    <dxf>
      <fill>
        <patternFill patternType="solid">
          <fgColor rgb="FFF4B083"/>
          <bgColor rgb="FFF4B083"/>
        </patternFill>
      </fill>
    </dxf>
    <dxf>
      <fill>
        <patternFill patternType="solid">
          <fgColor rgb="FFF4B083"/>
          <bgColor rgb="FFF4B083"/>
        </patternFill>
      </fill>
    </dxf>
    <dxf>
      <fill>
        <patternFill patternType="solid">
          <fgColor rgb="FFF4B083"/>
          <bgColor rgb="FFF4B083"/>
        </patternFill>
      </fill>
    </dxf>
    <dxf>
      <fill>
        <patternFill patternType="solid">
          <fgColor rgb="FFF4B083"/>
          <bgColor rgb="FFF4B083"/>
        </patternFill>
      </fill>
    </dxf>
    <dxf>
      <fill>
        <patternFill patternType="solid">
          <fgColor rgb="FFF4B083"/>
          <bgColor rgb="FFF4B083"/>
        </patternFill>
      </fill>
    </dxf>
    <dxf>
      <fill>
        <patternFill patternType="solid">
          <fgColor rgb="FFF4B083"/>
          <bgColor rgb="FFF4B083"/>
        </patternFill>
      </fill>
    </dxf>
    <dxf>
      <fill>
        <patternFill patternType="solid">
          <fgColor rgb="FFF4B083"/>
          <bgColor rgb="FFF4B083"/>
        </patternFill>
      </fill>
    </dxf>
    <dxf>
      <fill>
        <patternFill patternType="solid">
          <fgColor rgb="FFF4B083"/>
          <bgColor rgb="FFF4B083"/>
        </patternFill>
      </fill>
    </dxf>
    <dxf>
      <fill>
        <patternFill patternType="solid">
          <fgColor rgb="FFF4B083"/>
          <bgColor rgb="FFF4B083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4C7C3"/>
          <bgColor rgb="FFF4C7C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390525</xdr:colOff>
      <xdr:row>0</xdr:row>
      <xdr:rowOff>104775</xdr:rowOff>
    </xdr:from>
    <xdr:ext cx="2124075" cy="5429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outlinePr summaryBelow="0" summaryRight="0"/>
  </sheetPr>
  <dimension ref="A1:Z1000"/>
  <sheetViews>
    <sheetView workbookViewId="0">
      <selection activeCell="A22" sqref="A22:D22"/>
    </sheetView>
  </sheetViews>
  <sheetFormatPr defaultColWidth="12.625" defaultRowHeight="15" customHeight="1"/>
  <cols>
    <col min="1" max="1" width="17.375" customWidth="1"/>
    <col min="2" max="2" width="9.25" customWidth="1"/>
    <col min="3" max="4" width="5.875" customWidth="1"/>
    <col min="5" max="5" width="17.125" customWidth="1"/>
    <col min="6" max="6" width="15.75" customWidth="1"/>
    <col min="7" max="7" width="16.375" customWidth="1"/>
    <col min="8" max="8" width="19.625" customWidth="1"/>
  </cols>
  <sheetData>
    <row r="1" spans="1:26" ht="15.75" customHeight="1">
      <c r="A1" s="49" t="s">
        <v>0</v>
      </c>
      <c r="B1" s="50"/>
      <c r="C1" s="50"/>
      <c r="D1" s="50"/>
      <c r="E1" s="50"/>
      <c r="F1" s="50"/>
      <c r="G1" s="50"/>
      <c r="H1" s="5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>
      <c r="A2" s="52"/>
      <c r="B2" s="44"/>
      <c r="C2" s="44"/>
      <c r="D2" s="44"/>
      <c r="E2" s="44"/>
      <c r="F2" s="44"/>
      <c r="G2" s="44"/>
      <c r="H2" s="53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5.75" customHeight="1">
      <c r="A3" s="52"/>
      <c r="B3" s="44"/>
      <c r="C3" s="44"/>
      <c r="D3" s="44"/>
      <c r="E3" s="44"/>
      <c r="F3" s="44"/>
      <c r="G3" s="44"/>
      <c r="H3" s="5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5.75" customHeight="1">
      <c r="A4" s="54"/>
      <c r="B4" s="55"/>
      <c r="C4" s="55"/>
      <c r="D4" s="55"/>
      <c r="E4" s="55"/>
      <c r="F4" s="55"/>
      <c r="G4" s="55"/>
      <c r="H4" s="56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.75" customHeight="1">
      <c r="A5" s="57" t="s">
        <v>1</v>
      </c>
      <c r="B5" s="58"/>
      <c r="C5" s="58"/>
      <c r="D5" s="58"/>
      <c r="E5" s="58"/>
      <c r="F5" s="58"/>
      <c r="G5" s="58"/>
      <c r="H5" s="59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.75" customHeight="1">
      <c r="A6" s="60"/>
      <c r="B6" s="44"/>
      <c r="C6" s="44"/>
      <c r="D6" s="44"/>
      <c r="E6" s="44"/>
      <c r="F6" s="44"/>
      <c r="G6" s="44"/>
      <c r="H6" s="6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.75" customHeight="1">
      <c r="A7" s="60"/>
      <c r="B7" s="44"/>
      <c r="C7" s="44"/>
      <c r="D7" s="44"/>
      <c r="E7" s="44"/>
      <c r="F7" s="44"/>
      <c r="G7" s="44"/>
      <c r="H7" s="6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5.75" customHeight="1">
      <c r="A8" s="60"/>
      <c r="B8" s="44"/>
      <c r="C8" s="44"/>
      <c r="D8" s="44"/>
      <c r="E8" s="44"/>
      <c r="F8" s="44"/>
      <c r="G8" s="44"/>
      <c r="H8" s="6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.75" customHeight="1">
      <c r="A9" s="62"/>
      <c r="B9" s="63"/>
      <c r="C9" s="63"/>
      <c r="D9" s="63"/>
      <c r="E9" s="63"/>
      <c r="F9" s="63"/>
      <c r="G9" s="63"/>
      <c r="H9" s="64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5.75" customHeight="1">
      <c r="A10" s="45" t="s">
        <v>2</v>
      </c>
      <c r="B10" s="46"/>
      <c r="C10" s="46"/>
      <c r="D10" s="47"/>
      <c r="E10" s="65"/>
      <c r="F10" s="46"/>
      <c r="G10" s="46"/>
      <c r="H10" s="66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.75" customHeight="1">
      <c r="A11" s="37" t="s">
        <v>3</v>
      </c>
      <c r="B11" s="38"/>
      <c r="C11" s="38"/>
      <c r="D11" s="39"/>
      <c r="E11" s="67"/>
      <c r="F11" s="38"/>
      <c r="G11" s="38"/>
      <c r="H11" s="68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.75" customHeight="1">
      <c r="A12" s="37" t="s">
        <v>4</v>
      </c>
      <c r="B12" s="38"/>
      <c r="C12" s="38"/>
      <c r="D12" s="39"/>
      <c r="E12" s="69"/>
      <c r="F12" s="38"/>
      <c r="G12" s="38"/>
      <c r="H12" s="68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.75" customHeight="1">
      <c r="A13" s="40" t="s">
        <v>5</v>
      </c>
      <c r="B13" s="41"/>
      <c r="C13" s="41"/>
      <c r="D13" s="42"/>
      <c r="E13" s="70"/>
      <c r="F13" s="41"/>
      <c r="G13" s="41"/>
      <c r="H13" s="7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5.75" customHeight="1">
      <c r="A14" s="43"/>
      <c r="B14" s="44"/>
      <c r="C14" s="44"/>
      <c r="D14" s="44"/>
      <c r="E14" s="72"/>
      <c r="F14" s="44"/>
      <c r="G14" s="44"/>
      <c r="H14" s="73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.75" customHeight="1">
      <c r="A15" s="45" t="s">
        <v>6</v>
      </c>
      <c r="B15" s="46"/>
      <c r="C15" s="46"/>
      <c r="D15" s="47"/>
      <c r="E15" s="74" t="s">
        <v>7</v>
      </c>
      <c r="F15" s="46"/>
      <c r="G15" s="46"/>
      <c r="H15" s="66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.75" customHeight="1">
      <c r="A16" s="48" t="s">
        <v>8</v>
      </c>
      <c r="B16" s="41"/>
      <c r="C16" s="41"/>
      <c r="D16" s="42"/>
      <c r="E16" s="70" t="s">
        <v>9</v>
      </c>
      <c r="F16" s="41"/>
      <c r="G16" s="41"/>
      <c r="H16" s="7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5.75" customHeight="1">
      <c r="A17" s="43"/>
      <c r="B17" s="44"/>
      <c r="C17" s="44"/>
      <c r="D17" s="44"/>
      <c r="E17" s="44"/>
      <c r="F17" s="44"/>
      <c r="G17" s="44"/>
      <c r="H17" s="73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customHeight="1">
      <c r="A18" s="75"/>
      <c r="B18" s="44"/>
      <c r="C18" s="44"/>
      <c r="D18" s="44"/>
      <c r="E18" s="44"/>
      <c r="F18" s="44"/>
      <c r="G18" s="44"/>
      <c r="H18" s="73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customHeight="1">
      <c r="A19" s="76" t="s">
        <v>10</v>
      </c>
      <c r="B19" s="77"/>
      <c r="C19" s="77"/>
      <c r="D19" s="78"/>
      <c r="E19" s="79" t="s">
        <v>11</v>
      </c>
      <c r="F19" s="77"/>
      <c r="G19" s="77"/>
      <c r="H19" s="80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customHeight="1">
      <c r="A20" s="82" t="s">
        <v>12</v>
      </c>
      <c r="B20" s="63"/>
      <c r="C20" s="63"/>
      <c r="D20" s="64"/>
      <c r="E20" s="83"/>
      <c r="F20" s="63"/>
      <c r="G20" s="63"/>
      <c r="H20" s="84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81" t="s">
        <v>140</v>
      </c>
      <c r="B21" s="38"/>
      <c r="C21" s="38"/>
      <c r="D21" s="39"/>
      <c r="E21" s="83"/>
      <c r="F21" s="63"/>
      <c r="G21" s="63"/>
      <c r="H21" s="84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81" t="s">
        <v>13</v>
      </c>
      <c r="B22" s="38"/>
      <c r="C22" s="38"/>
      <c r="D22" s="39"/>
      <c r="E22" s="83"/>
      <c r="F22" s="63"/>
      <c r="G22" s="63"/>
      <c r="H22" s="84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>
      <c r="A23" s="81"/>
      <c r="B23" s="38"/>
      <c r="C23" s="38"/>
      <c r="D23" s="39"/>
      <c r="E23" s="83"/>
      <c r="F23" s="63"/>
      <c r="G23" s="63"/>
      <c r="H23" s="84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>
      <c r="A24" s="81"/>
      <c r="B24" s="38"/>
      <c r="C24" s="38"/>
      <c r="D24" s="39"/>
      <c r="E24" s="83"/>
      <c r="F24" s="63"/>
      <c r="G24" s="63"/>
      <c r="H24" s="84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>
      <c r="A25" s="37"/>
      <c r="B25" s="38"/>
      <c r="C25" s="38"/>
      <c r="D25" s="39"/>
      <c r="E25" s="83"/>
      <c r="F25" s="63"/>
      <c r="G25" s="63"/>
      <c r="H25" s="84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>
      <c r="A26" s="37"/>
      <c r="B26" s="38"/>
      <c r="C26" s="38"/>
      <c r="D26" s="39"/>
      <c r="E26" s="83"/>
      <c r="F26" s="63"/>
      <c r="G26" s="63"/>
      <c r="H26" s="84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>
      <c r="A27" s="48"/>
      <c r="B27" s="41"/>
      <c r="C27" s="41"/>
      <c r="D27" s="42"/>
      <c r="E27" s="83"/>
      <c r="F27" s="63"/>
      <c r="G27" s="63"/>
      <c r="H27" s="84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>
      <c r="A28" s="43"/>
      <c r="B28" s="44"/>
      <c r="C28" s="44"/>
      <c r="D28" s="44"/>
      <c r="E28" s="44"/>
      <c r="F28" s="44"/>
      <c r="G28" s="44"/>
      <c r="H28" s="73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>
      <c r="A29" s="75"/>
      <c r="B29" s="44"/>
      <c r="C29" s="44"/>
      <c r="D29" s="44"/>
      <c r="E29" s="44"/>
      <c r="F29" s="44"/>
      <c r="G29" s="44"/>
      <c r="H29" s="7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60" customHeight="1">
      <c r="A30" s="76" t="s">
        <v>14</v>
      </c>
      <c r="B30" s="77"/>
      <c r="C30" s="77"/>
      <c r="D30" s="78"/>
      <c r="E30" s="79"/>
      <c r="F30" s="77"/>
      <c r="G30" s="77"/>
      <c r="H30" s="80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>
      <c r="A31" s="43"/>
      <c r="B31" s="44"/>
      <c r="C31" s="44"/>
      <c r="D31" s="44"/>
      <c r="E31" s="72"/>
      <c r="F31" s="44"/>
      <c r="G31" s="44"/>
      <c r="H31" s="73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57" customHeight="1">
      <c r="A32" s="76" t="s">
        <v>15</v>
      </c>
      <c r="B32" s="77"/>
      <c r="C32" s="77"/>
      <c r="D32" s="78"/>
      <c r="E32" s="79"/>
      <c r="F32" s="77"/>
      <c r="G32" s="77"/>
      <c r="H32" s="80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>
      <c r="A33" s="43"/>
      <c r="B33" s="44"/>
      <c r="C33" s="44"/>
      <c r="D33" s="44"/>
      <c r="E33" s="72"/>
      <c r="F33" s="44"/>
      <c r="G33" s="44"/>
      <c r="H33" s="73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53.25" customHeight="1">
      <c r="A34" s="76" t="s">
        <v>16</v>
      </c>
      <c r="B34" s="77"/>
      <c r="C34" s="77"/>
      <c r="D34" s="78"/>
      <c r="E34" s="79"/>
      <c r="F34" s="77"/>
      <c r="G34" s="77"/>
      <c r="H34" s="80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>
      <c r="A35" s="43"/>
      <c r="B35" s="44"/>
      <c r="C35" s="44"/>
      <c r="D35" s="44"/>
      <c r="E35" s="44"/>
      <c r="F35" s="44"/>
      <c r="G35" s="44"/>
      <c r="H35" s="73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>
      <c r="A36" s="45" t="s">
        <v>17</v>
      </c>
      <c r="B36" s="46"/>
      <c r="C36" s="46"/>
      <c r="D36" s="47"/>
      <c r="E36" s="65" t="s">
        <v>18</v>
      </c>
      <c r="F36" s="46"/>
      <c r="G36" s="46"/>
      <c r="H36" s="66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48" t="s">
        <v>19</v>
      </c>
      <c r="B37" s="41"/>
      <c r="C37" s="41"/>
      <c r="D37" s="42"/>
      <c r="E37" s="70" t="s">
        <v>18</v>
      </c>
      <c r="F37" s="41"/>
      <c r="G37" s="41"/>
      <c r="H37" s="7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51">
    <mergeCell ref="A36:D36"/>
    <mergeCell ref="E36:H36"/>
    <mergeCell ref="A37:D37"/>
    <mergeCell ref="E37:H37"/>
    <mergeCell ref="A31:D31"/>
    <mergeCell ref="E31:H31"/>
    <mergeCell ref="A32:D32"/>
    <mergeCell ref="E32:H32"/>
    <mergeCell ref="A33:D33"/>
    <mergeCell ref="E33:H33"/>
    <mergeCell ref="A34:D34"/>
    <mergeCell ref="A28:H29"/>
    <mergeCell ref="A30:D30"/>
    <mergeCell ref="E30:H30"/>
    <mergeCell ref="E34:H34"/>
    <mergeCell ref="A35:H35"/>
    <mergeCell ref="A25:D25"/>
    <mergeCell ref="A26:D26"/>
    <mergeCell ref="A27:D27"/>
    <mergeCell ref="A20:D20"/>
    <mergeCell ref="E20:H20"/>
    <mergeCell ref="A21:D21"/>
    <mergeCell ref="E21:H21"/>
    <mergeCell ref="A22:D22"/>
    <mergeCell ref="E22:H22"/>
    <mergeCell ref="E23:H23"/>
    <mergeCell ref="E24:H24"/>
    <mergeCell ref="E25:H25"/>
    <mergeCell ref="E26:H26"/>
    <mergeCell ref="E27:H27"/>
    <mergeCell ref="A17:H18"/>
    <mergeCell ref="A19:D19"/>
    <mergeCell ref="E19:H19"/>
    <mergeCell ref="A23:D23"/>
    <mergeCell ref="A24:D24"/>
    <mergeCell ref="E12:H12"/>
    <mergeCell ref="E13:H13"/>
    <mergeCell ref="E14:H14"/>
    <mergeCell ref="E15:H15"/>
    <mergeCell ref="E16:H16"/>
    <mergeCell ref="A1:H4"/>
    <mergeCell ref="A5:H9"/>
    <mergeCell ref="A10:D10"/>
    <mergeCell ref="E10:H10"/>
    <mergeCell ref="A11:D11"/>
    <mergeCell ref="E11:H11"/>
    <mergeCell ref="A12:D12"/>
    <mergeCell ref="A13:D13"/>
    <mergeCell ref="A14:D14"/>
    <mergeCell ref="A15:D15"/>
    <mergeCell ref="A16:D16"/>
  </mergeCells>
  <conditionalFormatting sqref="E20:H27">
    <cfRule type="expression" dxfId="23" priority="1">
      <formula>AND(ISNUMBER(E20),TRUNC(E20)&lt;TODAY())</formula>
    </cfRule>
  </conditionalFormatting>
  <dataValidations count="1">
    <dataValidation type="list" allowBlank="1" sqref="E12" xr:uid="{00000000-0002-0000-0000-000000000000}">
      <formula1>"OnLogic US-VT,OnLogic US-NC,Onlogic TW,Onlogic MY"</formula1>
    </dataValidation>
  </dataValidations>
  <pageMargins left="0.7" right="0.7" top="0.75" bottom="0.75" header="0" footer="0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P494"/>
  <sheetViews>
    <sheetView tabSelected="1" topLeftCell="A163" workbookViewId="0">
      <selection activeCell="N60" sqref="N60"/>
    </sheetView>
  </sheetViews>
  <sheetFormatPr defaultColWidth="12.625" defaultRowHeight="15" customHeight="1"/>
  <cols>
    <col min="1" max="2" width="8.375" customWidth="1"/>
    <col min="3" max="3" width="17.125" customWidth="1"/>
    <col min="4" max="4" width="10" customWidth="1"/>
    <col min="5" max="5" width="10.25" customWidth="1"/>
    <col min="6" max="6" width="10.875" customWidth="1"/>
    <col min="7" max="7" width="10.625" customWidth="1"/>
    <col min="8" max="8" width="11.5" customWidth="1"/>
    <col min="9" max="9" width="11.625" customWidth="1"/>
    <col min="10" max="10" width="13.375" customWidth="1"/>
    <col min="11" max="11" width="11.875" customWidth="1"/>
    <col min="12" max="12" width="11.75" customWidth="1"/>
    <col min="13" max="16" width="8.375" customWidth="1"/>
    <col min="17" max="17" width="12.25" customWidth="1"/>
    <col min="18" max="31" width="8.375" customWidth="1"/>
    <col min="32" max="68" width="10.375" customWidth="1"/>
  </cols>
  <sheetData>
    <row r="1" spans="1:43" ht="14.25" customHeight="1">
      <c r="A1" s="109"/>
      <c r="B1" s="44"/>
      <c r="C1" s="44"/>
      <c r="D1" s="44"/>
      <c r="E1" s="109"/>
      <c r="F1" s="44"/>
      <c r="G1" s="44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116" t="s">
        <v>20</v>
      </c>
      <c r="AF1" s="58"/>
      <c r="AG1" s="58"/>
      <c r="AH1" s="58"/>
      <c r="AI1" s="58"/>
      <c r="AJ1" s="58"/>
      <c r="AK1" s="58"/>
      <c r="AL1" s="58"/>
      <c r="AM1" s="59"/>
      <c r="AN1" s="116" t="s">
        <v>21</v>
      </c>
      <c r="AO1" s="58"/>
      <c r="AP1" s="58"/>
      <c r="AQ1" s="117"/>
    </row>
    <row r="2" spans="1:43" ht="18" customHeight="1">
      <c r="A2" s="103" t="s">
        <v>22</v>
      </c>
      <c r="B2" s="38"/>
      <c r="C2" s="38"/>
      <c r="D2" s="39"/>
      <c r="E2" s="85"/>
      <c r="F2" s="38"/>
      <c r="G2" s="39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62"/>
      <c r="AF2" s="63"/>
      <c r="AG2" s="63"/>
      <c r="AH2" s="63"/>
      <c r="AI2" s="63"/>
      <c r="AJ2" s="63"/>
      <c r="AK2" s="63"/>
      <c r="AL2" s="63"/>
      <c r="AM2" s="64"/>
      <c r="AN2" s="62"/>
      <c r="AO2" s="63"/>
      <c r="AP2" s="63"/>
      <c r="AQ2" s="118"/>
    </row>
    <row r="3" spans="1:43" ht="18" customHeight="1">
      <c r="A3" s="103"/>
      <c r="B3" s="38"/>
      <c r="C3" s="38"/>
      <c r="D3" s="39"/>
      <c r="E3" s="85"/>
      <c r="F3" s="38"/>
      <c r="G3" s="39"/>
      <c r="H3" s="126" t="s">
        <v>23</v>
      </c>
      <c r="I3" s="44"/>
      <c r="J3" s="44"/>
      <c r="K3" s="44"/>
      <c r="L3" s="61"/>
      <c r="M3" s="127" t="s">
        <v>24</v>
      </c>
      <c r="N3" s="58"/>
      <c r="O3" s="58"/>
      <c r="P3" s="58"/>
      <c r="Q3" s="58"/>
      <c r="R3" s="59"/>
      <c r="S3" s="3"/>
      <c r="T3" s="3"/>
      <c r="U3" s="110" t="s">
        <v>25</v>
      </c>
      <c r="V3" s="88"/>
      <c r="W3" s="88"/>
      <c r="X3" s="88"/>
      <c r="Y3" s="88"/>
      <c r="Z3" s="88"/>
      <c r="AA3" s="88"/>
      <c r="AB3" s="88"/>
      <c r="AC3" s="89"/>
      <c r="AD3" s="3"/>
      <c r="AE3" s="111" t="s">
        <v>26</v>
      </c>
      <c r="AF3" s="112"/>
      <c r="AG3" s="112"/>
      <c r="AH3" s="112"/>
      <c r="AI3" s="113"/>
      <c r="AJ3" s="114">
        <f>E2</f>
        <v>0</v>
      </c>
      <c r="AK3" s="38"/>
      <c r="AL3" s="38"/>
      <c r="AM3" s="39"/>
      <c r="AN3" s="115"/>
      <c r="AO3" s="44"/>
      <c r="AP3" s="44"/>
      <c r="AQ3" s="44"/>
    </row>
    <row r="4" spans="1:43" ht="18" customHeight="1">
      <c r="A4" s="103"/>
      <c r="B4" s="38"/>
      <c r="C4" s="38"/>
      <c r="D4" s="39"/>
      <c r="E4" s="85"/>
      <c r="F4" s="38"/>
      <c r="G4" s="39"/>
      <c r="H4" s="128" t="s">
        <v>27</v>
      </c>
      <c r="I4" s="44"/>
      <c r="J4" s="44"/>
      <c r="K4" s="44"/>
      <c r="L4" s="61"/>
      <c r="M4" s="60"/>
      <c r="N4" s="44"/>
      <c r="O4" s="44"/>
      <c r="P4" s="44"/>
      <c r="Q4" s="44"/>
      <c r="R4" s="61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122" t="s">
        <v>28</v>
      </c>
      <c r="AF4" s="38"/>
      <c r="AG4" s="38"/>
      <c r="AH4" s="38"/>
      <c r="AI4" s="123"/>
      <c r="AJ4" s="114" t="str">
        <f>CONCATENATE("Voltage: ",DUT_VOUT,"V")</f>
        <v>Voltage: 0V</v>
      </c>
      <c r="AK4" s="38"/>
      <c r="AL4" s="38"/>
      <c r="AM4" s="39"/>
      <c r="AN4" s="115"/>
      <c r="AO4" s="44"/>
      <c r="AP4" s="44"/>
      <c r="AQ4" s="44"/>
    </row>
    <row r="5" spans="1:43" ht="18" customHeight="1">
      <c r="A5" s="103" t="s">
        <v>29</v>
      </c>
      <c r="B5" s="38"/>
      <c r="C5" s="38"/>
      <c r="D5" s="39"/>
      <c r="E5" s="85"/>
      <c r="F5" s="38"/>
      <c r="G5" s="39"/>
      <c r="H5" s="120" t="s">
        <v>30</v>
      </c>
      <c r="I5" s="44"/>
      <c r="J5" s="44"/>
      <c r="K5" s="44"/>
      <c r="L5" s="61"/>
      <c r="M5" s="60"/>
      <c r="N5" s="44"/>
      <c r="O5" s="44"/>
      <c r="P5" s="44"/>
      <c r="Q5" s="44"/>
      <c r="R5" s="61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124" t="s">
        <v>31</v>
      </c>
      <c r="AF5" s="58"/>
      <c r="AG5" s="58"/>
      <c r="AH5" s="58"/>
      <c r="AI5" s="117"/>
      <c r="AJ5" s="114" t="str">
        <f>CONCATENATE("MAX CURRENT: ",E11,"A")</f>
        <v>MAX CURRENT: A</v>
      </c>
      <c r="AK5" s="38"/>
      <c r="AL5" s="38"/>
      <c r="AM5" s="39"/>
      <c r="AN5" s="115"/>
      <c r="AO5" s="44"/>
      <c r="AP5" s="44"/>
      <c r="AQ5" s="44"/>
    </row>
    <row r="6" spans="1:43" ht="18" customHeight="1">
      <c r="A6" s="104" t="s">
        <v>32</v>
      </c>
      <c r="B6" s="38"/>
      <c r="C6" s="38"/>
      <c r="D6" s="39"/>
      <c r="E6" s="119">
        <v>0</v>
      </c>
      <c r="F6" s="39"/>
      <c r="G6" s="4" t="s">
        <v>33</v>
      </c>
      <c r="H6" s="120" t="s">
        <v>34</v>
      </c>
      <c r="I6" s="44"/>
      <c r="J6" s="44"/>
      <c r="K6" s="44"/>
      <c r="L6" s="61"/>
      <c r="M6" s="60"/>
      <c r="N6" s="44"/>
      <c r="O6" s="44"/>
      <c r="P6" s="44"/>
      <c r="Q6" s="44"/>
      <c r="R6" s="61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62"/>
      <c r="AF6" s="63"/>
      <c r="AG6" s="63"/>
      <c r="AH6" s="63"/>
      <c r="AI6" s="118"/>
      <c r="AJ6" s="114" t="str">
        <f>CONCATENATE("TDC  CURRENT: ",E12,"A")</f>
        <v>TDC  CURRENT: A</v>
      </c>
      <c r="AK6" s="38"/>
      <c r="AL6" s="38"/>
      <c r="AM6" s="39"/>
      <c r="AN6" s="115"/>
      <c r="AO6" s="44"/>
      <c r="AP6" s="44"/>
      <c r="AQ6" s="44"/>
    </row>
    <row r="7" spans="1:43" ht="18" customHeight="1">
      <c r="A7" s="105" t="s">
        <v>35</v>
      </c>
      <c r="B7" s="38"/>
      <c r="C7" s="38"/>
      <c r="D7" s="39"/>
      <c r="E7" s="119">
        <f>E6*1.05</f>
        <v>0</v>
      </c>
      <c r="F7" s="39"/>
      <c r="G7" s="4" t="s">
        <v>33</v>
      </c>
      <c r="H7" s="120" t="s">
        <v>36</v>
      </c>
      <c r="I7" s="44"/>
      <c r="J7" s="44"/>
      <c r="K7" s="44"/>
      <c r="L7" s="61"/>
      <c r="M7" s="60"/>
      <c r="N7" s="44"/>
      <c r="O7" s="44"/>
      <c r="P7" s="44"/>
      <c r="Q7" s="44"/>
      <c r="R7" s="61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133" t="s">
        <v>37</v>
      </c>
      <c r="AF7" s="38"/>
      <c r="AG7" s="38"/>
      <c r="AH7" s="38"/>
      <c r="AI7" s="39"/>
      <c r="AJ7" s="114"/>
      <c r="AK7" s="38"/>
      <c r="AL7" s="38"/>
      <c r="AM7" s="39"/>
      <c r="AN7" s="115"/>
      <c r="AO7" s="44"/>
      <c r="AP7" s="44"/>
      <c r="AQ7" s="44"/>
    </row>
    <row r="8" spans="1:43" ht="18" customHeight="1">
      <c r="A8" s="105" t="s">
        <v>38</v>
      </c>
      <c r="B8" s="38"/>
      <c r="C8" s="38"/>
      <c r="D8" s="39"/>
      <c r="E8" s="119">
        <f>E6*0.95</f>
        <v>0</v>
      </c>
      <c r="F8" s="39"/>
      <c r="G8" s="4" t="s">
        <v>33</v>
      </c>
      <c r="H8" s="120" t="s">
        <v>39</v>
      </c>
      <c r="I8" s="44"/>
      <c r="J8" s="44"/>
      <c r="K8" s="44"/>
      <c r="L8" s="61"/>
      <c r="M8" s="60"/>
      <c r="N8" s="44"/>
      <c r="O8" s="44"/>
      <c r="P8" s="44"/>
      <c r="Q8" s="44"/>
      <c r="R8" s="61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121" t="s">
        <v>40</v>
      </c>
      <c r="AF8" s="38"/>
      <c r="AG8" s="38"/>
      <c r="AH8" s="38"/>
      <c r="AI8" s="39"/>
      <c r="AJ8" s="134" t="str">
        <f>IF(AND(MIN(C27:C42)&gt;E8,MAX(C27:C42)&lt;E7),"WITH SPEC","OUT OF SPEC")</f>
        <v>OUT OF SPEC</v>
      </c>
      <c r="AK8" s="38"/>
      <c r="AL8" s="38"/>
      <c r="AM8" s="39"/>
      <c r="AN8" s="114" t="s">
        <v>41</v>
      </c>
      <c r="AO8" s="38"/>
      <c r="AP8" s="38"/>
      <c r="AQ8" s="39"/>
    </row>
    <row r="9" spans="1:43" ht="18" customHeight="1">
      <c r="A9" s="104" t="s">
        <v>42</v>
      </c>
      <c r="B9" s="38"/>
      <c r="C9" s="38"/>
      <c r="D9" s="39"/>
      <c r="E9" s="119">
        <v>0</v>
      </c>
      <c r="F9" s="39"/>
      <c r="G9" s="4" t="s">
        <v>33</v>
      </c>
      <c r="H9" s="120" t="s">
        <v>43</v>
      </c>
      <c r="I9" s="44"/>
      <c r="J9" s="44"/>
      <c r="K9" s="44"/>
      <c r="L9" s="61"/>
      <c r="M9" s="60"/>
      <c r="N9" s="44"/>
      <c r="O9" s="44"/>
      <c r="P9" s="44"/>
      <c r="Q9" s="44"/>
      <c r="R9" s="61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121" t="s">
        <v>44</v>
      </c>
      <c r="AF9" s="38"/>
      <c r="AG9" s="38"/>
      <c r="AH9" s="38"/>
      <c r="AI9" s="39"/>
      <c r="AJ9" s="114" t="str">
        <f t="shared" ref="AJ9:AJ11" si="0">CONCATENATE(F60,"V - ",D60,"V")</f>
        <v>V - V</v>
      </c>
      <c r="AK9" s="38"/>
      <c r="AL9" s="38"/>
      <c r="AM9" s="39"/>
      <c r="AN9" s="114" t="str">
        <f>CONCATENATE(D$8,"V - ",D$7,"V: &lt;5%")</f>
        <v>V - V: &lt;5%</v>
      </c>
      <c r="AO9" s="38"/>
      <c r="AP9" s="38"/>
      <c r="AQ9" s="39"/>
    </row>
    <row r="10" spans="1:43" ht="18" customHeight="1">
      <c r="A10" s="106" t="s">
        <v>45</v>
      </c>
      <c r="B10" s="38"/>
      <c r="C10" s="38"/>
      <c r="D10" s="39"/>
      <c r="E10" s="125"/>
      <c r="F10" s="38"/>
      <c r="G10" s="39"/>
      <c r="H10" s="120" t="s">
        <v>46</v>
      </c>
      <c r="I10" s="44"/>
      <c r="J10" s="44"/>
      <c r="K10" s="44"/>
      <c r="L10" s="61"/>
      <c r="M10" s="60"/>
      <c r="N10" s="44"/>
      <c r="O10" s="44"/>
      <c r="P10" s="44"/>
      <c r="Q10" s="44"/>
      <c r="R10" s="61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121" t="s">
        <v>47</v>
      </c>
      <c r="AF10" s="38"/>
      <c r="AG10" s="38"/>
      <c r="AH10" s="38"/>
      <c r="AI10" s="39"/>
      <c r="AJ10" s="114" t="str">
        <f t="shared" si="0"/>
        <v>V - V</v>
      </c>
      <c r="AK10" s="38"/>
      <c r="AL10" s="38"/>
      <c r="AM10" s="39"/>
      <c r="AN10" s="114" t="str">
        <f t="shared" ref="AN9:AN11" si="1">CONCATENATE(D$8,"V - ",D$7,"V: &lt;3%")</f>
        <v>V - V: &lt;3%</v>
      </c>
      <c r="AO10" s="38"/>
      <c r="AP10" s="38"/>
      <c r="AQ10" s="39"/>
    </row>
    <row r="11" spans="1:43" ht="18" customHeight="1">
      <c r="A11" s="106" t="s">
        <v>48</v>
      </c>
      <c r="B11" s="38"/>
      <c r="C11" s="38"/>
      <c r="D11" s="39"/>
      <c r="E11" s="135"/>
      <c r="F11" s="38"/>
      <c r="G11" s="39"/>
      <c r="H11" s="120"/>
      <c r="I11" s="44"/>
      <c r="J11" s="44"/>
      <c r="K11" s="44"/>
      <c r="L11" s="61"/>
      <c r="M11" s="60"/>
      <c r="N11" s="44"/>
      <c r="O11" s="44"/>
      <c r="P11" s="44"/>
      <c r="Q11" s="44"/>
      <c r="R11" s="61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121" t="s">
        <v>49</v>
      </c>
      <c r="AF11" s="38"/>
      <c r="AG11" s="38"/>
      <c r="AH11" s="38"/>
      <c r="AI11" s="39"/>
      <c r="AJ11" s="114" t="str">
        <f t="shared" si="0"/>
        <v>V - V</v>
      </c>
      <c r="AK11" s="38"/>
      <c r="AL11" s="38"/>
      <c r="AM11" s="39"/>
      <c r="AN11" s="114" t="str">
        <f t="shared" si="1"/>
        <v>V - V: &lt;3%</v>
      </c>
      <c r="AO11" s="38"/>
      <c r="AP11" s="38"/>
      <c r="AQ11" s="39"/>
    </row>
    <row r="12" spans="1:43" ht="18" customHeight="1">
      <c r="A12" s="105" t="s">
        <v>50</v>
      </c>
      <c r="B12" s="38"/>
      <c r="C12" s="38"/>
      <c r="D12" s="39"/>
      <c r="E12" s="85"/>
      <c r="F12" s="38"/>
      <c r="G12" s="39"/>
      <c r="H12" s="86"/>
      <c r="I12" s="44"/>
      <c r="J12" s="44"/>
      <c r="K12" s="44"/>
      <c r="L12" s="61"/>
      <c r="M12" s="60"/>
      <c r="N12" s="44"/>
      <c r="O12" s="44"/>
      <c r="P12" s="44"/>
      <c r="Q12" s="44"/>
      <c r="R12" s="61"/>
      <c r="S12" s="3"/>
      <c r="T12" s="3"/>
      <c r="U12" s="3"/>
      <c r="V12" s="3"/>
      <c r="W12" s="3"/>
      <c r="X12" s="3"/>
      <c r="Y12" s="3"/>
      <c r="Z12" s="3"/>
      <c r="AA12" s="3"/>
      <c r="AE12" s="121" t="s">
        <v>51</v>
      </c>
      <c r="AF12" s="38"/>
      <c r="AG12" s="38"/>
      <c r="AH12" s="38"/>
      <c r="AI12" s="39"/>
      <c r="AJ12" s="114"/>
      <c r="AK12" s="38"/>
      <c r="AL12" s="38"/>
      <c r="AM12" s="39"/>
      <c r="AN12" s="114" t="str">
        <f>CONCATENATE(E$8,"V - ",E$7,"V")</f>
        <v>0V - 0V</v>
      </c>
      <c r="AO12" s="38"/>
      <c r="AP12" s="38"/>
      <c r="AQ12" s="39"/>
    </row>
    <row r="13" spans="1:43" ht="18" customHeight="1">
      <c r="A13" s="105" t="s">
        <v>52</v>
      </c>
      <c r="B13" s="38"/>
      <c r="C13" s="38"/>
      <c r="D13" s="39"/>
      <c r="E13" s="85"/>
      <c r="F13" s="38"/>
      <c r="G13" s="39"/>
      <c r="H13" s="86"/>
      <c r="I13" s="44"/>
      <c r="J13" s="44"/>
      <c r="K13" s="44"/>
      <c r="L13" s="61"/>
      <c r="M13" s="60"/>
      <c r="N13" s="44"/>
      <c r="O13" s="44"/>
      <c r="P13" s="44"/>
      <c r="Q13" s="44"/>
      <c r="R13" s="61"/>
      <c r="S13" s="3"/>
      <c r="T13" s="3"/>
      <c r="U13" s="3"/>
      <c r="V13" s="3"/>
      <c r="W13" s="3"/>
      <c r="X13" s="3"/>
      <c r="Y13" s="3"/>
      <c r="Z13" s="3"/>
      <c r="AA13" s="3"/>
      <c r="AE13" s="121" t="s">
        <v>53</v>
      </c>
      <c r="AF13" s="38"/>
      <c r="AG13" s="38"/>
      <c r="AH13" s="38"/>
      <c r="AI13" s="39"/>
      <c r="AJ13" s="114"/>
      <c r="AK13" s="38"/>
      <c r="AL13" s="38"/>
      <c r="AM13" s="39"/>
      <c r="AN13" s="114"/>
      <c r="AO13" s="38"/>
      <c r="AP13" s="38"/>
      <c r="AQ13" s="39"/>
    </row>
    <row r="14" spans="1:43" ht="18" customHeight="1">
      <c r="A14" s="105" t="s">
        <v>54</v>
      </c>
      <c r="B14" s="38"/>
      <c r="C14" s="38"/>
      <c r="D14" s="39"/>
      <c r="E14" s="85"/>
      <c r="F14" s="38"/>
      <c r="G14" s="39"/>
      <c r="H14" s="86"/>
      <c r="I14" s="44"/>
      <c r="J14" s="44"/>
      <c r="K14" s="44"/>
      <c r="L14" s="61"/>
      <c r="M14" s="60"/>
      <c r="N14" s="44"/>
      <c r="O14" s="44"/>
      <c r="P14" s="44"/>
      <c r="Q14" s="44"/>
      <c r="R14" s="61"/>
      <c r="S14" s="3"/>
      <c r="T14" s="3"/>
      <c r="U14" s="3"/>
      <c r="V14" s="3"/>
      <c r="W14" s="3"/>
      <c r="X14" s="3"/>
      <c r="Y14" s="3"/>
      <c r="Z14" s="3"/>
      <c r="AA14" s="3"/>
      <c r="AE14" s="121" t="s">
        <v>55</v>
      </c>
      <c r="AF14" s="38"/>
      <c r="AG14" s="38"/>
      <c r="AH14" s="38"/>
      <c r="AI14" s="39"/>
      <c r="AJ14" s="114"/>
      <c r="AK14" s="38"/>
      <c r="AL14" s="38"/>
      <c r="AM14" s="39"/>
      <c r="AN14" s="114"/>
      <c r="AO14" s="38"/>
      <c r="AP14" s="38"/>
      <c r="AQ14" s="39"/>
    </row>
    <row r="15" spans="1:43" ht="18" customHeight="1">
      <c r="A15" s="105" t="s">
        <v>56</v>
      </c>
      <c r="B15" s="38"/>
      <c r="C15" s="38"/>
      <c r="D15" s="39"/>
      <c r="E15" s="85"/>
      <c r="F15" s="38"/>
      <c r="G15" s="39"/>
      <c r="H15" s="86"/>
      <c r="I15" s="44"/>
      <c r="J15" s="44"/>
      <c r="K15" s="44"/>
      <c r="L15" s="61"/>
      <c r="M15" s="60"/>
      <c r="N15" s="44"/>
      <c r="O15" s="44"/>
      <c r="P15" s="44"/>
      <c r="Q15" s="44"/>
      <c r="R15" s="61"/>
      <c r="S15" s="3"/>
      <c r="T15" s="3"/>
      <c r="U15" s="3"/>
      <c r="V15" s="3"/>
      <c r="W15" s="3"/>
      <c r="X15" s="3"/>
      <c r="Y15" s="3"/>
      <c r="Z15" s="3"/>
      <c r="AA15" s="3"/>
      <c r="AE15" s="121" t="s">
        <v>57</v>
      </c>
      <c r="AF15" s="38"/>
      <c r="AG15" s="38"/>
      <c r="AH15" s="38"/>
      <c r="AI15" s="39"/>
      <c r="AJ15" s="114" t="str">
        <f t="shared" ref="AJ15:AJ17" si="2">CONCATENATE(F112,"V - ",D112,"V")</f>
        <v>V - V</v>
      </c>
      <c r="AK15" s="38"/>
      <c r="AL15" s="38"/>
      <c r="AM15" s="39"/>
      <c r="AN15" s="114" t="str">
        <f t="shared" ref="AN15:AN17" si="3">CONCATENATE(E$8,"V - ",E$7,"V")</f>
        <v>0V - 0V</v>
      </c>
      <c r="AO15" s="38"/>
      <c r="AP15" s="38"/>
      <c r="AQ15" s="39"/>
    </row>
    <row r="16" spans="1:43" ht="18" customHeight="1">
      <c r="A16" s="105" t="s">
        <v>58</v>
      </c>
      <c r="B16" s="38"/>
      <c r="C16" s="38"/>
      <c r="D16" s="39"/>
      <c r="E16" s="85"/>
      <c r="F16" s="38"/>
      <c r="G16" s="39"/>
      <c r="H16" s="86"/>
      <c r="I16" s="44"/>
      <c r="J16" s="44"/>
      <c r="K16" s="44"/>
      <c r="L16" s="61"/>
      <c r="M16" s="60"/>
      <c r="N16" s="44"/>
      <c r="O16" s="44"/>
      <c r="P16" s="44"/>
      <c r="Q16" s="44"/>
      <c r="R16" s="61"/>
      <c r="S16" s="3"/>
      <c r="T16" s="3"/>
      <c r="U16" s="3"/>
      <c r="V16" s="3"/>
      <c r="W16" s="3"/>
      <c r="X16" s="3"/>
      <c r="Y16" s="3"/>
      <c r="Z16" s="3"/>
      <c r="AA16" s="3"/>
      <c r="AE16" s="121" t="s">
        <v>59</v>
      </c>
      <c r="AF16" s="38"/>
      <c r="AG16" s="38"/>
      <c r="AH16" s="38"/>
      <c r="AI16" s="39"/>
      <c r="AJ16" s="114" t="str">
        <f t="shared" si="2"/>
        <v>V - V</v>
      </c>
      <c r="AK16" s="38"/>
      <c r="AL16" s="38"/>
      <c r="AM16" s="39"/>
      <c r="AN16" s="114" t="str">
        <f t="shared" si="3"/>
        <v>0V - 0V</v>
      </c>
      <c r="AO16" s="38"/>
      <c r="AP16" s="38"/>
      <c r="AQ16" s="39"/>
    </row>
    <row r="17" spans="1:43" ht="18" customHeight="1">
      <c r="A17" s="106" t="s">
        <v>60</v>
      </c>
      <c r="B17" s="38"/>
      <c r="C17" s="38"/>
      <c r="D17" s="39"/>
      <c r="E17" s="125"/>
      <c r="F17" s="38"/>
      <c r="G17" s="39"/>
      <c r="H17" s="86"/>
      <c r="I17" s="44"/>
      <c r="J17" s="44"/>
      <c r="K17" s="44"/>
      <c r="L17" s="61"/>
      <c r="M17" s="60"/>
      <c r="N17" s="44"/>
      <c r="O17" s="44"/>
      <c r="P17" s="44"/>
      <c r="Q17" s="44"/>
      <c r="R17" s="61"/>
      <c r="S17" s="3"/>
      <c r="T17" s="3"/>
      <c r="U17" s="3"/>
      <c r="V17" s="3"/>
      <c r="W17" s="3"/>
      <c r="X17" s="3"/>
      <c r="Y17" s="3"/>
      <c r="Z17" s="3"/>
      <c r="AA17" s="3"/>
      <c r="AE17" s="121" t="s">
        <v>61</v>
      </c>
      <c r="AF17" s="38"/>
      <c r="AG17" s="38"/>
      <c r="AH17" s="38"/>
      <c r="AI17" s="39"/>
      <c r="AJ17" s="114" t="str">
        <f t="shared" si="2"/>
        <v>V - V</v>
      </c>
      <c r="AK17" s="38"/>
      <c r="AL17" s="38"/>
      <c r="AM17" s="39"/>
      <c r="AN17" s="114" t="str">
        <f t="shared" si="3"/>
        <v>0V - 0V</v>
      </c>
      <c r="AO17" s="38"/>
      <c r="AP17" s="38"/>
      <c r="AQ17" s="39"/>
    </row>
    <row r="18" spans="1:43" ht="18" customHeight="1">
      <c r="A18" s="106" t="s">
        <v>62</v>
      </c>
      <c r="B18" s="38"/>
      <c r="C18" s="38"/>
      <c r="D18" s="39"/>
      <c r="E18" s="125"/>
      <c r="F18" s="38"/>
      <c r="G18" s="39"/>
      <c r="H18" s="3"/>
      <c r="I18" s="3"/>
      <c r="J18" s="3"/>
      <c r="K18" s="3"/>
      <c r="L18" s="3"/>
      <c r="M18" s="60"/>
      <c r="N18" s="44"/>
      <c r="O18" s="44"/>
      <c r="P18" s="44"/>
      <c r="Q18" s="44"/>
      <c r="R18" s="61"/>
      <c r="S18" s="3"/>
      <c r="T18" s="3"/>
      <c r="U18" s="3"/>
      <c r="V18" s="3"/>
      <c r="W18" s="3"/>
      <c r="X18" s="3"/>
      <c r="Y18" s="3"/>
      <c r="Z18" s="3"/>
      <c r="AA18" s="3"/>
      <c r="AE18" s="121" t="s">
        <v>63</v>
      </c>
      <c r="AF18" s="38"/>
      <c r="AG18" s="38"/>
      <c r="AH18" s="38"/>
      <c r="AI18" s="39"/>
      <c r="AJ18" s="114"/>
      <c r="AK18" s="38"/>
      <c r="AL18" s="38"/>
      <c r="AM18" s="39"/>
      <c r="AN18" s="114"/>
      <c r="AO18" s="38"/>
      <c r="AP18" s="38"/>
      <c r="AQ18" s="39"/>
    </row>
    <row r="19" spans="1:43" ht="15.75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121" t="s">
        <v>57</v>
      </c>
      <c r="AF19" s="38"/>
      <c r="AG19" s="38"/>
      <c r="AH19" s="38"/>
      <c r="AI19" s="39"/>
      <c r="AJ19" s="114" t="str">
        <f t="shared" ref="AJ19:AJ21" si="4">CONCATENATE(F116,"V - ",D116,"V")</f>
        <v>V - V</v>
      </c>
      <c r="AK19" s="38"/>
      <c r="AL19" s="38"/>
      <c r="AM19" s="39"/>
      <c r="AN19" s="114" t="str">
        <f t="shared" ref="AN19:AN21" si="5">CONCATENATE(E$8,"V - ",E$7,"V")</f>
        <v>0V - 0V</v>
      </c>
      <c r="AO19" s="38"/>
      <c r="AP19" s="38"/>
      <c r="AQ19" s="39"/>
    </row>
    <row r="20" spans="1:43" ht="15.75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121" t="s">
        <v>59</v>
      </c>
      <c r="AF20" s="38"/>
      <c r="AG20" s="38"/>
      <c r="AH20" s="38"/>
      <c r="AI20" s="39"/>
      <c r="AJ20" s="114" t="str">
        <f t="shared" si="4"/>
        <v>V - V</v>
      </c>
      <c r="AK20" s="38"/>
      <c r="AL20" s="38"/>
      <c r="AM20" s="39"/>
      <c r="AN20" s="114" t="str">
        <f t="shared" si="5"/>
        <v>0V - 0V</v>
      </c>
      <c r="AO20" s="38"/>
      <c r="AP20" s="38"/>
      <c r="AQ20" s="39"/>
    </row>
    <row r="21" spans="1:43" ht="20.25" customHeight="1">
      <c r="A21" s="92" t="s">
        <v>64</v>
      </c>
      <c r="B21" s="93"/>
      <c r="C21" s="93"/>
      <c r="D21" s="93"/>
      <c r="E21" s="94"/>
      <c r="F21" s="5"/>
      <c r="G21" s="6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3"/>
      <c r="Z21" s="3"/>
      <c r="AA21" s="3"/>
      <c r="AB21" s="3"/>
      <c r="AC21" s="3"/>
      <c r="AD21" s="3"/>
      <c r="AE21" s="121" t="s">
        <v>61</v>
      </c>
      <c r="AF21" s="38"/>
      <c r="AG21" s="38"/>
      <c r="AH21" s="38"/>
      <c r="AI21" s="39"/>
      <c r="AJ21" s="114" t="str">
        <f t="shared" si="4"/>
        <v>V - V</v>
      </c>
      <c r="AK21" s="38"/>
      <c r="AL21" s="38"/>
      <c r="AM21" s="39"/>
      <c r="AN21" s="114" t="str">
        <f t="shared" si="5"/>
        <v>0V - 0V</v>
      </c>
      <c r="AO21" s="38"/>
      <c r="AP21" s="38"/>
      <c r="AQ21" s="39"/>
    </row>
    <row r="22" spans="1:43" ht="15.75" customHeight="1">
      <c r="A22" s="105" t="s">
        <v>65</v>
      </c>
      <c r="B22" s="38"/>
      <c r="C22" s="38"/>
      <c r="D22" s="39"/>
      <c r="E22" s="7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8" t="s">
        <v>66</v>
      </c>
      <c r="AF22" s="9"/>
      <c r="AG22" s="9"/>
      <c r="AH22" s="9"/>
      <c r="AI22" s="10"/>
      <c r="AJ22" s="114"/>
      <c r="AK22" s="38"/>
      <c r="AL22" s="38"/>
      <c r="AM22" s="39"/>
      <c r="AN22" s="114"/>
      <c r="AO22" s="38"/>
      <c r="AP22" s="38"/>
      <c r="AQ22" s="39"/>
    </row>
    <row r="23" spans="1:43" ht="15.75" customHeight="1">
      <c r="A23" s="105" t="s">
        <v>67</v>
      </c>
      <c r="B23" s="38"/>
      <c r="C23" s="38"/>
      <c r="D23" s="39"/>
      <c r="E23" s="7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121" t="s">
        <v>68</v>
      </c>
      <c r="AF23" s="38"/>
      <c r="AG23" s="38"/>
      <c r="AH23" s="38"/>
      <c r="AI23" s="39"/>
      <c r="AJ23" s="114" t="str">
        <f t="shared" ref="AJ23:AJ26" si="6">CONCATENATE(E209,"V - ",D209,"V")</f>
        <v>V - V</v>
      </c>
      <c r="AK23" s="38"/>
      <c r="AL23" s="38"/>
      <c r="AM23" s="39"/>
      <c r="AN23" s="114" t="str">
        <f t="shared" ref="AN23:AN26" si="7">CONCATENATE(E$9*0.95,"V - ",E$9*1.05,"V")</f>
        <v>0V - 0V</v>
      </c>
      <c r="AO23" s="38"/>
      <c r="AP23" s="38"/>
      <c r="AQ23" s="39"/>
    </row>
    <row r="24" spans="1:43" ht="15.75" customHeight="1">
      <c r="A24" s="3"/>
      <c r="B24" s="3"/>
      <c r="C24" s="3"/>
      <c r="D24" s="3"/>
      <c r="E24" s="3"/>
      <c r="F24" s="3"/>
      <c r="G24" s="3"/>
      <c r="H24" s="3"/>
      <c r="I24" s="11"/>
      <c r="J24" s="1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121" t="s">
        <v>69</v>
      </c>
      <c r="AF24" s="38"/>
      <c r="AG24" s="38"/>
      <c r="AH24" s="38"/>
      <c r="AI24" s="39"/>
      <c r="AJ24" s="114" t="str">
        <f t="shared" si="6"/>
        <v>V - V</v>
      </c>
      <c r="AK24" s="38"/>
      <c r="AL24" s="38"/>
      <c r="AM24" s="39"/>
      <c r="AN24" s="114" t="str">
        <f t="shared" si="7"/>
        <v>0V - 0V</v>
      </c>
      <c r="AO24" s="38"/>
      <c r="AP24" s="38"/>
      <c r="AQ24" s="39"/>
    </row>
    <row r="25" spans="1:43" ht="15.75" customHeight="1">
      <c r="A25" s="3"/>
      <c r="B25" s="107" t="s">
        <v>70</v>
      </c>
      <c r="C25" s="13">
        <f>E2</f>
        <v>0</v>
      </c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AE25" s="121" t="s">
        <v>71</v>
      </c>
      <c r="AF25" s="38"/>
      <c r="AG25" s="38"/>
      <c r="AH25" s="38"/>
      <c r="AI25" s="39"/>
      <c r="AJ25" s="114" t="str">
        <f t="shared" si="6"/>
        <v>V - V</v>
      </c>
      <c r="AK25" s="38"/>
      <c r="AL25" s="38"/>
      <c r="AM25" s="39"/>
      <c r="AN25" s="114" t="str">
        <f t="shared" si="7"/>
        <v>0V - 0V</v>
      </c>
      <c r="AO25" s="38"/>
      <c r="AP25" s="38"/>
      <c r="AQ25" s="39"/>
    </row>
    <row r="26" spans="1:43" ht="17.25" customHeight="1">
      <c r="A26" s="3"/>
      <c r="B26" s="108"/>
      <c r="C26" s="14" t="s">
        <v>72</v>
      </c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AE26" s="121" t="s">
        <v>73</v>
      </c>
      <c r="AF26" s="38"/>
      <c r="AG26" s="38"/>
      <c r="AH26" s="38"/>
      <c r="AI26" s="39"/>
      <c r="AJ26" s="114" t="str">
        <f t="shared" si="6"/>
        <v>V - V</v>
      </c>
      <c r="AK26" s="38"/>
      <c r="AL26" s="38"/>
      <c r="AM26" s="39"/>
      <c r="AN26" s="114" t="str">
        <f t="shared" si="7"/>
        <v>0V - 0V</v>
      </c>
      <c r="AO26" s="38"/>
      <c r="AP26" s="38"/>
      <c r="AQ26" s="39"/>
    </row>
    <row r="27" spans="1:43" ht="15.75" customHeight="1">
      <c r="A27" s="3"/>
      <c r="B27" s="15">
        <v>0</v>
      </c>
      <c r="C27" s="16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AE27" s="121" t="s">
        <v>74</v>
      </c>
      <c r="AF27" s="38"/>
      <c r="AG27" s="38"/>
      <c r="AH27" s="38"/>
      <c r="AI27" s="39"/>
      <c r="AJ27" s="114" t="str">
        <f>CONCATENATE("TRIPS @ ",OCP_MEAS,"A")</f>
        <v>TRIPS @ A</v>
      </c>
      <c r="AK27" s="38"/>
      <c r="AL27" s="38"/>
      <c r="AM27" s="39"/>
      <c r="AN27" s="114" t="str">
        <f>CONCATENATE("&gt;",TEXT(E11*1.2,"0"))</f>
        <v>&gt;0</v>
      </c>
      <c r="AO27" s="38"/>
      <c r="AP27" s="38"/>
      <c r="AQ27" s="39"/>
    </row>
    <row r="28" spans="1:43" ht="15.75" customHeight="1">
      <c r="A28" s="3"/>
      <c r="B28" s="15">
        <v>0.1</v>
      </c>
      <c r="C28" s="16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AE28" s="121" t="s">
        <v>75</v>
      </c>
      <c r="AF28" s="38"/>
      <c r="AG28" s="38"/>
      <c r="AH28" s="38"/>
      <c r="AI28" s="39"/>
      <c r="AJ28" s="114"/>
      <c r="AK28" s="38"/>
      <c r="AL28" s="38"/>
      <c r="AM28" s="39"/>
      <c r="AN28" s="114" t="s">
        <v>76</v>
      </c>
      <c r="AO28" s="38"/>
      <c r="AP28" s="38"/>
      <c r="AQ28" s="39"/>
    </row>
    <row r="29" spans="1:43" ht="15.75" customHeight="1">
      <c r="A29" s="3"/>
      <c r="B29" s="15">
        <v>0.2</v>
      </c>
      <c r="C29" s="16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AE29" s="121" t="s">
        <v>77</v>
      </c>
      <c r="AF29" s="38"/>
      <c r="AG29" s="38"/>
      <c r="AH29" s="38"/>
      <c r="AI29" s="39"/>
      <c r="AJ29" s="114"/>
      <c r="AK29" s="38"/>
      <c r="AL29" s="38"/>
      <c r="AM29" s="39"/>
      <c r="AN29" s="114" t="s">
        <v>78</v>
      </c>
      <c r="AO29" s="38"/>
      <c r="AP29" s="38"/>
      <c r="AQ29" s="39"/>
    </row>
    <row r="30" spans="1:43" ht="15.75" customHeight="1">
      <c r="A30" s="3"/>
      <c r="B30" s="15">
        <v>0.3</v>
      </c>
      <c r="C30" s="16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AE30" s="121"/>
      <c r="AF30" s="38"/>
      <c r="AG30" s="38"/>
      <c r="AH30" s="38"/>
      <c r="AI30" s="39"/>
      <c r="AJ30" s="114"/>
      <c r="AK30" s="38"/>
      <c r="AL30" s="38"/>
      <c r="AM30" s="39"/>
      <c r="AN30" s="114"/>
      <c r="AO30" s="38"/>
      <c r="AP30" s="38"/>
      <c r="AQ30" s="39"/>
    </row>
    <row r="31" spans="1:43" ht="15.75" customHeight="1">
      <c r="A31" s="3"/>
      <c r="B31" s="15">
        <v>0.4</v>
      </c>
      <c r="C31" s="16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AE31" s="129" t="s">
        <v>79</v>
      </c>
      <c r="AF31" s="130"/>
      <c r="AG31" s="130"/>
      <c r="AH31" s="130"/>
      <c r="AI31" s="131"/>
      <c r="AJ31" s="114"/>
      <c r="AK31" s="38"/>
      <c r="AL31" s="38"/>
      <c r="AM31" s="39"/>
      <c r="AN31" s="114"/>
      <c r="AO31" s="38"/>
      <c r="AP31" s="38"/>
      <c r="AQ31" s="39"/>
    </row>
    <row r="32" spans="1:43" ht="15.75" customHeight="1">
      <c r="A32" s="3"/>
      <c r="B32" s="15">
        <v>0.5</v>
      </c>
      <c r="C32" s="16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1:39" ht="15.75" customHeight="1">
      <c r="A33" s="3"/>
      <c r="B33" s="15">
        <v>0.6</v>
      </c>
      <c r="C33" s="16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AE33" s="132" t="s">
        <v>80</v>
      </c>
      <c r="AF33" s="58"/>
      <c r="AG33" s="58"/>
      <c r="AH33" s="58"/>
      <c r="AI33" s="58"/>
      <c r="AJ33" s="58"/>
      <c r="AK33" s="58"/>
      <c r="AL33" s="58"/>
      <c r="AM33" s="59"/>
    </row>
    <row r="34" spans="1:39" ht="15.75" customHeight="1">
      <c r="A34" s="3"/>
      <c r="B34" s="15">
        <v>0.7</v>
      </c>
      <c r="C34" s="16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AE34" s="60"/>
      <c r="AF34" s="44"/>
      <c r="AG34" s="44"/>
      <c r="AH34" s="44"/>
      <c r="AI34" s="44"/>
      <c r="AJ34" s="44"/>
      <c r="AK34" s="44"/>
      <c r="AL34" s="44"/>
      <c r="AM34" s="61"/>
    </row>
    <row r="35" spans="1:39" ht="15.75" customHeight="1">
      <c r="A35" s="3"/>
      <c r="B35" s="15">
        <v>0.8</v>
      </c>
      <c r="C35" s="16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AE35" s="60"/>
      <c r="AF35" s="44"/>
      <c r="AG35" s="44"/>
      <c r="AH35" s="44"/>
      <c r="AI35" s="44"/>
      <c r="AJ35" s="44"/>
      <c r="AK35" s="44"/>
      <c r="AL35" s="44"/>
      <c r="AM35" s="61"/>
    </row>
    <row r="36" spans="1:39" ht="15.75" customHeight="1">
      <c r="A36" s="3"/>
      <c r="B36" s="15">
        <v>0.9</v>
      </c>
      <c r="C36" s="16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AE36" s="60"/>
      <c r="AF36" s="44"/>
      <c r="AG36" s="44"/>
      <c r="AH36" s="44"/>
      <c r="AI36" s="44"/>
      <c r="AJ36" s="44"/>
      <c r="AK36" s="44"/>
      <c r="AL36" s="44"/>
      <c r="AM36" s="61"/>
    </row>
    <row r="37" spans="1:39" ht="15.75" customHeight="1">
      <c r="A37" s="3"/>
      <c r="B37" s="15">
        <v>1</v>
      </c>
      <c r="C37" s="16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AE37" s="62"/>
      <c r="AF37" s="63"/>
      <c r="AG37" s="63"/>
      <c r="AH37" s="63"/>
      <c r="AI37" s="63"/>
      <c r="AJ37" s="63"/>
      <c r="AK37" s="63"/>
      <c r="AL37" s="63"/>
      <c r="AM37" s="64"/>
    </row>
    <row r="38" spans="1:39" ht="15.75" customHeight="1">
      <c r="A38" s="3"/>
      <c r="B38" s="15">
        <v>1.1000000000000001</v>
      </c>
      <c r="C38" s="16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1:39" ht="15.75" customHeight="1">
      <c r="A39" s="3"/>
      <c r="B39" s="15">
        <v>1.2</v>
      </c>
      <c r="C39" s="16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  <row r="40" spans="1:39" ht="15.75" customHeight="1">
      <c r="A40" s="3"/>
      <c r="B40" s="15">
        <v>1.3</v>
      </c>
      <c r="C40" s="16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</row>
    <row r="41" spans="1:39" ht="15.75" customHeight="1">
      <c r="A41" s="3"/>
      <c r="B41" s="15">
        <v>1.4</v>
      </c>
      <c r="C41" s="16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1:39" ht="15.75" customHeight="1">
      <c r="A42" s="3"/>
      <c r="B42" s="15">
        <v>1.5</v>
      </c>
      <c r="C42" s="16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</row>
    <row r="43" spans="1:39" ht="15.75" customHeight="1">
      <c r="A43" s="3"/>
      <c r="B43" s="15"/>
      <c r="C43" s="16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</row>
    <row r="44" spans="1:39" ht="15.75" customHeight="1">
      <c r="A44" s="3"/>
      <c r="B44" s="15"/>
      <c r="C44" s="16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</row>
    <row r="45" spans="1:39" ht="15.75" customHeight="1">
      <c r="A45" s="3"/>
      <c r="B45" s="15"/>
      <c r="C45" s="16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</row>
    <row r="46" spans="1:39" ht="15.75" customHeight="1">
      <c r="A46" s="3"/>
      <c r="B46" s="15"/>
      <c r="C46" s="16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39" ht="15.75" customHeight="1">
      <c r="A47" s="3"/>
      <c r="B47" s="15"/>
      <c r="C47" s="16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39" ht="15.75" customHeight="1">
      <c r="A48" s="3"/>
      <c r="B48" s="15"/>
      <c r="C48" s="16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1:31" ht="15.75" customHeight="1">
      <c r="A49" s="3"/>
      <c r="B49" s="15"/>
      <c r="C49" s="16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1:31" ht="15.75" customHeight="1">
      <c r="A50" s="3"/>
      <c r="B50" s="15"/>
      <c r="C50" s="16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31" ht="15.75" customHeight="1">
      <c r="A51" s="3"/>
      <c r="B51" s="15"/>
      <c r="C51" s="16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</row>
    <row r="52" spans="1:31" ht="15.75" customHeight="1">
      <c r="A52" s="3"/>
      <c r="B52" s="15"/>
      <c r="C52" s="16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1:31" ht="15.75" customHeight="1">
      <c r="A53" s="3"/>
      <c r="B53" s="15"/>
      <c r="C53" s="16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1:31" ht="15.75" customHeight="1">
      <c r="A54" s="3"/>
      <c r="B54" s="17"/>
      <c r="C54" s="18"/>
      <c r="D54" s="18"/>
      <c r="E54" s="18"/>
      <c r="F54" s="18"/>
      <c r="G54" s="17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</row>
    <row r="55" spans="1:31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</row>
    <row r="56" spans="1:31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</row>
    <row r="57" spans="1:31" ht="20.25" customHeight="1">
      <c r="A57" s="92" t="s">
        <v>30</v>
      </c>
      <c r="B57" s="93"/>
      <c r="C57" s="93"/>
      <c r="D57" s="93"/>
      <c r="E57" s="94"/>
      <c r="F57" s="5"/>
      <c r="G57" s="6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3"/>
      <c r="Z57" s="3"/>
      <c r="AA57" s="3"/>
      <c r="AB57" s="3"/>
      <c r="AC57" s="3"/>
      <c r="AD57" s="3"/>
    </row>
    <row r="58" spans="1:31" ht="20.25" customHeight="1">
      <c r="A58" s="3"/>
      <c r="B58" s="3"/>
      <c r="C58" s="3"/>
      <c r="D58" s="3"/>
      <c r="E58" s="3"/>
      <c r="F58" s="3"/>
      <c r="G58" s="19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</row>
    <row r="59" spans="1:31" ht="20.25" customHeight="1">
      <c r="A59" s="95" t="s">
        <v>81</v>
      </c>
      <c r="B59" s="38"/>
      <c r="C59" s="39"/>
      <c r="D59" s="20" t="s">
        <v>82</v>
      </c>
      <c r="E59" s="20" t="s">
        <v>83</v>
      </c>
      <c r="F59" s="20" t="s">
        <v>84</v>
      </c>
      <c r="G59" s="21" t="s">
        <v>85</v>
      </c>
      <c r="H59" s="20" t="s">
        <v>86</v>
      </c>
      <c r="I59" s="20" t="s">
        <v>87</v>
      </c>
      <c r="J59" s="20" t="s">
        <v>88</v>
      </c>
      <c r="K59" s="20" t="s">
        <v>89</v>
      </c>
      <c r="L59" s="20" t="s">
        <v>90</v>
      </c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</row>
    <row r="60" spans="1:31" ht="20.25" customHeight="1">
      <c r="A60" s="95" t="s">
        <v>84</v>
      </c>
      <c r="B60" s="38"/>
      <c r="C60" s="39"/>
      <c r="D60" s="22"/>
      <c r="E60" s="22"/>
      <c r="F60" s="22"/>
      <c r="G60" s="23">
        <f t="shared" ref="G60:G62" si="8">E$8</f>
        <v>0</v>
      </c>
      <c r="H60" s="24">
        <f t="shared" ref="H60:H62" si="9">E$7</f>
        <v>0</v>
      </c>
      <c r="I60" s="20">
        <f t="shared" ref="I60:I62" si="10">F60-G60</f>
        <v>0</v>
      </c>
      <c r="J60" s="20">
        <f t="shared" ref="J60:J62" si="11">H60-D60</f>
        <v>0</v>
      </c>
      <c r="K60" s="25" t="e">
        <f t="shared" ref="K60:L62" si="12">I60/DUT_VOUT*100</f>
        <v>#DIV/0!</v>
      </c>
      <c r="L60" s="25" t="e">
        <f t="shared" si="12"/>
        <v>#DIV/0!</v>
      </c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ht="20.25" customHeight="1">
      <c r="A61" s="95" t="s">
        <v>91</v>
      </c>
      <c r="B61" s="38"/>
      <c r="C61" s="39"/>
      <c r="D61" s="22"/>
      <c r="E61" s="22"/>
      <c r="F61" s="22"/>
      <c r="G61" s="23">
        <f t="shared" si="8"/>
        <v>0</v>
      </c>
      <c r="H61" s="24">
        <f t="shared" si="9"/>
        <v>0</v>
      </c>
      <c r="I61" s="20">
        <f t="shared" si="10"/>
        <v>0</v>
      </c>
      <c r="J61" s="20">
        <f t="shared" si="11"/>
        <v>0</v>
      </c>
      <c r="K61" s="25" t="e">
        <f t="shared" si="12"/>
        <v>#DIV/0!</v>
      </c>
      <c r="L61" s="25" t="e">
        <f t="shared" si="12"/>
        <v>#DIV/0!</v>
      </c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ht="20.25" customHeight="1">
      <c r="A62" s="95" t="s">
        <v>82</v>
      </c>
      <c r="B62" s="38"/>
      <c r="C62" s="39"/>
      <c r="D62" s="22"/>
      <c r="E62" s="22"/>
      <c r="F62" s="22"/>
      <c r="G62" s="23">
        <f t="shared" si="8"/>
        <v>0</v>
      </c>
      <c r="H62" s="24">
        <f t="shared" si="9"/>
        <v>0</v>
      </c>
      <c r="I62" s="20">
        <f t="shared" si="10"/>
        <v>0</v>
      </c>
      <c r="J62" s="20">
        <f t="shared" si="11"/>
        <v>0</v>
      </c>
      <c r="K62" s="25" t="e">
        <f t="shared" si="12"/>
        <v>#DIV/0!</v>
      </c>
      <c r="L62" s="25" t="e">
        <f t="shared" si="12"/>
        <v>#DIV/0!</v>
      </c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ht="20.25" customHeight="1">
      <c r="A63" s="3"/>
      <c r="B63" s="3"/>
      <c r="C63" s="3"/>
      <c r="D63" s="3"/>
      <c r="E63" s="3"/>
      <c r="F63" s="3"/>
      <c r="G63" s="19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ht="20.25" customHeight="1">
      <c r="A64" s="3"/>
      <c r="B64" s="3"/>
      <c r="C64" s="3"/>
      <c r="D64" s="3"/>
      <c r="E64" s="3"/>
      <c r="F64" s="3"/>
      <c r="G64" s="19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</row>
    <row r="65" spans="1:43" ht="20.25" customHeight="1">
      <c r="A65" s="3"/>
      <c r="B65" s="3"/>
      <c r="C65" s="3"/>
      <c r="D65" s="3"/>
      <c r="E65" s="3"/>
      <c r="F65" s="3"/>
      <c r="G65" s="19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</row>
    <row r="66" spans="1:43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</row>
    <row r="67" spans="1:43" ht="15.75" customHeight="1">
      <c r="A67" s="87" t="s">
        <v>92</v>
      </c>
      <c r="B67" s="88"/>
      <c r="C67" s="89"/>
      <c r="D67" s="3"/>
      <c r="E67" s="3"/>
      <c r="F67" s="3"/>
      <c r="G67" s="3"/>
      <c r="H67" s="3"/>
      <c r="I67" s="3"/>
      <c r="K67" s="26"/>
      <c r="L67" s="26"/>
      <c r="M67" s="3"/>
      <c r="N67" s="87" t="s">
        <v>93</v>
      </c>
      <c r="O67" s="88"/>
      <c r="P67" s="89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87" t="s">
        <v>94</v>
      </c>
      <c r="AF67" s="88"/>
      <c r="AG67" s="89"/>
    </row>
    <row r="68" spans="1:43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</row>
    <row r="69" spans="1:43" ht="15.75" customHeight="1">
      <c r="A69" s="90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3"/>
      <c r="N69" s="90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3"/>
      <c r="AE69" s="90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</row>
    <row r="70" spans="1:43" ht="15.75" customHeight="1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3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3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</row>
    <row r="71" spans="1:43" ht="15.75" customHeight="1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3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3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</row>
    <row r="72" spans="1:43" ht="15.75" customHeight="1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3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3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</row>
    <row r="73" spans="1:43" ht="15.75" customHeight="1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3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3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</row>
    <row r="74" spans="1:43" ht="15.75" customHeight="1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3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3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</row>
    <row r="75" spans="1:43" ht="15.75" customHeight="1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3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3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</row>
    <row r="76" spans="1:43" ht="15.75" customHeight="1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3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3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</row>
    <row r="77" spans="1:43" ht="15.75" customHeight="1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3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3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</row>
    <row r="78" spans="1:43" ht="15.75" customHeight="1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3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3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</row>
    <row r="79" spans="1:43" ht="15.75" customHeight="1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3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3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</row>
    <row r="80" spans="1:43" ht="15.75" customHeight="1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3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3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</row>
    <row r="81" spans="1:43" ht="15.75" customHeight="1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3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3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</row>
    <row r="82" spans="1:43" ht="15.75" customHeight="1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3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3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</row>
    <row r="83" spans="1:43" ht="15.75" customHeight="1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3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3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</row>
    <row r="84" spans="1:43" ht="15.75" customHeight="1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3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3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</row>
    <row r="85" spans="1:43" ht="15.75" customHeight="1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3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3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</row>
    <row r="86" spans="1:43" ht="15.75" customHeight="1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3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3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</row>
    <row r="87" spans="1:43" ht="15.75" customHeight="1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3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3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</row>
    <row r="88" spans="1:43" ht="15.75" customHeight="1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3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3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</row>
    <row r="89" spans="1:43" ht="15.75" customHeight="1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3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3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</row>
    <row r="90" spans="1:43" ht="15.75" customHeight="1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3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3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</row>
    <row r="91" spans="1:43" ht="15.75" customHeight="1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3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3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</row>
    <row r="92" spans="1:43" ht="15.75" customHeight="1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3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3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</row>
    <row r="93" spans="1:43" ht="15.75" customHeight="1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3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3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</row>
    <row r="94" spans="1:43" ht="15.75" customHeight="1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3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3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</row>
    <row r="95" spans="1:43" ht="15.75" customHeight="1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3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3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</row>
    <row r="96" spans="1:43" ht="15.75" customHeight="1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3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3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</row>
    <row r="97" spans="1:43" ht="15.75" customHeight="1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3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3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ht="15.75" customHeight="1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3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3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ht="15.75" customHeight="1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3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3"/>
    </row>
    <row r="100" spans="1:43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</row>
    <row r="101" spans="1:43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</row>
    <row r="102" spans="1:43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</row>
    <row r="103" spans="1:4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</row>
    <row r="104" spans="1:43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</row>
    <row r="105" spans="1:43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</row>
    <row r="106" spans="1:43" ht="20.25" customHeight="1">
      <c r="A106" s="92" t="s">
        <v>34</v>
      </c>
      <c r="B106" s="93"/>
      <c r="C106" s="93"/>
      <c r="D106" s="93"/>
      <c r="E106" s="94"/>
      <c r="F106" s="5"/>
      <c r="G106" s="6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3"/>
      <c r="Z106" s="3"/>
      <c r="AA106" s="3"/>
      <c r="AB106" s="3"/>
      <c r="AC106" s="3"/>
      <c r="AD106" s="3"/>
      <c r="AE106" s="3"/>
    </row>
    <row r="107" spans="1:43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</row>
    <row r="108" spans="1:43" ht="15.75" customHeight="1">
      <c r="A108" s="96" t="s">
        <v>95</v>
      </c>
      <c r="B108" s="88"/>
      <c r="C108" s="88"/>
      <c r="D108" s="88"/>
      <c r="E108" s="89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</row>
    <row r="109" spans="1:43" ht="15.75" customHeight="1">
      <c r="A109" s="97" t="s">
        <v>96</v>
      </c>
      <c r="B109" s="88"/>
      <c r="C109" s="88"/>
      <c r="D109" s="88"/>
      <c r="E109" s="89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</row>
    <row r="110" spans="1:43" ht="15.75" customHeight="1">
      <c r="A110" s="19"/>
      <c r="B110" s="19"/>
      <c r="C110" s="19"/>
      <c r="D110" s="19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</row>
    <row r="111" spans="1:43" ht="15.75" customHeight="1">
      <c r="A111" s="95" t="s">
        <v>81</v>
      </c>
      <c r="B111" s="38"/>
      <c r="C111" s="39"/>
      <c r="D111" s="20" t="s">
        <v>82</v>
      </c>
      <c r="E111" s="20" t="s">
        <v>83</v>
      </c>
      <c r="F111" s="20" t="s">
        <v>84</v>
      </c>
      <c r="G111" s="21" t="s">
        <v>85</v>
      </c>
      <c r="H111" s="20" t="s">
        <v>86</v>
      </c>
      <c r="I111" s="20" t="s">
        <v>87</v>
      </c>
      <c r="J111" s="20" t="s">
        <v>88</v>
      </c>
      <c r="K111" s="20" t="s">
        <v>89</v>
      </c>
      <c r="L111" s="20" t="s">
        <v>90</v>
      </c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</row>
    <row r="112" spans="1:43" ht="15.75" customHeight="1">
      <c r="A112" s="95" t="s">
        <v>97</v>
      </c>
      <c r="B112" s="38"/>
      <c r="C112" s="39"/>
      <c r="D112" s="22"/>
      <c r="E112" s="22"/>
      <c r="F112" s="22"/>
      <c r="G112" s="23">
        <f t="shared" ref="G112:G114" si="13">E$8</f>
        <v>0</v>
      </c>
      <c r="H112" s="24">
        <f t="shared" ref="H112:H114" si="14">E$7</f>
        <v>0</v>
      </c>
      <c r="I112" s="20">
        <f t="shared" ref="I112:I114" si="15">F112-G112</f>
        <v>0</v>
      </c>
      <c r="J112" s="20">
        <f t="shared" ref="J112:J114" si="16">H112-D112</f>
        <v>0</v>
      </c>
      <c r="K112" s="25" t="e">
        <f t="shared" ref="K112:L114" si="17">I112/DUT_VOUT*100</f>
        <v>#DIV/0!</v>
      </c>
      <c r="L112" s="25" t="e">
        <f t="shared" si="17"/>
        <v>#DIV/0!</v>
      </c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</row>
    <row r="113" spans="1:68" ht="15.75" customHeight="1">
      <c r="A113" s="95" t="s">
        <v>98</v>
      </c>
      <c r="B113" s="38"/>
      <c r="C113" s="39"/>
      <c r="D113" s="22"/>
      <c r="E113" s="22"/>
      <c r="F113" s="22"/>
      <c r="G113" s="23">
        <f t="shared" si="13"/>
        <v>0</v>
      </c>
      <c r="H113" s="24">
        <f t="shared" si="14"/>
        <v>0</v>
      </c>
      <c r="I113" s="20">
        <f t="shared" si="15"/>
        <v>0</v>
      </c>
      <c r="J113" s="20">
        <f t="shared" si="16"/>
        <v>0</v>
      </c>
      <c r="K113" s="25" t="e">
        <f t="shared" si="17"/>
        <v>#DIV/0!</v>
      </c>
      <c r="L113" s="25" t="e">
        <f t="shared" si="17"/>
        <v>#DIV/0!</v>
      </c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</row>
    <row r="114" spans="1:68" ht="15.75" customHeight="1">
      <c r="A114" s="95" t="s">
        <v>99</v>
      </c>
      <c r="B114" s="38"/>
      <c r="C114" s="39"/>
      <c r="D114" s="22"/>
      <c r="E114" s="22"/>
      <c r="F114" s="22"/>
      <c r="G114" s="23">
        <f t="shared" si="13"/>
        <v>0</v>
      </c>
      <c r="H114" s="24">
        <f t="shared" si="14"/>
        <v>0</v>
      </c>
      <c r="I114" s="20">
        <f t="shared" si="15"/>
        <v>0</v>
      </c>
      <c r="J114" s="20">
        <f t="shared" si="16"/>
        <v>0</v>
      </c>
      <c r="K114" s="25" t="e">
        <f t="shared" si="17"/>
        <v>#DIV/0!</v>
      </c>
      <c r="L114" s="25" t="e">
        <f t="shared" si="17"/>
        <v>#DIV/0!</v>
      </c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</row>
    <row r="115" spans="1:68" ht="15.75" customHeight="1">
      <c r="A115" s="28"/>
      <c r="B115" s="28"/>
      <c r="C115" s="28"/>
      <c r="D115" s="28"/>
      <c r="E115" s="29"/>
      <c r="F115" s="29"/>
      <c r="G115" s="29"/>
      <c r="H115" s="29"/>
      <c r="I115" s="29"/>
      <c r="J115" s="29"/>
      <c r="K115" s="25"/>
      <c r="L115" s="2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</row>
    <row r="116" spans="1:68" ht="15.75" customHeight="1">
      <c r="A116" s="95" t="s">
        <v>100</v>
      </c>
      <c r="B116" s="38"/>
      <c r="C116" s="39"/>
      <c r="D116" s="22"/>
      <c r="E116" s="22"/>
      <c r="F116" s="22"/>
      <c r="G116" s="23">
        <f t="shared" ref="G116:G118" si="18">E$8</f>
        <v>0</v>
      </c>
      <c r="H116" s="24">
        <f t="shared" ref="H116:H118" si="19">E$7</f>
        <v>0</v>
      </c>
      <c r="I116" s="20">
        <f t="shared" ref="I116:I118" si="20">F116-G116</f>
        <v>0</v>
      </c>
      <c r="J116" s="20">
        <f t="shared" ref="J116:J118" si="21">H116-D116</f>
        <v>0</v>
      </c>
      <c r="K116" s="25" t="e">
        <f t="shared" ref="K116:L118" si="22">I116/DUT_VOUT*100</f>
        <v>#DIV/0!</v>
      </c>
      <c r="L116" s="25" t="e">
        <f t="shared" si="22"/>
        <v>#DIV/0!</v>
      </c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</row>
    <row r="117" spans="1:68" ht="15.75" customHeight="1">
      <c r="A117" s="95" t="s">
        <v>101</v>
      </c>
      <c r="B117" s="38"/>
      <c r="C117" s="39"/>
      <c r="D117" s="22"/>
      <c r="E117" s="22"/>
      <c r="F117" s="22"/>
      <c r="G117" s="23">
        <f t="shared" si="18"/>
        <v>0</v>
      </c>
      <c r="H117" s="24">
        <f t="shared" si="19"/>
        <v>0</v>
      </c>
      <c r="I117" s="20">
        <f t="shared" si="20"/>
        <v>0</v>
      </c>
      <c r="J117" s="20">
        <f t="shared" si="21"/>
        <v>0</v>
      </c>
      <c r="K117" s="25" t="e">
        <f t="shared" si="22"/>
        <v>#DIV/0!</v>
      </c>
      <c r="L117" s="25" t="e">
        <f t="shared" si="22"/>
        <v>#DIV/0!</v>
      </c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</row>
    <row r="118" spans="1:68" ht="15.75" customHeight="1">
      <c r="A118" s="95" t="s">
        <v>102</v>
      </c>
      <c r="B118" s="38"/>
      <c r="C118" s="39"/>
      <c r="D118" s="22"/>
      <c r="E118" s="22"/>
      <c r="F118" s="22"/>
      <c r="G118" s="23">
        <f t="shared" si="18"/>
        <v>0</v>
      </c>
      <c r="H118" s="24">
        <f t="shared" si="19"/>
        <v>0</v>
      </c>
      <c r="I118" s="20">
        <f t="shared" si="20"/>
        <v>0</v>
      </c>
      <c r="J118" s="20">
        <f t="shared" si="21"/>
        <v>0</v>
      </c>
      <c r="K118" s="25" t="e">
        <f t="shared" si="22"/>
        <v>#DIV/0!</v>
      </c>
      <c r="L118" s="25" t="e">
        <f t="shared" si="22"/>
        <v>#DIV/0!</v>
      </c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</row>
    <row r="119" spans="1:68" ht="15.75" customHeight="1">
      <c r="A119" s="19"/>
      <c r="B119" s="19"/>
      <c r="C119" s="19"/>
      <c r="D119" s="19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</row>
    <row r="120" spans="1:68" ht="15.75" customHeight="1">
      <c r="A120" s="19"/>
      <c r="B120" s="19"/>
      <c r="C120" s="19"/>
      <c r="D120" s="19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</row>
    <row r="121" spans="1:68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</row>
    <row r="122" spans="1:68" ht="15.75" customHeight="1">
      <c r="A122" s="109"/>
      <c r="B122" s="44"/>
      <c r="C122" s="44"/>
      <c r="D122" s="44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</row>
    <row r="123" spans="1:68" ht="15.75" customHeight="1">
      <c r="A123" s="91" t="s">
        <v>103</v>
      </c>
      <c r="B123" s="88"/>
      <c r="C123" s="89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</row>
    <row r="124" spans="1:68" ht="15.75" customHeight="1">
      <c r="A124" s="87" t="s">
        <v>104</v>
      </c>
      <c r="B124" s="88"/>
      <c r="C124" s="89"/>
      <c r="D124" s="3"/>
      <c r="E124" s="3"/>
      <c r="F124" s="3"/>
      <c r="G124" s="3"/>
      <c r="H124" s="3"/>
      <c r="I124" s="3"/>
      <c r="K124" s="26"/>
      <c r="L124" s="26"/>
      <c r="M124" s="3"/>
      <c r="O124" s="87" t="s">
        <v>105</v>
      </c>
      <c r="P124" s="88"/>
      <c r="Q124" s="89"/>
      <c r="T124" s="26"/>
      <c r="U124" s="26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G124" s="87" t="s">
        <v>106</v>
      </c>
      <c r="AH124" s="88"/>
      <c r="AI124" s="89"/>
    </row>
    <row r="125" spans="1:68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</row>
    <row r="126" spans="1:68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</row>
    <row r="127" spans="1:68" ht="15.75" customHeight="1">
      <c r="A127" s="90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3"/>
      <c r="N127" s="3"/>
      <c r="O127" s="90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3"/>
      <c r="AF127" s="3"/>
      <c r="AG127" s="90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</row>
    <row r="128" spans="1:68" ht="15.75" customHeight="1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3"/>
      <c r="N128" s="3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3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</row>
    <row r="129" spans="1:45" ht="15.75" customHeight="1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3"/>
      <c r="N129" s="3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3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</row>
    <row r="130" spans="1:45" ht="15.75" customHeight="1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3"/>
      <c r="N130" s="3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</row>
    <row r="131" spans="1:45" ht="15.75" customHeight="1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3"/>
      <c r="N131" s="3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3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</row>
    <row r="132" spans="1:45" ht="15.75" customHeight="1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3"/>
      <c r="N132" s="3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3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</row>
    <row r="133" spans="1:45" ht="15.75" customHeight="1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3"/>
      <c r="N133" s="3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3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</row>
    <row r="134" spans="1:45" ht="15.75" customHeight="1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3"/>
      <c r="N134" s="3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3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</row>
    <row r="135" spans="1:45" ht="15.75" customHeight="1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3"/>
      <c r="N135" s="3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3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</row>
    <row r="136" spans="1:45" ht="15.75" customHeight="1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3"/>
      <c r="N136" s="3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3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</row>
    <row r="137" spans="1:45" ht="15.75" customHeight="1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3"/>
      <c r="N137" s="3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3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</row>
    <row r="138" spans="1:45" ht="15.75" customHeight="1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3"/>
      <c r="N138" s="3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3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</row>
    <row r="139" spans="1:45" ht="15.75" customHeight="1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3"/>
      <c r="N139" s="3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3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</row>
    <row r="140" spans="1:45" ht="15.75" customHeight="1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3"/>
      <c r="N140" s="3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3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</row>
    <row r="141" spans="1:45" ht="15.75" customHeight="1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3"/>
      <c r="N141" s="3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3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</row>
    <row r="142" spans="1:45" ht="15.75" customHeight="1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3"/>
      <c r="N142" s="3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3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</row>
    <row r="143" spans="1:45" ht="15.75" customHeight="1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3"/>
      <c r="N143" s="3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3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</row>
    <row r="144" spans="1:45" ht="15.75" customHeight="1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3"/>
      <c r="N144" s="3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3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</row>
    <row r="145" spans="1:45" ht="15.75" customHeight="1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3"/>
      <c r="N145" s="3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3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</row>
    <row r="146" spans="1:45" ht="15.75" customHeight="1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3"/>
      <c r="N146" s="3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3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</row>
    <row r="147" spans="1:45" ht="15.75" customHeight="1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3"/>
      <c r="N147" s="3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3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</row>
    <row r="148" spans="1:45" ht="15.75" customHeight="1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3"/>
      <c r="N148" s="3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3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</row>
    <row r="149" spans="1:45" ht="15.75" customHeight="1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3"/>
      <c r="N149" s="3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3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</row>
    <row r="150" spans="1:45" ht="15.75" customHeight="1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3"/>
      <c r="N150" s="3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3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</row>
    <row r="151" spans="1:45" ht="15.75" customHeight="1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3"/>
      <c r="N151" s="3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3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</row>
    <row r="152" spans="1:45" ht="15.75" customHeight="1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3"/>
      <c r="N152" s="3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3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</row>
    <row r="153" spans="1:45" ht="15.75" customHeight="1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3"/>
      <c r="N153" s="3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3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</row>
    <row r="154" spans="1:45" ht="15.75" customHeight="1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3"/>
      <c r="N154" s="3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3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</row>
    <row r="155" spans="1:45" ht="15.75" customHeight="1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  <c r="M155" s="3"/>
      <c r="N155" s="3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3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</row>
    <row r="156" spans="1:45" ht="15.75" customHeight="1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3"/>
      <c r="N156" s="3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3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</row>
    <row r="157" spans="1:45" ht="15.75" customHeight="1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3"/>
      <c r="N157" s="3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3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</row>
    <row r="158" spans="1:45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</row>
    <row r="159" spans="1:45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</row>
    <row r="160" spans="1:45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</row>
    <row r="161" spans="1:45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</row>
    <row r="162" spans="1:45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</row>
    <row r="163" spans="1:45" ht="15.75" customHeight="1">
      <c r="A163" s="91" t="s">
        <v>107</v>
      </c>
      <c r="B163" s="88"/>
      <c r="C163" s="89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</row>
    <row r="164" spans="1:45" ht="15.75" customHeight="1">
      <c r="D164" s="3"/>
      <c r="E164" s="3"/>
      <c r="F164" s="3"/>
      <c r="G164" s="3"/>
      <c r="H164" s="3"/>
      <c r="I164" s="3"/>
      <c r="K164" s="26"/>
      <c r="L164" s="26"/>
      <c r="M164" s="3"/>
      <c r="O164" s="3"/>
      <c r="P164" s="3"/>
      <c r="T164" s="26"/>
      <c r="U164" s="26"/>
      <c r="V164" s="3"/>
      <c r="W164" s="3"/>
      <c r="X164" s="3"/>
      <c r="Y164" s="3"/>
      <c r="Z164" s="3"/>
      <c r="AA164" s="3"/>
      <c r="AB164" s="3"/>
      <c r="AC164" s="3"/>
      <c r="AD164" s="3"/>
      <c r="AE164" s="3"/>
    </row>
    <row r="165" spans="1:45" ht="15.75" customHeight="1">
      <c r="A165" s="87" t="s">
        <v>104</v>
      </c>
      <c r="B165" s="88"/>
      <c r="C165" s="89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87" t="s">
        <v>105</v>
      </c>
      <c r="P165" s="88"/>
      <c r="Q165" s="89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G165" s="87" t="s">
        <v>106</v>
      </c>
      <c r="AH165" s="88"/>
      <c r="AI165" s="89"/>
    </row>
    <row r="166" spans="1:45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</row>
    <row r="167" spans="1:45" ht="15.75" customHeight="1">
      <c r="A167" s="90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3"/>
      <c r="N167" s="3"/>
      <c r="O167" s="90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3"/>
      <c r="AG167" s="90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</row>
    <row r="168" spans="1:45" ht="15.75" customHeight="1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3"/>
      <c r="N168" s="3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3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</row>
    <row r="169" spans="1:45" ht="15.75" customHeight="1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3"/>
      <c r="N169" s="3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3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</row>
    <row r="170" spans="1:45" ht="15.75" customHeight="1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3"/>
      <c r="N170" s="3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</row>
    <row r="171" spans="1:45" ht="15.75" customHeight="1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3"/>
      <c r="N171" s="3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3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</row>
    <row r="172" spans="1:45" ht="15.75" customHeight="1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3"/>
      <c r="N172" s="3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3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</row>
    <row r="173" spans="1:45" ht="15.75" customHeight="1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3"/>
      <c r="N173" s="3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3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</row>
    <row r="174" spans="1:45" ht="15.75" customHeight="1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3"/>
      <c r="N174" s="3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3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</row>
    <row r="175" spans="1:45" ht="15.75" customHeight="1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3"/>
      <c r="N175" s="3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3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</row>
    <row r="176" spans="1:45" ht="15.75" customHeight="1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3"/>
      <c r="N176" s="3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3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</row>
    <row r="177" spans="1:45" ht="15.75" customHeight="1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3"/>
      <c r="N177" s="3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3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</row>
    <row r="178" spans="1:45" ht="15.75" customHeight="1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3"/>
      <c r="N178" s="3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3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</row>
    <row r="179" spans="1:45" ht="15.75" customHeight="1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3"/>
      <c r="N179" s="3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3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</row>
    <row r="180" spans="1:45" ht="15.75" customHeight="1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3"/>
      <c r="N180" s="3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3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</row>
    <row r="181" spans="1:45" ht="15.75" customHeight="1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3"/>
      <c r="N181" s="3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3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</row>
    <row r="182" spans="1:45" ht="15.75" customHeight="1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3"/>
      <c r="N182" s="3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3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</row>
    <row r="183" spans="1:45" ht="15.75" customHeight="1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3"/>
      <c r="N183" s="3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3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</row>
    <row r="184" spans="1:45" ht="15.75" customHeight="1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3"/>
      <c r="N184" s="3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3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</row>
    <row r="185" spans="1:45" ht="15.75" customHeight="1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3"/>
      <c r="N185" s="3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3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</row>
    <row r="186" spans="1:45" ht="15.75" customHeight="1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3"/>
      <c r="N186" s="3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3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</row>
    <row r="187" spans="1:45" ht="15.75" customHeight="1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3"/>
      <c r="N187" s="3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3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</row>
    <row r="188" spans="1:45" ht="15.75" customHeight="1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3"/>
      <c r="N188" s="3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3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</row>
    <row r="189" spans="1:45" ht="15.75" customHeight="1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3"/>
      <c r="N189" s="3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3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</row>
    <row r="190" spans="1:45" ht="15.75" customHeight="1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3"/>
      <c r="N190" s="3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3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</row>
    <row r="191" spans="1:45" ht="15.75" customHeight="1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3"/>
      <c r="N191" s="3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3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</row>
    <row r="192" spans="1:45" ht="15.75" customHeight="1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3"/>
      <c r="N192" s="3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3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</row>
    <row r="193" spans="1:68" ht="15.75" customHeight="1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3"/>
      <c r="N193" s="3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3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</row>
    <row r="194" spans="1:68" ht="15.75" customHeight="1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3"/>
      <c r="N194" s="3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3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</row>
    <row r="195" spans="1:68" ht="15.75" customHeight="1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3"/>
      <c r="N195" s="3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3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</row>
    <row r="196" spans="1:68" ht="15.75" customHeight="1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3"/>
      <c r="N196" s="3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3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</row>
    <row r="197" spans="1:68" ht="15.75" customHeight="1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3"/>
      <c r="N197" s="3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3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</row>
    <row r="198" spans="1:6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</row>
    <row r="199" spans="1:68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</row>
    <row r="200" spans="1:68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</row>
    <row r="201" spans="1:68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</row>
    <row r="202" spans="1:68" ht="15.75" customHeight="1">
      <c r="A202" s="92" t="s">
        <v>108</v>
      </c>
      <c r="B202" s="93"/>
      <c r="C202" s="93"/>
      <c r="D202" s="93"/>
      <c r="E202" s="94"/>
      <c r="F202" s="5"/>
      <c r="G202" s="6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3"/>
      <c r="Z202" s="3"/>
      <c r="AA202" s="3"/>
      <c r="AB202" s="3"/>
      <c r="AC202" s="3"/>
      <c r="AD202" s="3"/>
      <c r="AE202" s="3"/>
      <c r="AG202" s="27"/>
      <c r="AH202" s="27"/>
      <c r="AI202" s="27"/>
      <c r="AJ202" s="27"/>
      <c r="AK202" s="27"/>
      <c r="AL202" s="27"/>
      <c r="AM202" s="27"/>
      <c r="AN202" s="27"/>
      <c r="AO202" s="27"/>
      <c r="AP202" s="27"/>
      <c r="AQ202" s="27"/>
    </row>
    <row r="203" spans="1:68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</row>
    <row r="204" spans="1:68" ht="15.75" customHeight="1">
      <c r="A204" s="91" t="s">
        <v>109</v>
      </c>
      <c r="B204" s="88"/>
      <c r="C204" s="89"/>
      <c r="D204" s="26"/>
      <c r="E204" s="26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</row>
    <row r="205" spans="1:68" ht="15.75" customHeight="1">
      <c r="A205" s="102" t="s">
        <v>110</v>
      </c>
      <c r="B205" s="88"/>
      <c r="C205" s="89"/>
      <c r="D205" s="26"/>
      <c r="E205" s="26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</row>
    <row r="206" spans="1:68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</row>
    <row r="207" spans="1:68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2"/>
      <c r="AA207" s="2"/>
      <c r="AB207" s="2"/>
      <c r="AC207" s="2"/>
      <c r="AD207" s="2"/>
      <c r="AE207" s="3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</row>
    <row r="208" spans="1:68" ht="15.75" customHeight="1">
      <c r="A208" s="95" t="s">
        <v>111</v>
      </c>
      <c r="B208" s="38"/>
      <c r="C208" s="39"/>
      <c r="D208" s="30" t="s">
        <v>82</v>
      </c>
      <c r="E208" s="30" t="s">
        <v>84</v>
      </c>
      <c r="F208" s="21" t="s">
        <v>85</v>
      </c>
      <c r="G208" s="20" t="s">
        <v>86</v>
      </c>
      <c r="H208" s="20" t="s">
        <v>87</v>
      </c>
      <c r="I208" s="20" t="s">
        <v>88</v>
      </c>
      <c r="J208" s="20" t="s">
        <v>89</v>
      </c>
      <c r="K208" s="20" t="s">
        <v>90</v>
      </c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E208" s="3"/>
    </row>
    <row r="209" spans="1:60" ht="15.75" customHeight="1">
      <c r="A209" s="95" t="s">
        <v>84</v>
      </c>
      <c r="B209" s="38"/>
      <c r="C209" s="39"/>
      <c r="D209" s="22"/>
      <c r="E209" s="22"/>
      <c r="F209" s="23">
        <f>DUT_VIN*0.95</f>
        <v>0</v>
      </c>
      <c r="G209" s="23">
        <f>DUT_VIN*1.05</f>
        <v>0</v>
      </c>
      <c r="H209" s="20">
        <f t="shared" ref="H209:H212" si="23">E209-F209</f>
        <v>0</v>
      </c>
      <c r="I209" s="20">
        <f t="shared" ref="I209:I212" si="24">G209-D209</f>
        <v>0</v>
      </c>
      <c r="J209" s="25" t="e">
        <f t="shared" ref="J209:K212" si="25">H209/DUT_VIN*100</f>
        <v>#DIV/0!</v>
      </c>
      <c r="K209" s="25" t="e">
        <f t="shared" si="25"/>
        <v>#DIV/0!</v>
      </c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E209" s="3"/>
    </row>
    <row r="210" spans="1:60" ht="15.75" customHeight="1">
      <c r="A210" s="95" t="s">
        <v>91</v>
      </c>
      <c r="B210" s="38"/>
      <c r="C210" s="39"/>
      <c r="D210" s="22"/>
      <c r="E210" s="22"/>
      <c r="F210" s="23">
        <f>DUT_VIN*0.95</f>
        <v>0</v>
      </c>
      <c r="G210" s="23">
        <f>DUT_VIN*1.05</f>
        <v>0</v>
      </c>
      <c r="H210" s="20">
        <f t="shared" si="23"/>
        <v>0</v>
      </c>
      <c r="I210" s="20">
        <f t="shared" si="24"/>
        <v>0</v>
      </c>
      <c r="J210" s="25" t="e">
        <f t="shared" si="25"/>
        <v>#DIV/0!</v>
      </c>
      <c r="K210" s="25" t="e">
        <f t="shared" si="25"/>
        <v>#DIV/0!</v>
      </c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E210" s="3"/>
    </row>
    <row r="211" spans="1:60" ht="15.75" customHeight="1">
      <c r="A211" s="95" t="s">
        <v>82</v>
      </c>
      <c r="B211" s="38"/>
      <c r="C211" s="39"/>
      <c r="D211" s="22"/>
      <c r="E211" s="22"/>
      <c r="F211" s="23">
        <f>DUT_VIN*0.95</f>
        <v>0</v>
      </c>
      <c r="G211" s="23">
        <f>DUT_VIN*1.05</f>
        <v>0</v>
      </c>
      <c r="H211" s="20">
        <f t="shared" si="23"/>
        <v>0</v>
      </c>
      <c r="I211" s="20">
        <f t="shared" si="24"/>
        <v>0</v>
      </c>
      <c r="J211" s="25" t="e">
        <f t="shared" si="25"/>
        <v>#DIV/0!</v>
      </c>
      <c r="K211" s="25" t="e">
        <f t="shared" si="25"/>
        <v>#DIV/0!</v>
      </c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E211" s="3"/>
    </row>
    <row r="212" spans="1:60" ht="15.75" customHeight="1">
      <c r="A212" s="95" t="s">
        <v>112</v>
      </c>
      <c r="B212" s="38"/>
      <c r="C212" s="39"/>
      <c r="D212" s="22"/>
      <c r="E212" s="22"/>
      <c r="F212" s="23">
        <f>DUT_VIN*0.95</f>
        <v>0</v>
      </c>
      <c r="G212" s="23">
        <f>DUT_VIN*1.05</f>
        <v>0</v>
      </c>
      <c r="H212" s="20">
        <f t="shared" si="23"/>
        <v>0</v>
      </c>
      <c r="I212" s="20">
        <f t="shared" si="24"/>
        <v>0</v>
      </c>
      <c r="J212" s="25" t="e">
        <f t="shared" si="25"/>
        <v>#DIV/0!</v>
      </c>
      <c r="K212" s="25" t="e">
        <f t="shared" si="25"/>
        <v>#DIV/0!</v>
      </c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</row>
    <row r="213" spans="1:60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</row>
    <row r="214" spans="1:60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</row>
    <row r="215" spans="1:60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</row>
    <row r="216" spans="1:60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</row>
    <row r="217" spans="1:60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</row>
    <row r="218" spans="1:60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</row>
    <row r="219" spans="1:60" ht="15.75" customHeight="1">
      <c r="A219" s="87" t="s">
        <v>92</v>
      </c>
      <c r="B219" s="88"/>
      <c r="C219" s="89"/>
      <c r="D219" s="3"/>
      <c r="E219" s="3"/>
      <c r="F219" s="3"/>
      <c r="G219" s="3"/>
      <c r="H219" s="3"/>
      <c r="I219" s="3"/>
      <c r="K219" s="26"/>
      <c r="L219" s="26"/>
      <c r="M219" s="3"/>
      <c r="O219" s="87" t="s">
        <v>93</v>
      </c>
      <c r="P219" s="88"/>
      <c r="Q219" s="89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G219" s="87" t="s">
        <v>94</v>
      </c>
      <c r="AH219" s="88"/>
      <c r="AI219" s="89"/>
      <c r="AR219" s="3"/>
      <c r="AS219" s="3"/>
      <c r="AT219" s="3"/>
      <c r="AU219" s="3"/>
      <c r="AV219" s="87" t="s">
        <v>113</v>
      </c>
      <c r="AW219" s="88"/>
      <c r="AX219" s="89"/>
    </row>
    <row r="220" spans="1:6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R220" s="3"/>
      <c r="AS220" s="3"/>
      <c r="AT220" s="3"/>
      <c r="AU220" s="3"/>
      <c r="AV220" s="3"/>
    </row>
    <row r="221" spans="1:60" ht="15.75" customHeight="1">
      <c r="A221" s="90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  <c r="M221" s="3"/>
      <c r="N221" s="3"/>
      <c r="O221" s="90"/>
      <c r="P221" s="44"/>
      <c r="Q221" s="44"/>
      <c r="R221" s="44"/>
      <c r="S221" s="44"/>
      <c r="T221" s="44"/>
      <c r="U221" s="44"/>
      <c r="V221" s="44"/>
      <c r="W221" s="44"/>
      <c r="X221" s="44"/>
      <c r="Y221" s="44"/>
      <c r="Z221" s="44"/>
      <c r="AA221" s="44"/>
      <c r="AB221" s="44"/>
      <c r="AC221" s="44"/>
      <c r="AD221" s="44"/>
      <c r="AE221" s="3"/>
      <c r="AG221" s="90"/>
      <c r="AH221" s="44"/>
      <c r="AI221" s="44"/>
      <c r="AJ221" s="44"/>
      <c r="AK221" s="44"/>
      <c r="AL221" s="44"/>
      <c r="AM221" s="44"/>
      <c r="AN221" s="44"/>
      <c r="AO221" s="44"/>
      <c r="AP221" s="44"/>
      <c r="AQ221" s="44"/>
      <c r="AR221" s="44"/>
      <c r="AS221" s="44"/>
      <c r="AT221" s="3"/>
      <c r="AU221" s="3"/>
      <c r="AV221" s="90"/>
      <c r="AW221" s="44"/>
      <c r="AX221" s="44"/>
      <c r="AY221" s="44"/>
      <c r="AZ221" s="44"/>
      <c r="BA221" s="44"/>
      <c r="BB221" s="44"/>
      <c r="BC221" s="44"/>
      <c r="BD221" s="44"/>
      <c r="BE221" s="44"/>
      <c r="BF221" s="44"/>
      <c r="BG221" s="44"/>
      <c r="BH221" s="44"/>
    </row>
    <row r="222" spans="1:60" ht="15.75" customHeight="1">
      <c r="A222" s="44"/>
      <c r="B222" s="44"/>
      <c r="C222" s="44"/>
      <c r="D222" s="44"/>
      <c r="E222" s="44"/>
      <c r="F222" s="44"/>
      <c r="G222" s="44"/>
      <c r="H222" s="44"/>
      <c r="I222" s="44"/>
      <c r="J222" s="44"/>
      <c r="K222" s="44"/>
      <c r="L222" s="44"/>
      <c r="M222" s="3"/>
      <c r="N222" s="3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  <c r="Z222" s="44"/>
      <c r="AA222" s="44"/>
      <c r="AB222" s="44"/>
      <c r="AC222" s="44"/>
      <c r="AD222" s="44"/>
      <c r="AE222" s="3"/>
      <c r="AG222" s="44"/>
      <c r="AH222" s="44"/>
      <c r="AI222" s="44"/>
      <c r="AJ222" s="44"/>
      <c r="AK222" s="44"/>
      <c r="AL222" s="44"/>
      <c r="AM222" s="44"/>
      <c r="AN222" s="44"/>
      <c r="AO222" s="44"/>
      <c r="AP222" s="44"/>
      <c r="AQ222" s="44"/>
      <c r="AR222" s="44"/>
      <c r="AS222" s="44"/>
      <c r="AT222" s="3"/>
      <c r="AU222" s="3"/>
      <c r="AV222" s="44"/>
      <c r="AW222" s="44"/>
      <c r="AX222" s="44"/>
      <c r="AY222" s="44"/>
      <c r="AZ222" s="44"/>
      <c r="BA222" s="44"/>
      <c r="BB222" s="44"/>
      <c r="BC222" s="44"/>
      <c r="BD222" s="44"/>
      <c r="BE222" s="44"/>
      <c r="BF222" s="44"/>
      <c r="BG222" s="44"/>
      <c r="BH222" s="44"/>
    </row>
    <row r="223" spans="1:60" ht="15.75" customHeight="1">
      <c r="A223" s="44"/>
      <c r="B223" s="44"/>
      <c r="C223" s="44"/>
      <c r="D223" s="44"/>
      <c r="E223" s="44"/>
      <c r="F223" s="44"/>
      <c r="G223" s="44"/>
      <c r="H223" s="44"/>
      <c r="I223" s="44"/>
      <c r="J223" s="44"/>
      <c r="K223" s="44"/>
      <c r="L223" s="44"/>
      <c r="M223" s="3"/>
      <c r="N223" s="3"/>
      <c r="O223" s="44"/>
      <c r="P223" s="44"/>
      <c r="Q223" s="44"/>
      <c r="R223" s="44"/>
      <c r="S223" s="44"/>
      <c r="T223" s="44"/>
      <c r="U223" s="44"/>
      <c r="V223" s="44"/>
      <c r="W223" s="44"/>
      <c r="X223" s="44"/>
      <c r="Y223" s="44"/>
      <c r="Z223" s="44"/>
      <c r="AA223" s="44"/>
      <c r="AB223" s="44"/>
      <c r="AC223" s="44"/>
      <c r="AD223" s="44"/>
      <c r="AE223" s="3"/>
      <c r="AG223" s="44"/>
      <c r="AH223" s="44"/>
      <c r="AI223" s="44"/>
      <c r="AJ223" s="44"/>
      <c r="AK223" s="44"/>
      <c r="AL223" s="44"/>
      <c r="AM223" s="44"/>
      <c r="AN223" s="44"/>
      <c r="AO223" s="44"/>
      <c r="AP223" s="44"/>
      <c r="AQ223" s="44"/>
      <c r="AR223" s="44"/>
      <c r="AS223" s="44"/>
      <c r="AT223" s="3"/>
      <c r="AU223" s="3"/>
      <c r="AV223" s="44"/>
      <c r="AW223" s="44"/>
      <c r="AX223" s="44"/>
      <c r="AY223" s="44"/>
      <c r="AZ223" s="44"/>
      <c r="BA223" s="44"/>
      <c r="BB223" s="44"/>
      <c r="BC223" s="44"/>
      <c r="BD223" s="44"/>
      <c r="BE223" s="44"/>
      <c r="BF223" s="44"/>
      <c r="BG223" s="44"/>
      <c r="BH223" s="44"/>
    </row>
    <row r="224" spans="1:60" ht="15.75" customHeight="1">
      <c r="A224" s="44"/>
      <c r="B224" s="44"/>
      <c r="C224" s="44"/>
      <c r="D224" s="44"/>
      <c r="E224" s="44"/>
      <c r="F224" s="44"/>
      <c r="G224" s="44"/>
      <c r="H224" s="44"/>
      <c r="I224" s="44"/>
      <c r="J224" s="44"/>
      <c r="K224" s="44"/>
      <c r="L224" s="44"/>
      <c r="M224" s="3"/>
      <c r="N224" s="3"/>
      <c r="O224" s="44"/>
      <c r="P224" s="44"/>
      <c r="Q224" s="44"/>
      <c r="R224" s="44"/>
      <c r="S224" s="44"/>
      <c r="T224" s="44"/>
      <c r="U224" s="44"/>
      <c r="V224" s="44"/>
      <c r="W224" s="44"/>
      <c r="X224" s="44"/>
      <c r="Y224" s="44"/>
      <c r="Z224" s="44"/>
      <c r="AA224" s="44"/>
      <c r="AB224" s="44"/>
      <c r="AC224" s="44"/>
      <c r="AD224" s="44"/>
      <c r="AE224" s="3"/>
      <c r="AG224" s="44"/>
      <c r="AH224" s="44"/>
      <c r="AI224" s="44"/>
      <c r="AJ224" s="44"/>
      <c r="AK224" s="44"/>
      <c r="AL224" s="44"/>
      <c r="AM224" s="44"/>
      <c r="AN224" s="44"/>
      <c r="AO224" s="44"/>
      <c r="AP224" s="44"/>
      <c r="AQ224" s="44"/>
      <c r="AR224" s="44"/>
      <c r="AS224" s="44"/>
      <c r="AT224" s="3"/>
      <c r="AU224" s="3"/>
      <c r="AV224" s="44"/>
      <c r="AW224" s="44"/>
      <c r="AX224" s="44"/>
      <c r="AY224" s="44"/>
      <c r="AZ224" s="44"/>
      <c r="BA224" s="44"/>
      <c r="BB224" s="44"/>
      <c r="BC224" s="44"/>
      <c r="BD224" s="44"/>
      <c r="BE224" s="44"/>
      <c r="BF224" s="44"/>
      <c r="BG224" s="44"/>
      <c r="BH224" s="44"/>
    </row>
    <row r="225" spans="1:60" ht="15.75" customHeight="1">
      <c r="A225" s="44"/>
      <c r="B225" s="44"/>
      <c r="C225" s="44"/>
      <c r="D225" s="44"/>
      <c r="E225" s="44"/>
      <c r="F225" s="44"/>
      <c r="G225" s="44"/>
      <c r="H225" s="44"/>
      <c r="I225" s="44"/>
      <c r="J225" s="44"/>
      <c r="K225" s="44"/>
      <c r="L225" s="44"/>
      <c r="M225" s="3"/>
      <c r="N225" s="3"/>
      <c r="O225" s="44"/>
      <c r="P225" s="44"/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4"/>
      <c r="AC225" s="44"/>
      <c r="AD225" s="44"/>
      <c r="AE225" s="3"/>
      <c r="AG225" s="44"/>
      <c r="AH225" s="44"/>
      <c r="AI225" s="44"/>
      <c r="AJ225" s="44"/>
      <c r="AK225" s="44"/>
      <c r="AL225" s="44"/>
      <c r="AM225" s="44"/>
      <c r="AN225" s="44"/>
      <c r="AO225" s="44"/>
      <c r="AP225" s="44"/>
      <c r="AQ225" s="44"/>
      <c r="AR225" s="44"/>
      <c r="AS225" s="44"/>
      <c r="AT225" s="3"/>
      <c r="AU225" s="3"/>
      <c r="AV225" s="44"/>
      <c r="AW225" s="44"/>
      <c r="AX225" s="44"/>
      <c r="AY225" s="44"/>
      <c r="AZ225" s="44"/>
      <c r="BA225" s="44"/>
      <c r="BB225" s="44"/>
      <c r="BC225" s="44"/>
      <c r="BD225" s="44"/>
      <c r="BE225" s="44"/>
      <c r="BF225" s="44"/>
      <c r="BG225" s="44"/>
      <c r="BH225" s="44"/>
    </row>
    <row r="226" spans="1:60" ht="15.75" customHeight="1">
      <c r="A226" s="44"/>
      <c r="B226" s="44"/>
      <c r="C226" s="44"/>
      <c r="D226" s="44"/>
      <c r="E226" s="44"/>
      <c r="F226" s="44"/>
      <c r="G226" s="44"/>
      <c r="H226" s="44"/>
      <c r="I226" s="44"/>
      <c r="J226" s="44"/>
      <c r="K226" s="44"/>
      <c r="L226" s="44"/>
      <c r="M226" s="3"/>
      <c r="N226" s="3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  <c r="Z226" s="44"/>
      <c r="AA226" s="44"/>
      <c r="AB226" s="44"/>
      <c r="AC226" s="44"/>
      <c r="AD226" s="44"/>
      <c r="AE226" s="3"/>
      <c r="AG226" s="44"/>
      <c r="AH226" s="44"/>
      <c r="AI226" s="44"/>
      <c r="AJ226" s="44"/>
      <c r="AK226" s="44"/>
      <c r="AL226" s="44"/>
      <c r="AM226" s="44"/>
      <c r="AN226" s="44"/>
      <c r="AO226" s="44"/>
      <c r="AP226" s="44"/>
      <c r="AQ226" s="44"/>
      <c r="AR226" s="44"/>
      <c r="AS226" s="44"/>
      <c r="AT226" s="3"/>
      <c r="AU226" s="3"/>
      <c r="AV226" s="44"/>
      <c r="AW226" s="44"/>
      <c r="AX226" s="44"/>
      <c r="AY226" s="44"/>
      <c r="AZ226" s="44"/>
      <c r="BA226" s="44"/>
      <c r="BB226" s="44"/>
      <c r="BC226" s="44"/>
      <c r="BD226" s="44"/>
      <c r="BE226" s="44"/>
      <c r="BF226" s="44"/>
      <c r="BG226" s="44"/>
      <c r="BH226" s="44"/>
    </row>
    <row r="227" spans="1:60" ht="15.75" customHeight="1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  <c r="M227" s="3"/>
      <c r="N227" s="3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  <c r="AA227" s="44"/>
      <c r="AB227" s="44"/>
      <c r="AC227" s="44"/>
      <c r="AD227" s="44"/>
      <c r="AE227" s="3"/>
      <c r="AG227" s="44"/>
      <c r="AH227" s="44"/>
      <c r="AI227" s="44"/>
      <c r="AJ227" s="44"/>
      <c r="AK227" s="44"/>
      <c r="AL227" s="44"/>
      <c r="AM227" s="44"/>
      <c r="AN227" s="44"/>
      <c r="AO227" s="44"/>
      <c r="AP227" s="44"/>
      <c r="AQ227" s="44"/>
      <c r="AR227" s="44"/>
      <c r="AS227" s="44"/>
      <c r="AT227" s="3"/>
      <c r="AU227" s="3"/>
      <c r="AV227" s="44"/>
      <c r="AW227" s="44"/>
      <c r="AX227" s="44"/>
      <c r="AY227" s="44"/>
      <c r="AZ227" s="44"/>
      <c r="BA227" s="44"/>
      <c r="BB227" s="44"/>
      <c r="BC227" s="44"/>
      <c r="BD227" s="44"/>
      <c r="BE227" s="44"/>
      <c r="BF227" s="44"/>
      <c r="BG227" s="44"/>
      <c r="BH227" s="44"/>
    </row>
    <row r="228" spans="1:60" ht="15.75" customHeight="1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  <c r="M228" s="3"/>
      <c r="N228" s="3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  <c r="AA228" s="44"/>
      <c r="AB228" s="44"/>
      <c r="AC228" s="44"/>
      <c r="AD228" s="44"/>
      <c r="AE228" s="3"/>
      <c r="AG228" s="44"/>
      <c r="AH228" s="44"/>
      <c r="AI228" s="44"/>
      <c r="AJ228" s="44"/>
      <c r="AK228" s="44"/>
      <c r="AL228" s="44"/>
      <c r="AM228" s="44"/>
      <c r="AN228" s="44"/>
      <c r="AO228" s="44"/>
      <c r="AP228" s="44"/>
      <c r="AQ228" s="44"/>
      <c r="AR228" s="44"/>
      <c r="AS228" s="44"/>
      <c r="AT228" s="3"/>
      <c r="AU228" s="3"/>
      <c r="AV228" s="44"/>
      <c r="AW228" s="44"/>
      <c r="AX228" s="44"/>
      <c r="AY228" s="44"/>
      <c r="AZ228" s="44"/>
      <c r="BA228" s="44"/>
      <c r="BB228" s="44"/>
      <c r="BC228" s="44"/>
      <c r="BD228" s="44"/>
      <c r="BE228" s="44"/>
      <c r="BF228" s="44"/>
      <c r="BG228" s="44"/>
      <c r="BH228" s="44"/>
    </row>
    <row r="229" spans="1:60" ht="15.75" customHeight="1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  <c r="M229" s="3"/>
      <c r="N229" s="3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  <c r="AA229" s="44"/>
      <c r="AB229" s="44"/>
      <c r="AC229" s="44"/>
      <c r="AD229" s="44"/>
      <c r="AE229" s="3"/>
      <c r="AG229" s="44"/>
      <c r="AH229" s="44"/>
      <c r="AI229" s="44"/>
      <c r="AJ229" s="44"/>
      <c r="AK229" s="44"/>
      <c r="AL229" s="44"/>
      <c r="AM229" s="44"/>
      <c r="AN229" s="44"/>
      <c r="AO229" s="44"/>
      <c r="AP229" s="44"/>
      <c r="AQ229" s="44"/>
      <c r="AR229" s="44"/>
      <c r="AS229" s="44"/>
      <c r="AT229" s="3"/>
      <c r="AU229" s="3"/>
      <c r="AV229" s="44"/>
      <c r="AW229" s="44"/>
      <c r="AX229" s="44"/>
      <c r="AY229" s="44"/>
      <c r="AZ229" s="44"/>
      <c r="BA229" s="44"/>
      <c r="BB229" s="44"/>
      <c r="BC229" s="44"/>
      <c r="BD229" s="44"/>
      <c r="BE229" s="44"/>
      <c r="BF229" s="44"/>
      <c r="BG229" s="44"/>
      <c r="BH229" s="44"/>
    </row>
    <row r="230" spans="1:60" ht="15.75" customHeight="1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  <c r="M230" s="3"/>
      <c r="N230" s="3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  <c r="AA230" s="44"/>
      <c r="AB230" s="44"/>
      <c r="AC230" s="44"/>
      <c r="AD230" s="44"/>
      <c r="AE230" s="3"/>
      <c r="AG230" s="44"/>
      <c r="AH230" s="44"/>
      <c r="AI230" s="44"/>
      <c r="AJ230" s="44"/>
      <c r="AK230" s="44"/>
      <c r="AL230" s="44"/>
      <c r="AM230" s="44"/>
      <c r="AN230" s="44"/>
      <c r="AO230" s="44"/>
      <c r="AP230" s="44"/>
      <c r="AQ230" s="44"/>
      <c r="AR230" s="44"/>
      <c r="AS230" s="44"/>
      <c r="AT230" s="3"/>
      <c r="AU230" s="3"/>
      <c r="AV230" s="44"/>
      <c r="AW230" s="44"/>
      <c r="AX230" s="44"/>
      <c r="AY230" s="44"/>
      <c r="AZ230" s="44"/>
      <c r="BA230" s="44"/>
      <c r="BB230" s="44"/>
      <c r="BC230" s="44"/>
      <c r="BD230" s="44"/>
      <c r="BE230" s="44"/>
      <c r="BF230" s="44"/>
      <c r="BG230" s="44"/>
      <c r="BH230" s="44"/>
    </row>
    <row r="231" spans="1:60" ht="15.75" customHeight="1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  <c r="M231" s="3"/>
      <c r="N231" s="3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  <c r="AA231" s="44"/>
      <c r="AB231" s="44"/>
      <c r="AC231" s="44"/>
      <c r="AD231" s="44"/>
      <c r="AE231" s="3"/>
      <c r="AG231" s="44"/>
      <c r="AH231" s="44"/>
      <c r="AI231" s="44"/>
      <c r="AJ231" s="44"/>
      <c r="AK231" s="44"/>
      <c r="AL231" s="44"/>
      <c r="AM231" s="44"/>
      <c r="AN231" s="44"/>
      <c r="AO231" s="44"/>
      <c r="AP231" s="44"/>
      <c r="AQ231" s="44"/>
      <c r="AR231" s="44"/>
      <c r="AS231" s="44"/>
      <c r="AT231" s="3"/>
      <c r="AU231" s="3"/>
      <c r="AV231" s="44"/>
      <c r="AW231" s="44"/>
      <c r="AX231" s="44"/>
      <c r="AY231" s="44"/>
      <c r="AZ231" s="44"/>
      <c r="BA231" s="44"/>
      <c r="BB231" s="44"/>
      <c r="BC231" s="44"/>
      <c r="BD231" s="44"/>
      <c r="BE231" s="44"/>
      <c r="BF231" s="44"/>
      <c r="BG231" s="44"/>
      <c r="BH231" s="44"/>
    </row>
    <row r="232" spans="1:60" ht="15.75" customHeight="1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  <c r="M232" s="3"/>
      <c r="N232" s="3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  <c r="AA232" s="44"/>
      <c r="AB232" s="44"/>
      <c r="AC232" s="44"/>
      <c r="AD232" s="44"/>
      <c r="AE232" s="3"/>
      <c r="AG232" s="44"/>
      <c r="AH232" s="44"/>
      <c r="AI232" s="44"/>
      <c r="AJ232" s="44"/>
      <c r="AK232" s="44"/>
      <c r="AL232" s="44"/>
      <c r="AM232" s="44"/>
      <c r="AN232" s="44"/>
      <c r="AO232" s="44"/>
      <c r="AP232" s="44"/>
      <c r="AQ232" s="44"/>
      <c r="AR232" s="44"/>
      <c r="AS232" s="44"/>
      <c r="AT232" s="3"/>
      <c r="AU232" s="3"/>
      <c r="AV232" s="44"/>
      <c r="AW232" s="44"/>
      <c r="AX232" s="44"/>
      <c r="AY232" s="44"/>
      <c r="AZ232" s="44"/>
      <c r="BA232" s="44"/>
      <c r="BB232" s="44"/>
      <c r="BC232" s="44"/>
      <c r="BD232" s="44"/>
      <c r="BE232" s="44"/>
      <c r="BF232" s="44"/>
      <c r="BG232" s="44"/>
      <c r="BH232" s="44"/>
    </row>
    <row r="233" spans="1:60" ht="15.75" customHeight="1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  <c r="M233" s="3"/>
      <c r="N233" s="3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  <c r="AA233" s="44"/>
      <c r="AB233" s="44"/>
      <c r="AC233" s="44"/>
      <c r="AD233" s="44"/>
      <c r="AE233" s="3"/>
      <c r="AG233" s="44"/>
      <c r="AH233" s="44"/>
      <c r="AI233" s="44"/>
      <c r="AJ233" s="44"/>
      <c r="AK233" s="44"/>
      <c r="AL233" s="44"/>
      <c r="AM233" s="44"/>
      <c r="AN233" s="44"/>
      <c r="AO233" s="44"/>
      <c r="AP233" s="44"/>
      <c r="AQ233" s="44"/>
      <c r="AR233" s="44"/>
      <c r="AS233" s="44"/>
      <c r="AT233" s="3"/>
      <c r="AU233" s="3"/>
      <c r="AV233" s="44"/>
      <c r="AW233" s="44"/>
      <c r="AX233" s="44"/>
      <c r="AY233" s="44"/>
      <c r="AZ233" s="44"/>
      <c r="BA233" s="44"/>
      <c r="BB233" s="44"/>
      <c r="BC233" s="44"/>
      <c r="BD233" s="44"/>
      <c r="BE233" s="44"/>
      <c r="BF233" s="44"/>
      <c r="BG233" s="44"/>
      <c r="BH233" s="44"/>
    </row>
    <row r="234" spans="1:60" ht="15.75" customHeight="1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3"/>
      <c r="N234" s="3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  <c r="AA234" s="44"/>
      <c r="AB234" s="44"/>
      <c r="AC234" s="44"/>
      <c r="AD234" s="44"/>
      <c r="AE234" s="3"/>
      <c r="AG234" s="44"/>
      <c r="AH234" s="44"/>
      <c r="AI234" s="44"/>
      <c r="AJ234" s="44"/>
      <c r="AK234" s="44"/>
      <c r="AL234" s="44"/>
      <c r="AM234" s="44"/>
      <c r="AN234" s="44"/>
      <c r="AO234" s="44"/>
      <c r="AP234" s="44"/>
      <c r="AQ234" s="44"/>
      <c r="AR234" s="44"/>
      <c r="AS234" s="44"/>
      <c r="AT234" s="3"/>
      <c r="AU234" s="3"/>
      <c r="AV234" s="44"/>
      <c r="AW234" s="44"/>
      <c r="AX234" s="44"/>
      <c r="AY234" s="44"/>
      <c r="AZ234" s="44"/>
      <c r="BA234" s="44"/>
      <c r="BB234" s="44"/>
      <c r="BC234" s="44"/>
      <c r="BD234" s="44"/>
      <c r="BE234" s="44"/>
      <c r="BF234" s="44"/>
      <c r="BG234" s="44"/>
      <c r="BH234" s="44"/>
    </row>
    <row r="235" spans="1:60" ht="15.75" customHeight="1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3"/>
      <c r="N235" s="3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  <c r="AA235" s="44"/>
      <c r="AB235" s="44"/>
      <c r="AC235" s="44"/>
      <c r="AD235" s="44"/>
      <c r="AE235" s="3"/>
      <c r="AG235" s="44"/>
      <c r="AH235" s="44"/>
      <c r="AI235" s="44"/>
      <c r="AJ235" s="44"/>
      <c r="AK235" s="44"/>
      <c r="AL235" s="44"/>
      <c r="AM235" s="44"/>
      <c r="AN235" s="44"/>
      <c r="AO235" s="44"/>
      <c r="AP235" s="44"/>
      <c r="AQ235" s="44"/>
      <c r="AR235" s="44"/>
      <c r="AS235" s="44"/>
      <c r="AT235" s="3"/>
      <c r="AU235" s="3"/>
      <c r="AV235" s="44"/>
      <c r="AW235" s="44"/>
      <c r="AX235" s="44"/>
      <c r="AY235" s="44"/>
      <c r="AZ235" s="44"/>
      <c r="BA235" s="44"/>
      <c r="BB235" s="44"/>
      <c r="BC235" s="44"/>
      <c r="BD235" s="44"/>
      <c r="BE235" s="44"/>
      <c r="BF235" s="44"/>
      <c r="BG235" s="44"/>
      <c r="BH235" s="44"/>
    </row>
    <row r="236" spans="1:60" ht="15.75" customHeight="1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3"/>
      <c r="N236" s="3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  <c r="AA236" s="44"/>
      <c r="AB236" s="44"/>
      <c r="AC236" s="44"/>
      <c r="AD236" s="44"/>
      <c r="AE236" s="3"/>
      <c r="AG236" s="44"/>
      <c r="AH236" s="44"/>
      <c r="AI236" s="44"/>
      <c r="AJ236" s="44"/>
      <c r="AK236" s="44"/>
      <c r="AL236" s="44"/>
      <c r="AM236" s="44"/>
      <c r="AN236" s="44"/>
      <c r="AO236" s="44"/>
      <c r="AP236" s="44"/>
      <c r="AQ236" s="44"/>
      <c r="AR236" s="44"/>
      <c r="AS236" s="44"/>
      <c r="AT236" s="3"/>
      <c r="AU236" s="3"/>
      <c r="AV236" s="44"/>
      <c r="AW236" s="44"/>
      <c r="AX236" s="44"/>
      <c r="AY236" s="44"/>
      <c r="AZ236" s="44"/>
      <c r="BA236" s="44"/>
      <c r="BB236" s="44"/>
      <c r="BC236" s="44"/>
      <c r="BD236" s="44"/>
      <c r="BE236" s="44"/>
      <c r="BF236" s="44"/>
      <c r="BG236" s="44"/>
      <c r="BH236" s="44"/>
    </row>
    <row r="237" spans="1:60" ht="15.75" customHeight="1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3"/>
      <c r="N237" s="3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  <c r="AA237" s="44"/>
      <c r="AB237" s="44"/>
      <c r="AC237" s="44"/>
      <c r="AD237" s="44"/>
      <c r="AE237" s="3"/>
      <c r="AG237" s="44"/>
      <c r="AH237" s="44"/>
      <c r="AI237" s="44"/>
      <c r="AJ237" s="44"/>
      <c r="AK237" s="44"/>
      <c r="AL237" s="44"/>
      <c r="AM237" s="44"/>
      <c r="AN237" s="44"/>
      <c r="AO237" s="44"/>
      <c r="AP237" s="44"/>
      <c r="AQ237" s="44"/>
      <c r="AR237" s="44"/>
      <c r="AS237" s="44"/>
      <c r="AT237" s="3"/>
      <c r="AU237" s="3"/>
      <c r="AV237" s="44"/>
      <c r="AW237" s="44"/>
      <c r="AX237" s="44"/>
      <c r="AY237" s="44"/>
      <c r="AZ237" s="44"/>
      <c r="BA237" s="44"/>
      <c r="BB237" s="44"/>
      <c r="BC237" s="44"/>
      <c r="BD237" s="44"/>
      <c r="BE237" s="44"/>
      <c r="BF237" s="44"/>
      <c r="BG237" s="44"/>
      <c r="BH237" s="44"/>
    </row>
    <row r="238" spans="1:60" ht="15.75" customHeight="1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3"/>
      <c r="N238" s="3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  <c r="AA238" s="44"/>
      <c r="AB238" s="44"/>
      <c r="AC238" s="44"/>
      <c r="AD238" s="44"/>
      <c r="AE238" s="3"/>
      <c r="AG238" s="44"/>
      <c r="AH238" s="44"/>
      <c r="AI238" s="44"/>
      <c r="AJ238" s="44"/>
      <c r="AK238" s="44"/>
      <c r="AL238" s="44"/>
      <c r="AM238" s="44"/>
      <c r="AN238" s="44"/>
      <c r="AO238" s="44"/>
      <c r="AP238" s="44"/>
      <c r="AQ238" s="44"/>
      <c r="AR238" s="44"/>
      <c r="AS238" s="44"/>
      <c r="AT238" s="3"/>
      <c r="AU238" s="3"/>
      <c r="AV238" s="44"/>
      <c r="AW238" s="44"/>
      <c r="AX238" s="44"/>
      <c r="AY238" s="44"/>
      <c r="AZ238" s="44"/>
      <c r="BA238" s="44"/>
      <c r="BB238" s="44"/>
      <c r="BC238" s="44"/>
      <c r="BD238" s="44"/>
      <c r="BE238" s="44"/>
      <c r="BF238" s="44"/>
      <c r="BG238" s="44"/>
      <c r="BH238" s="44"/>
    </row>
    <row r="239" spans="1:60" ht="15.75" customHeight="1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3"/>
      <c r="N239" s="3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  <c r="AA239" s="44"/>
      <c r="AB239" s="44"/>
      <c r="AC239" s="44"/>
      <c r="AD239" s="44"/>
      <c r="AE239" s="3"/>
      <c r="AG239" s="44"/>
      <c r="AH239" s="44"/>
      <c r="AI239" s="44"/>
      <c r="AJ239" s="44"/>
      <c r="AK239" s="44"/>
      <c r="AL239" s="44"/>
      <c r="AM239" s="44"/>
      <c r="AN239" s="44"/>
      <c r="AO239" s="44"/>
      <c r="AP239" s="44"/>
      <c r="AQ239" s="44"/>
      <c r="AR239" s="44"/>
      <c r="AS239" s="44"/>
      <c r="AT239" s="3"/>
      <c r="AU239" s="3"/>
      <c r="AV239" s="44"/>
      <c r="AW239" s="44"/>
      <c r="AX239" s="44"/>
      <c r="AY239" s="44"/>
      <c r="AZ239" s="44"/>
      <c r="BA239" s="44"/>
      <c r="BB239" s="44"/>
      <c r="BC239" s="44"/>
      <c r="BD239" s="44"/>
      <c r="BE239" s="44"/>
      <c r="BF239" s="44"/>
      <c r="BG239" s="44"/>
      <c r="BH239" s="44"/>
    </row>
    <row r="240" spans="1:60" ht="15.75" customHeight="1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3"/>
      <c r="N240" s="3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  <c r="AA240" s="44"/>
      <c r="AB240" s="44"/>
      <c r="AC240" s="44"/>
      <c r="AD240" s="44"/>
      <c r="AE240" s="3"/>
      <c r="AG240" s="44"/>
      <c r="AH240" s="44"/>
      <c r="AI240" s="44"/>
      <c r="AJ240" s="44"/>
      <c r="AK240" s="44"/>
      <c r="AL240" s="44"/>
      <c r="AM240" s="44"/>
      <c r="AN240" s="44"/>
      <c r="AO240" s="44"/>
      <c r="AP240" s="44"/>
      <c r="AQ240" s="44"/>
      <c r="AR240" s="44"/>
      <c r="AS240" s="44"/>
      <c r="AT240" s="3"/>
      <c r="AU240" s="3"/>
      <c r="AV240" s="44"/>
      <c r="AW240" s="44"/>
      <c r="AX240" s="44"/>
      <c r="AY240" s="44"/>
      <c r="AZ240" s="44"/>
      <c r="BA240" s="44"/>
      <c r="BB240" s="44"/>
      <c r="BC240" s="44"/>
      <c r="BD240" s="44"/>
      <c r="BE240" s="44"/>
      <c r="BF240" s="44"/>
      <c r="BG240" s="44"/>
      <c r="BH240" s="44"/>
    </row>
    <row r="241" spans="1:60" ht="15.75" customHeight="1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3"/>
      <c r="N241" s="3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  <c r="AA241" s="44"/>
      <c r="AB241" s="44"/>
      <c r="AC241" s="44"/>
      <c r="AD241" s="44"/>
      <c r="AE241" s="3"/>
      <c r="AG241" s="44"/>
      <c r="AH241" s="44"/>
      <c r="AI241" s="44"/>
      <c r="AJ241" s="44"/>
      <c r="AK241" s="44"/>
      <c r="AL241" s="44"/>
      <c r="AM241" s="44"/>
      <c r="AN241" s="44"/>
      <c r="AO241" s="44"/>
      <c r="AP241" s="44"/>
      <c r="AQ241" s="44"/>
      <c r="AR241" s="44"/>
      <c r="AS241" s="44"/>
      <c r="AT241" s="3"/>
      <c r="AU241" s="3"/>
      <c r="AV241" s="44"/>
      <c r="AW241" s="44"/>
      <c r="AX241" s="44"/>
      <c r="AY241" s="44"/>
      <c r="AZ241" s="44"/>
      <c r="BA241" s="44"/>
      <c r="BB241" s="44"/>
      <c r="BC241" s="44"/>
      <c r="BD241" s="44"/>
      <c r="BE241" s="44"/>
      <c r="BF241" s="44"/>
      <c r="BG241" s="44"/>
      <c r="BH241" s="44"/>
    </row>
    <row r="242" spans="1:60" ht="15.75" customHeight="1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3"/>
      <c r="N242" s="3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  <c r="AA242" s="44"/>
      <c r="AB242" s="44"/>
      <c r="AC242" s="44"/>
      <c r="AD242" s="44"/>
      <c r="AE242" s="3"/>
      <c r="AG242" s="44"/>
      <c r="AH242" s="44"/>
      <c r="AI242" s="44"/>
      <c r="AJ242" s="44"/>
      <c r="AK242" s="44"/>
      <c r="AL242" s="44"/>
      <c r="AM242" s="44"/>
      <c r="AN242" s="44"/>
      <c r="AO242" s="44"/>
      <c r="AP242" s="44"/>
      <c r="AQ242" s="44"/>
      <c r="AR242" s="44"/>
      <c r="AS242" s="44"/>
      <c r="AT242" s="3"/>
      <c r="AU242" s="3"/>
      <c r="AV242" s="44"/>
      <c r="AW242" s="44"/>
      <c r="AX242" s="44"/>
      <c r="AY242" s="44"/>
      <c r="AZ242" s="44"/>
      <c r="BA242" s="44"/>
      <c r="BB242" s="44"/>
      <c r="BC242" s="44"/>
      <c r="BD242" s="44"/>
      <c r="BE242" s="44"/>
      <c r="BF242" s="44"/>
      <c r="BG242" s="44"/>
      <c r="BH242" s="44"/>
    </row>
    <row r="243" spans="1:60" ht="15.75" customHeight="1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3"/>
      <c r="N243" s="3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  <c r="AA243" s="44"/>
      <c r="AB243" s="44"/>
      <c r="AC243" s="44"/>
      <c r="AD243" s="44"/>
      <c r="AE243" s="3"/>
      <c r="AG243" s="44"/>
      <c r="AH243" s="44"/>
      <c r="AI243" s="44"/>
      <c r="AJ243" s="44"/>
      <c r="AK243" s="44"/>
      <c r="AL243" s="44"/>
      <c r="AM243" s="44"/>
      <c r="AN243" s="44"/>
      <c r="AO243" s="44"/>
      <c r="AP243" s="44"/>
      <c r="AQ243" s="44"/>
      <c r="AR243" s="44"/>
      <c r="AS243" s="44"/>
      <c r="AT243" s="3"/>
      <c r="AU243" s="3"/>
      <c r="AV243" s="44"/>
      <c r="AW243" s="44"/>
      <c r="AX243" s="44"/>
      <c r="AY243" s="44"/>
      <c r="AZ243" s="44"/>
      <c r="BA243" s="44"/>
      <c r="BB243" s="44"/>
      <c r="BC243" s="44"/>
      <c r="BD243" s="44"/>
      <c r="BE243" s="44"/>
      <c r="BF243" s="44"/>
      <c r="BG243" s="44"/>
      <c r="BH243" s="44"/>
    </row>
    <row r="244" spans="1:60" ht="15.75" customHeight="1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3"/>
      <c r="N244" s="3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  <c r="AA244" s="44"/>
      <c r="AB244" s="44"/>
      <c r="AC244" s="44"/>
      <c r="AD244" s="44"/>
      <c r="AE244" s="3"/>
      <c r="AG244" s="44"/>
      <c r="AH244" s="44"/>
      <c r="AI244" s="44"/>
      <c r="AJ244" s="44"/>
      <c r="AK244" s="44"/>
      <c r="AL244" s="44"/>
      <c r="AM244" s="44"/>
      <c r="AN244" s="44"/>
      <c r="AO244" s="44"/>
      <c r="AP244" s="44"/>
      <c r="AQ244" s="44"/>
      <c r="AR244" s="44"/>
      <c r="AS244" s="44"/>
      <c r="AT244" s="3"/>
      <c r="AU244" s="3"/>
      <c r="AV244" s="44"/>
      <c r="AW244" s="44"/>
      <c r="AX244" s="44"/>
      <c r="AY244" s="44"/>
      <c r="AZ244" s="44"/>
      <c r="BA244" s="44"/>
      <c r="BB244" s="44"/>
      <c r="BC244" s="44"/>
      <c r="BD244" s="44"/>
      <c r="BE244" s="44"/>
      <c r="BF244" s="44"/>
      <c r="BG244" s="44"/>
      <c r="BH244" s="44"/>
    </row>
    <row r="245" spans="1:60" ht="15.75" customHeight="1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  <c r="M245" s="3"/>
      <c r="N245" s="3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  <c r="AA245" s="44"/>
      <c r="AB245" s="44"/>
      <c r="AC245" s="44"/>
      <c r="AD245" s="44"/>
      <c r="AE245" s="3"/>
      <c r="AG245" s="44"/>
      <c r="AH245" s="44"/>
      <c r="AI245" s="44"/>
      <c r="AJ245" s="44"/>
      <c r="AK245" s="44"/>
      <c r="AL245" s="44"/>
      <c r="AM245" s="44"/>
      <c r="AN245" s="44"/>
      <c r="AO245" s="44"/>
      <c r="AP245" s="44"/>
      <c r="AQ245" s="44"/>
      <c r="AR245" s="44"/>
      <c r="AS245" s="44"/>
      <c r="AT245" s="3"/>
      <c r="AU245" s="3"/>
      <c r="AV245" s="44"/>
      <c r="AW245" s="44"/>
      <c r="AX245" s="44"/>
      <c r="AY245" s="44"/>
      <c r="AZ245" s="44"/>
      <c r="BA245" s="44"/>
      <c r="BB245" s="44"/>
      <c r="BC245" s="44"/>
      <c r="BD245" s="44"/>
      <c r="BE245" s="44"/>
      <c r="BF245" s="44"/>
      <c r="BG245" s="44"/>
      <c r="BH245" s="44"/>
    </row>
    <row r="246" spans="1:60" ht="15.75" customHeight="1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3"/>
      <c r="N246" s="3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  <c r="AA246" s="44"/>
      <c r="AB246" s="44"/>
      <c r="AC246" s="44"/>
      <c r="AD246" s="44"/>
      <c r="AE246" s="3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3"/>
      <c r="AU246" s="3"/>
      <c r="AV246" s="44"/>
      <c r="AW246" s="44"/>
      <c r="AX246" s="44"/>
      <c r="AY246" s="44"/>
      <c r="AZ246" s="44"/>
      <c r="BA246" s="44"/>
      <c r="BB246" s="44"/>
      <c r="BC246" s="44"/>
      <c r="BD246" s="44"/>
      <c r="BE246" s="44"/>
      <c r="BF246" s="44"/>
      <c r="BG246" s="44"/>
      <c r="BH246" s="44"/>
    </row>
    <row r="247" spans="1:60" ht="15.75" customHeight="1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  <c r="M247" s="3"/>
      <c r="N247" s="3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  <c r="AA247" s="44"/>
      <c r="AB247" s="44"/>
      <c r="AC247" s="44"/>
      <c r="AD247" s="44"/>
      <c r="AE247" s="3"/>
      <c r="AG247" s="44"/>
      <c r="AH247" s="44"/>
      <c r="AI247" s="44"/>
      <c r="AJ247" s="44"/>
      <c r="AK247" s="44"/>
      <c r="AL247" s="44"/>
      <c r="AM247" s="44"/>
      <c r="AN247" s="44"/>
      <c r="AO247" s="44"/>
      <c r="AP247" s="44"/>
      <c r="AQ247" s="44"/>
      <c r="AR247" s="44"/>
      <c r="AS247" s="44"/>
      <c r="AT247" s="3"/>
      <c r="AU247" s="3"/>
      <c r="AV247" s="44"/>
      <c r="AW247" s="44"/>
      <c r="AX247" s="44"/>
      <c r="AY247" s="44"/>
      <c r="AZ247" s="44"/>
      <c r="BA247" s="44"/>
      <c r="BB247" s="44"/>
      <c r="BC247" s="44"/>
      <c r="BD247" s="44"/>
      <c r="BE247" s="44"/>
      <c r="BF247" s="44"/>
      <c r="BG247" s="44"/>
      <c r="BH247" s="44"/>
    </row>
    <row r="248" spans="1:60" ht="15.75" customHeight="1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  <c r="M248" s="3"/>
      <c r="N248" s="3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  <c r="AA248" s="44"/>
      <c r="AB248" s="44"/>
      <c r="AC248" s="44"/>
      <c r="AD248" s="44"/>
      <c r="AE248" s="3"/>
      <c r="AG248" s="44"/>
      <c r="AH248" s="44"/>
      <c r="AI248" s="44"/>
      <c r="AJ248" s="44"/>
      <c r="AK248" s="44"/>
      <c r="AL248" s="44"/>
      <c r="AM248" s="44"/>
      <c r="AN248" s="44"/>
      <c r="AO248" s="44"/>
      <c r="AP248" s="44"/>
      <c r="AQ248" s="44"/>
      <c r="AR248" s="44"/>
      <c r="AS248" s="44"/>
      <c r="AT248" s="3"/>
      <c r="AU248" s="3"/>
      <c r="AV248" s="44"/>
      <c r="AW248" s="44"/>
      <c r="AX248" s="44"/>
      <c r="AY248" s="44"/>
      <c r="AZ248" s="44"/>
      <c r="BA248" s="44"/>
      <c r="BB248" s="44"/>
      <c r="BC248" s="44"/>
      <c r="BD248" s="44"/>
      <c r="BE248" s="44"/>
      <c r="BF248" s="44"/>
      <c r="BG248" s="44"/>
      <c r="BH248" s="44"/>
    </row>
    <row r="249" spans="1:60" ht="15.75" customHeight="1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  <c r="M249" s="3"/>
      <c r="N249" s="3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  <c r="AA249" s="44"/>
      <c r="AB249" s="44"/>
      <c r="AC249" s="44"/>
      <c r="AD249" s="44"/>
      <c r="AE249" s="3"/>
      <c r="AG249" s="44"/>
      <c r="AH249" s="44"/>
      <c r="AI249" s="44"/>
      <c r="AJ249" s="44"/>
      <c r="AK249" s="44"/>
      <c r="AL249" s="44"/>
      <c r="AM249" s="44"/>
      <c r="AN249" s="44"/>
      <c r="AO249" s="44"/>
      <c r="AP249" s="44"/>
      <c r="AQ249" s="44"/>
      <c r="AR249" s="44"/>
      <c r="AS249" s="44"/>
      <c r="AT249" s="3"/>
      <c r="AU249" s="3"/>
      <c r="AV249" s="44"/>
      <c r="AW249" s="44"/>
      <c r="AX249" s="44"/>
      <c r="AY249" s="44"/>
      <c r="AZ249" s="44"/>
      <c r="BA249" s="44"/>
      <c r="BB249" s="44"/>
      <c r="BC249" s="44"/>
      <c r="BD249" s="44"/>
      <c r="BE249" s="44"/>
      <c r="BF249" s="44"/>
      <c r="BG249" s="44"/>
      <c r="BH249" s="44"/>
    </row>
    <row r="250" spans="1:60" ht="15.75" customHeight="1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3"/>
      <c r="N250" s="3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  <c r="AA250" s="44"/>
      <c r="AB250" s="44"/>
      <c r="AC250" s="44"/>
      <c r="AD250" s="44"/>
      <c r="AE250" s="3"/>
      <c r="AG250" s="44"/>
      <c r="AH250" s="44"/>
      <c r="AI250" s="44"/>
      <c r="AJ250" s="44"/>
      <c r="AK250" s="44"/>
      <c r="AL250" s="44"/>
      <c r="AM250" s="44"/>
      <c r="AN250" s="44"/>
      <c r="AO250" s="44"/>
      <c r="AP250" s="44"/>
      <c r="AQ250" s="44"/>
      <c r="AR250" s="44"/>
      <c r="AS250" s="44"/>
      <c r="AT250" s="3"/>
      <c r="AU250" s="3"/>
      <c r="AV250" s="44"/>
      <c r="AW250" s="44"/>
      <c r="AX250" s="44"/>
      <c r="AY250" s="44"/>
      <c r="AZ250" s="44"/>
      <c r="BA250" s="44"/>
      <c r="BB250" s="44"/>
      <c r="BC250" s="44"/>
      <c r="BD250" s="44"/>
      <c r="BE250" s="44"/>
      <c r="BF250" s="44"/>
      <c r="BG250" s="44"/>
      <c r="BH250" s="44"/>
    </row>
    <row r="251" spans="1:60" ht="15.75" customHeight="1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3"/>
      <c r="N251" s="3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  <c r="AA251" s="44"/>
      <c r="AB251" s="44"/>
      <c r="AC251" s="44"/>
      <c r="AD251" s="44"/>
      <c r="AE251" s="3"/>
      <c r="AG251" s="44"/>
      <c r="AH251" s="44"/>
      <c r="AI251" s="44"/>
      <c r="AJ251" s="44"/>
      <c r="AK251" s="44"/>
      <c r="AL251" s="44"/>
      <c r="AM251" s="44"/>
      <c r="AN251" s="44"/>
      <c r="AO251" s="44"/>
      <c r="AP251" s="44"/>
      <c r="AQ251" s="44"/>
      <c r="AR251" s="44"/>
      <c r="AS251" s="44"/>
      <c r="AT251" s="3"/>
      <c r="AU251" s="3"/>
      <c r="AV251" s="3"/>
    </row>
    <row r="252" spans="1:60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G252" s="27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3"/>
      <c r="AS252" s="3"/>
      <c r="AT252" s="3"/>
      <c r="AU252" s="3"/>
      <c r="AV252" s="3"/>
    </row>
    <row r="253" spans="1:60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  <c r="AQ253" s="27"/>
      <c r="AR253" s="3"/>
      <c r="AS253" s="3"/>
      <c r="AT253" s="3"/>
      <c r="AU253" s="3"/>
      <c r="AV253" s="3"/>
    </row>
    <row r="254" spans="1:60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3"/>
      <c r="AS254" s="3"/>
      <c r="AT254" s="3"/>
      <c r="AU254" s="3"/>
      <c r="AV254" s="3"/>
    </row>
    <row r="255" spans="1:60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</row>
    <row r="256" spans="1:60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  <c r="AQ256" s="27"/>
    </row>
    <row r="257" spans="1:43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</row>
    <row r="258" spans="1:43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</row>
    <row r="259" spans="1:43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</row>
    <row r="260" spans="1:43" ht="20.25" customHeight="1">
      <c r="A260" s="92" t="s">
        <v>39</v>
      </c>
      <c r="B260" s="93"/>
      <c r="C260" s="93"/>
      <c r="D260" s="93"/>
      <c r="E260" s="94"/>
      <c r="F260" s="5"/>
      <c r="G260" s="6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3"/>
      <c r="Z260" s="3"/>
      <c r="AA260" s="3"/>
      <c r="AB260" s="3"/>
      <c r="AC260" s="3"/>
      <c r="AD260" s="3"/>
      <c r="AE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</row>
    <row r="261" spans="1:43" ht="14.25" customHeight="1">
      <c r="A261" s="31"/>
      <c r="B261" s="19"/>
      <c r="C261" s="19"/>
      <c r="D261" s="19"/>
      <c r="E261" s="19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</row>
    <row r="262" spans="1:43" ht="15.75" customHeight="1">
      <c r="A262" s="96" t="s">
        <v>114</v>
      </c>
      <c r="B262" s="88"/>
      <c r="C262" s="88"/>
      <c r="D262" s="88"/>
      <c r="E262" s="89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</row>
    <row r="263" spans="1:43" ht="15.75" customHeight="1">
      <c r="A263" s="97" t="s">
        <v>110</v>
      </c>
      <c r="B263" s="88"/>
      <c r="C263" s="88"/>
      <c r="D263" s="88"/>
      <c r="E263" s="89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</row>
    <row r="264" spans="1:43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</row>
    <row r="265" spans="1:43" ht="15.75" customHeight="1">
      <c r="A265" s="3"/>
      <c r="B265" s="3"/>
      <c r="C265" s="3"/>
      <c r="D265" s="98" t="s">
        <v>115</v>
      </c>
      <c r="E265" s="44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E265" s="3"/>
    </row>
    <row r="266" spans="1:43" ht="15.75" customHeight="1">
      <c r="A266" s="95" t="s">
        <v>116</v>
      </c>
      <c r="B266" s="38"/>
      <c r="C266" s="39"/>
      <c r="D266" s="99" t="s">
        <v>117</v>
      </c>
      <c r="E266" s="44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E266" s="3"/>
    </row>
    <row r="267" spans="1:43" ht="15.75" customHeight="1">
      <c r="A267" s="95" t="s">
        <v>118</v>
      </c>
      <c r="B267" s="38"/>
      <c r="C267" s="39"/>
      <c r="D267" s="32"/>
      <c r="E267" s="3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E267" s="3"/>
    </row>
    <row r="268" spans="1:43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</row>
    <row r="269" spans="1:43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</row>
    <row r="270" spans="1:43" ht="15.75" customHeight="1">
      <c r="A270" s="90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</row>
    <row r="271" spans="1:43" ht="15.75" customHeight="1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</row>
    <row r="272" spans="1:43" ht="15.75" customHeight="1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</row>
    <row r="273" spans="1:31" ht="15.75" customHeight="1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</row>
    <row r="274" spans="1:31" ht="15.75" customHeight="1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</row>
    <row r="275" spans="1:31" ht="15.75" customHeight="1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</row>
    <row r="276" spans="1:31" ht="15.75" customHeight="1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</row>
    <row r="277" spans="1:31" ht="15.75" customHeight="1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</row>
    <row r="278" spans="1:31" ht="15.75" customHeight="1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</row>
    <row r="279" spans="1:31" ht="15.75" customHeight="1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</row>
    <row r="280" spans="1:31" ht="15.75" customHeight="1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</row>
    <row r="281" spans="1:31" ht="15.75" customHeight="1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</row>
    <row r="282" spans="1:31" ht="15.75" customHeight="1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</row>
    <row r="283" spans="1:31" ht="15.75" customHeight="1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</row>
    <row r="284" spans="1:31" ht="15.75" customHeight="1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</row>
    <row r="285" spans="1:31" ht="15.75" customHeight="1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</row>
    <row r="286" spans="1:31" ht="15.75" customHeight="1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</row>
    <row r="287" spans="1:31" ht="15.75" customHeight="1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</row>
    <row r="288" spans="1:31" ht="15.75" customHeight="1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</row>
    <row r="289" spans="1:31" ht="15.75" customHeight="1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</row>
    <row r="290" spans="1:31" ht="15.75" customHeight="1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</row>
    <row r="291" spans="1:31" ht="15.75" customHeight="1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</row>
    <row r="292" spans="1:31" ht="15.75" customHeight="1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</row>
    <row r="293" spans="1:31" ht="15.75" customHeight="1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</row>
    <row r="294" spans="1:31" ht="15.75" customHeight="1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</row>
    <row r="295" spans="1:31" ht="15.75" customHeight="1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</row>
    <row r="296" spans="1:31" ht="15.75" customHeight="1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</row>
    <row r="297" spans="1:31" ht="15.75" customHeight="1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</row>
    <row r="298" spans="1:31" ht="15.75" customHeight="1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</row>
    <row r="299" spans="1:31" ht="15.75" customHeight="1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</row>
    <row r="300" spans="1:31" ht="15.75" customHeight="1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</row>
    <row r="301" spans="1:3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</row>
    <row r="302" spans="1:31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</row>
    <row r="303" spans="1:31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</row>
    <row r="304" spans="1:31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</row>
    <row r="305" spans="1:31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</row>
    <row r="306" spans="1:31" ht="20.25" customHeight="1">
      <c r="A306" s="92" t="s">
        <v>43</v>
      </c>
      <c r="B306" s="93"/>
      <c r="C306" s="93"/>
      <c r="D306" s="93"/>
      <c r="E306" s="94"/>
      <c r="F306" s="5"/>
      <c r="G306" s="6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3"/>
      <c r="Z306" s="3"/>
      <c r="AA306" s="3"/>
      <c r="AB306" s="3"/>
      <c r="AC306" s="3"/>
      <c r="AD306" s="3"/>
      <c r="AE306" s="3"/>
    </row>
    <row r="307" spans="1:31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</row>
    <row r="308" spans="1:31" ht="15.75" customHeight="1">
      <c r="A308" s="100" t="s">
        <v>109</v>
      </c>
      <c r="B308" s="88"/>
      <c r="C308" s="89"/>
      <c r="D308" s="26"/>
      <c r="E308" s="26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</row>
    <row r="309" spans="1:31" ht="15.75" customHeight="1">
      <c r="A309" s="101" t="s">
        <v>119</v>
      </c>
      <c r="B309" s="88"/>
      <c r="C309" s="89"/>
      <c r="D309" s="26"/>
      <c r="E309" s="26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</row>
    <row r="310" spans="1:31" ht="15.75" customHeight="1">
      <c r="A310" s="102" t="s">
        <v>120</v>
      </c>
      <c r="B310" s="88"/>
      <c r="C310" s="89"/>
      <c r="D310" s="26"/>
      <c r="E310" s="26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</row>
    <row r="311" spans="1:31" ht="15.75" customHeight="1">
      <c r="A311" s="91" t="s">
        <v>121</v>
      </c>
      <c r="B311" s="88"/>
      <c r="C311" s="89"/>
      <c r="D311" s="26"/>
      <c r="E311" s="26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</row>
    <row r="312" spans="1:31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</row>
    <row r="313" spans="1:31" ht="15.75" customHeight="1">
      <c r="A313" s="95" t="s">
        <v>122</v>
      </c>
      <c r="B313" s="38"/>
      <c r="C313" s="39"/>
      <c r="D313" s="30" t="s">
        <v>123</v>
      </c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</row>
    <row r="314" spans="1:31" ht="15.75" customHeight="1">
      <c r="A314" s="95" t="s">
        <v>124</v>
      </c>
      <c r="B314" s="38"/>
      <c r="C314" s="39"/>
      <c r="D314" s="22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</row>
    <row r="315" spans="1:31" ht="15.75" customHeight="1">
      <c r="A315" s="95" t="s">
        <v>125</v>
      </c>
      <c r="B315" s="38"/>
      <c r="C315" s="39"/>
      <c r="D315" s="22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</row>
    <row r="316" spans="1:31" ht="15.75" customHeight="1">
      <c r="A316" s="95" t="s">
        <v>93</v>
      </c>
      <c r="B316" s="38"/>
      <c r="C316" s="39"/>
      <c r="D316" s="22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</row>
    <row r="317" spans="1:31" ht="15.75" customHeight="1">
      <c r="A317" s="95" t="s">
        <v>126</v>
      </c>
      <c r="B317" s="38"/>
      <c r="C317" s="39"/>
      <c r="D317" s="22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</row>
    <row r="318" spans="1:31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</row>
    <row r="319" spans="1:31" ht="15.75" customHeight="1">
      <c r="A319" s="87" t="s">
        <v>92</v>
      </c>
      <c r="B319" s="88"/>
      <c r="C319" s="89"/>
      <c r="D319" s="27"/>
      <c r="E319" s="27"/>
      <c r="F319" s="27"/>
      <c r="G319" s="27"/>
      <c r="H319" s="27"/>
      <c r="I319" s="27"/>
      <c r="K319" s="26"/>
      <c r="L319" s="26"/>
      <c r="M319" s="3"/>
      <c r="N319" s="3"/>
      <c r="O319" s="87" t="s">
        <v>127</v>
      </c>
      <c r="P319" s="88"/>
      <c r="Q319" s="88"/>
      <c r="R319" s="89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</row>
    <row r="320" spans="1:31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</row>
    <row r="321" spans="1:31" ht="15.75" customHeight="1">
      <c r="A321" s="90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  <c r="M321" s="3"/>
      <c r="N321" s="3"/>
      <c r="O321" s="90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  <c r="AA321" s="44"/>
      <c r="AB321" s="44"/>
      <c r="AC321" s="44"/>
      <c r="AD321" s="44"/>
      <c r="AE321" s="3"/>
    </row>
    <row r="322" spans="1:31" ht="15.75" customHeight="1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  <c r="M322" s="3"/>
      <c r="N322" s="3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  <c r="AA322" s="44"/>
      <c r="AB322" s="44"/>
      <c r="AC322" s="44"/>
      <c r="AD322" s="44"/>
      <c r="AE322" s="3"/>
    </row>
    <row r="323" spans="1:31" ht="15.75" customHeight="1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  <c r="M323" s="3"/>
      <c r="N323" s="3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  <c r="AA323" s="44"/>
      <c r="AB323" s="44"/>
      <c r="AC323" s="44"/>
      <c r="AD323" s="44"/>
      <c r="AE323" s="3"/>
    </row>
    <row r="324" spans="1:31" ht="15.75" customHeight="1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  <c r="M324" s="3"/>
      <c r="N324" s="3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  <c r="AA324" s="44"/>
      <c r="AB324" s="44"/>
      <c r="AC324" s="44"/>
      <c r="AD324" s="44"/>
      <c r="AE324" s="3"/>
    </row>
    <row r="325" spans="1:31" ht="15.75" customHeight="1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  <c r="M325" s="3"/>
      <c r="N325" s="3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  <c r="AA325" s="44"/>
      <c r="AB325" s="44"/>
      <c r="AC325" s="44"/>
      <c r="AD325" s="44"/>
      <c r="AE325" s="3"/>
    </row>
    <row r="326" spans="1:31" ht="15.75" customHeight="1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  <c r="M326" s="3"/>
      <c r="N326" s="3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  <c r="AA326" s="44"/>
      <c r="AB326" s="44"/>
      <c r="AC326" s="44"/>
      <c r="AD326" s="44"/>
      <c r="AE326" s="3"/>
    </row>
    <row r="327" spans="1:31" ht="15.75" customHeight="1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  <c r="M327" s="3"/>
      <c r="N327" s="3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  <c r="AA327" s="44"/>
      <c r="AB327" s="44"/>
      <c r="AC327" s="44"/>
      <c r="AD327" s="44"/>
      <c r="AE327" s="3"/>
    </row>
    <row r="328" spans="1:31" ht="15.75" customHeight="1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  <c r="M328" s="3"/>
      <c r="N328" s="3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  <c r="AA328" s="44"/>
      <c r="AB328" s="44"/>
      <c r="AC328" s="44"/>
      <c r="AD328" s="44"/>
      <c r="AE328" s="3"/>
    </row>
    <row r="329" spans="1:31" ht="15.75" customHeight="1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  <c r="M329" s="3"/>
      <c r="N329" s="3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  <c r="AA329" s="44"/>
      <c r="AB329" s="44"/>
      <c r="AC329" s="44"/>
      <c r="AD329" s="44"/>
      <c r="AE329" s="3"/>
    </row>
    <row r="330" spans="1:31" ht="15.75" customHeight="1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  <c r="M330" s="3"/>
      <c r="N330" s="3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  <c r="AA330" s="44"/>
      <c r="AB330" s="44"/>
      <c r="AC330" s="44"/>
      <c r="AD330" s="44"/>
      <c r="AE330" s="3"/>
    </row>
    <row r="331" spans="1:31" ht="15.75" customHeight="1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  <c r="M331" s="3"/>
      <c r="N331" s="3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  <c r="AA331" s="44"/>
      <c r="AB331" s="44"/>
      <c r="AC331" s="44"/>
      <c r="AD331" s="44"/>
      <c r="AE331" s="3"/>
    </row>
    <row r="332" spans="1:31" ht="15.75" customHeight="1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3"/>
      <c r="N332" s="3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  <c r="AA332" s="44"/>
      <c r="AB332" s="44"/>
      <c r="AC332" s="44"/>
      <c r="AD332" s="44"/>
      <c r="AE332" s="3"/>
    </row>
    <row r="333" spans="1:31" ht="15.75" customHeight="1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  <c r="M333" s="3"/>
      <c r="N333" s="3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  <c r="AA333" s="44"/>
      <c r="AB333" s="44"/>
      <c r="AC333" s="44"/>
      <c r="AD333" s="44"/>
      <c r="AE333" s="3"/>
    </row>
    <row r="334" spans="1:31" ht="15.75" customHeight="1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  <c r="M334" s="3"/>
      <c r="N334" s="3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  <c r="AA334" s="44"/>
      <c r="AB334" s="44"/>
      <c r="AC334" s="44"/>
      <c r="AD334" s="44"/>
      <c r="AE334" s="3"/>
    </row>
    <row r="335" spans="1:31" ht="15.75" customHeight="1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  <c r="M335" s="3"/>
      <c r="N335" s="3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  <c r="AA335" s="44"/>
      <c r="AB335" s="44"/>
      <c r="AC335" s="44"/>
      <c r="AD335" s="44"/>
      <c r="AE335" s="3"/>
    </row>
    <row r="336" spans="1:31" ht="15.75" customHeight="1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  <c r="M336" s="3"/>
      <c r="N336" s="3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  <c r="AA336" s="44"/>
      <c r="AB336" s="44"/>
      <c r="AC336" s="44"/>
      <c r="AD336" s="44"/>
      <c r="AE336" s="3"/>
    </row>
    <row r="337" spans="1:31" ht="15.75" customHeight="1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  <c r="M337" s="3"/>
      <c r="N337" s="3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  <c r="AA337" s="44"/>
      <c r="AB337" s="44"/>
      <c r="AC337" s="44"/>
      <c r="AD337" s="44"/>
      <c r="AE337" s="3"/>
    </row>
    <row r="338" spans="1:31" ht="15.75" customHeight="1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  <c r="M338" s="3"/>
      <c r="N338" s="3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  <c r="AA338" s="44"/>
      <c r="AB338" s="44"/>
      <c r="AC338" s="44"/>
      <c r="AD338" s="44"/>
      <c r="AE338" s="3"/>
    </row>
    <row r="339" spans="1:31" ht="15.75" customHeight="1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  <c r="M339" s="3"/>
      <c r="N339" s="3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  <c r="AA339" s="44"/>
      <c r="AB339" s="44"/>
      <c r="AC339" s="44"/>
      <c r="AD339" s="44"/>
      <c r="AE339" s="3"/>
    </row>
    <row r="340" spans="1:31" ht="15.75" customHeight="1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  <c r="M340" s="3"/>
      <c r="N340" s="3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  <c r="AA340" s="44"/>
      <c r="AB340" s="44"/>
      <c r="AC340" s="44"/>
      <c r="AD340" s="44"/>
      <c r="AE340" s="3"/>
    </row>
    <row r="341" spans="1:31" ht="15.75" customHeight="1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  <c r="M341" s="3"/>
      <c r="N341" s="3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4"/>
      <c r="AC341" s="44"/>
      <c r="AD341" s="44"/>
      <c r="AE341" s="3"/>
    </row>
    <row r="342" spans="1:31" ht="15.75" customHeight="1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  <c r="M342" s="3"/>
      <c r="N342" s="3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  <c r="AA342" s="44"/>
      <c r="AB342" s="44"/>
      <c r="AC342" s="44"/>
      <c r="AD342" s="44"/>
      <c r="AE342" s="3"/>
    </row>
    <row r="343" spans="1:31" ht="15.75" customHeight="1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3"/>
      <c r="N343" s="3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  <c r="AA343" s="44"/>
      <c r="AB343" s="44"/>
      <c r="AC343" s="44"/>
      <c r="AD343" s="44"/>
      <c r="AE343" s="3"/>
    </row>
    <row r="344" spans="1:31" ht="15.75" customHeight="1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  <c r="M344" s="3"/>
      <c r="N344" s="3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  <c r="AA344" s="44"/>
      <c r="AB344" s="44"/>
      <c r="AC344" s="44"/>
      <c r="AD344" s="44"/>
      <c r="AE344" s="3"/>
    </row>
    <row r="345" spans="1:31" ht="15.75" customHeight="1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  <c r="M345" s="3"/>
      <c r="N345" s="3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  <c r="AA345" s="44"/>
      <c r="AB345" s="44"/>
      <c r="AC345" s="44"/>
      <c r="AD345" s="44"/>
      <c r="AE345" s="3"/>
    </row>
    <row r="346" spans="1:31" ht="15.75" customHeight="1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  <c r="M346" s="3"/>
      <c r="N346" s="3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  <c r="AA346" s="44"/>
      <c r="AB346" s="44"/>
      <c r="AC346" s="44"/>
      <c r="AD346" s="44"/>
      <c r="AE346" s="3"/>
    </row>
    <row r="347" spans="1:31" ht="15.75" customHeight="1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  <c r="M347" s="3"/>
      <c r="N347" s="3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  <c r="AA347" s="44"/>
      <c r="AB347" s="44"/>
      <c r="AC347" s="44"/>
      <c r="AD347" s="44"/>
      <c r="AE347" s="3"/>
    </row>
    <row r="348" spans="1:31" ht="15.75" customHeight="1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  <c r="M348" s="3"/>
      <c r="N348" s="3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  <c r="AA348" s="44"/>
      <c r="AB348" s="44"/>
      <c r="AC348" s="44"/>
      <c r="AD348" s="44"/>
      <c r="AE348" s="3"/>
    </row>
    <row r="349" spans="1:31" ht="15.75" customHeight="1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  <c r="M349" s="3"/>
      <c r="N349" s="3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  <c r="AA349" s="44"/>
      <c r="AB349" s="44"/>
      <c r="AC349" s="44"/>
      <c r="AD349" s="44"/>
      <c r="AE349" s="3"/>
    </row>
    <row r="350" spans="1:31" ht="15.75" customHeight="1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  <c r="M350" s="3"/>
      <c r="N350" s="3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  <c r="AA350" s="44"/>
      <c r="AB350" s="44"/>
      <c r="AC350" s="44"/>
      <c r="AD350" s="44"/>
      <c r="AE350" s="3"/>
    </row>
    <row r="351" spans="1:31" ht="15.75" customHeight="1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3"/>
      <c r="N351" s="3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  <c r="AA351" s="44"/>
      <c r="AB351" s="44"/>
      <c r="AC351" s="44"/>
      <c r="AD351" s="44"/>
      <c r="AE351" s="3"/>
    </row>
    <row r="352" spans="1:31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</row>
    <row r="353" spans="1:31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</row>
    <row r="354" spans="1:31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</row>
    <row r="355" spans="1:31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</row>
    <row r="356" spans="1:31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</row>
    <row r="357" spans="1:31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</row>
    <row r="358" spans="1:31" ht="15.75" customHeight="1">
      <c r="A358" s="87" t="s">
        <v>93</v>
      </c>
      <c r="B358" s="88"/>
      <c r="C358" s="89"/>
      <c r="D358" s="27"/>
      <c r="E358" s="27"/>
      <c r="F358" s="27"/>
      <c r="G358" s="27"/>
      <c r="H358" s="3"/>
      <c r="I358" s="3"/>
      <c r="K358" s="26"/>
      <c r="L358" s="26"/>
      <c r="M358" s="3"/>
      <c r="N358" s="3"/>
      <c r="O358" s="87" t="s">
        <v>128</v>
      </c>
      <c r="P358" s="88"/>
      <c r="Q358" s="89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</row>
    <row r="359" spans="1:31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</row>
    <row r="360" spans="1:31" ht="15.75" customHeight="1">
      <c r="A360" s="90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  <c r="M360" s="3"/>
      <c r="N360" s="3"/>
      <c r="O360" s="90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  <c r="AA360" s="44"/>
      <c r="AB360" s="44"/>
      <c r="AC360" s="44"/>
      <c r="AD360" s="44"/>
      <c r="AE360" s="3"/>
    </row>
    <row r="361" spans="1:31" ht="15.75" customHeight="1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  <c r="M361" s="3"/>
      <c r="N361" s="3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  <c r="AA361" s="44"/>
      <c r="AB361" s="44"/>
      <c r="AC361" s="44"/>
      <c r="AD361" s="44"/>
      <c r="AE361" s="3"/>
    </row>
    <row r="362" spans="1:31" ht="15.75" customHeight="1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  <c r="M362" s="3"/>
      <c r="N362" s="3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  <c r="AA362" s="44"/>
      <c r="AB362" s="44"/>
      <c r="AC362" s="44"/>
      <c r="AD362" s="44"/>
      <c r="AE362" s="3"/>
    </row>
    <row r="363" spans="1:31" ht="15.75" customHeight="1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  <c r="M363" s="3"/>
      <c r="N363" s="3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  <c r="AA363" s="44"/>
      <c r="AB363" s="44"/>
      <c r="AC363" s="44"/>
      <c r="AD363" s="44"/>
      <c r="AE363" s="3"/>
    </row>
    <row r="364" spans="1:31" ht="15.75" customHeight="1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  <c r="M364" s="3"/>
      <c r="N364" s="3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  <c r="AA364" s="44"/>
      <c r="AB364" s="44"/>
      <c r="AC364" s="44"/>
      <c r="AD364" s="44"/>
      <c r="AE364" s="3"/>
    </row>
    <row r="365" spans="1:31" ht="15.75" customHeight="1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  <c r="M365" s="3"/>
      <c r="N365" s="3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  <c r="AA365" s="44"/>
      <c r="AB365" s="44"/>
      <c r="AC365" s="44"/>
      <c r="AD365" s="44"/>
      <c r="AE365" s="3"/>
    </row>
    <row r="366" spans="1:31" ht="15.75" customHeight="1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  <c r="M366" s="3"/>
      <c r="N366" s="3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  <c r="AA366" s="44"/>
      <c r="AB366" s="44"/>
      <c r="AC366" s="44"/>
      <c r="AD366" s="44"/>
      <c r="AE366" s="3"/>
    </row>
    <row r="367" spans="1:31" ht="15.75" customHeight="1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  <c r="M367" s="3"/>
      <c r="N367" s="3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  <c r="AA367" s="44"/>
      <c r="AB367" s="44"/>
      <c r="AC367" s="44"/>
      <c r="AD367" s="44"/>
      <c r="AE367" s="3"/>
    </row>
    <row r="368" spans="1:31" ht="15.75" customHeight="1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  <c r="M368" s="3"/>
      <c r="N368" s="3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  <c r="AA368" s="44"/>
      <c r="AB368" s="44"/>
      <c r="AC368" s="44"/>
      <c r="AD368" s="44"/>
      <c r="AE368" s="3"/>
    </row>
    <row r="369" spans="1:31" ht="15.75" customHeight="1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  <c r="M369" s="3"/>
      <c r="N369" s="3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  <c r="AA369" s="44"/>
      <c r="AB369" s="44"/>
      <c r="AC369" s="44"/>
      <c r="AD369" s="44"/>
      <c r="AE369" s="3"/>
    </row>
    <row r="370" spans="1:31" ht="15.75" customHeight="1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  <c r="M370" s="3"/>
      <c r="N370" s="3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4"/>
      <c r="AC370" s="44"/>
      <c r="AD370" s="44"/>
      <c r="AE370" s="3"/>
    </row>
    <row r="371" spans="1:31" ht="15.75" customHeight="1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  <c r="M371" s="3"/>
      <c r="N371" s="3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  <c r="AA371" s="44"/>
      <c r="AB371" s="44"/>
      <c r="AC371" s="44"/>
      <c r="AD371" s="44"/>
      <c r="AE371" s="3"/>
    </row>
    <row r="372" spans="1:31" ht="15.75" customHeight="1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  <c r="M372" s="3"/>
      <c r="N372" s="3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  <c r="AA372" s="44"/>
      <c r="AB372" s="44"/>
      <c r="AC372" s="44"/>
      <c r="AD372" s="44"/>
      <c r="AE372" s="3"/>
    </row>
    <row r="373" spans="1:31" ht="15.75" customHeight="1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  <c r="M373" s="3"/>
      <c r="N373" s="3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  <c r="AA373" s="44"/>
      <c r="AB373" s="44"/>
      <c r="AC373" s="44"/>
      <c r="AD373" s="44"/>
      <c r="AE373" s="3"/>
    </row>
    <row r="374" spans="1:31" ht="15.75" customHeight="1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  <c r="M374" s="3"/>
      <c r="N374" s="3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  <c r="AA374" s="44"/>
      <c r="AB374" s="44"/>
      <c r="AC374" s="44"/>
      <c r="AD374" s="44"/>
      <c r="AE374" s="3"/>
    </row>
    <row r="375" spans="1:31" ht="15.75" customHeight="1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  <c r="M375" s="3"/>
      <c r="N375" s="3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  <c r="AA375" s="44"/>
      <c r="AB375" s="44"/>
      <c r="AC375" s="44"/>
      <c r="AD375" s="44"/>
      <c r="AE375" s="3"/>
    </row>
    <row r="376" spans="1:31" ht="15.75" customHeight="1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  <c r="M376" s="3"/>
      <c r="N376" s="3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  <c r="AA376" s="44"/>
      <c r="AB376" s="44"/>
      <c r="AC376" s="44"/>
      <c r="AD376" s="44"/>
      <c r="AE376" s="3"/>
    </row>
    <row r="377" spans="1:31" ht="15.75" customHeight="1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  <c r="M377" s="3"/>
      <c r="N377" s="3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  <c r="AA377" s="44"/>
      <c r="AB377" s="44"/>
      <c r="AC377" s="44"/>
      <c r="AD377" s="44"/>
      <c r="AE377" s="3"/>
    </row>
    <row r="378" spans="1:31" ht="15.75" customHeight="1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  <c r="M378" s="3"/>
      <c r="N378" s="3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  <c r="AA378" s="44"/>
      <c r="AB378" s="44"/>
      <c r="AC378" s="44"/>
      <c r="AD378" s="44"/>
      <c r="AE378" s="3"/>
    </row>
    <row r="379" spans="1:31" ht="15.75" customHeight="1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  <c r="M379" s="3"/>
      <c r="N379" s="3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  <c r="AA379" s="44"/>
      <c r="AB379" s="44"/>
      <c r="AC379" s="44"/>
      <c r="AD379" s="44"/>
      <c r="AE379" s="3"/>
    </row>
    <row r="380" spans="1:31" ht="15.75" customHeight="1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  <c r="M380" s="3"/>
      <c r="N380" s="3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  <c r="AA380" s="44"/>
      <c r="AB380" s="44"/>
      <c r="AC380" s="44"/>
      <c r="AD380" s="44"/>
      <c r="AE380" s="3"/>
    </row>
    <row r="381" spans="1:31" ht="15.75" customHeight="1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  <c r="M381" s="3"/>
      <c r="N381" s="3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  <c r="AA381" s="44"/>
      <c r="AB381" s="44"/>
      <c r="AC381" s="44"/>
      <c r="AD381" s="44"/>
      <c r="AE381" s="3"/>
    </row>
    <row r="382" spans="1:31" ht="15.75" customHeight="1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  <c r="M382" s="3"/>
      <c r="N382" s="3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  <c r="AA382" s="44"/>
      <c r="AB382" s="44"/>
      <c r="AC382" s="44"/>
      <c r="AD382" s="44"/>
      <c r="AE382" s="3"/>
    </row>
    <row r="383" spans="1:31" ht="15.75" customHeight="1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  <c r="M383" s="3"/>
      <c r="N383" s="3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  <c r="AA383" s="44"/>
      <c r="AB383" s="44"/>
      <c r="AC383" s="44"/>
      <c r="AD383" s="44"/>
      <c r="AE383" s="3"/>
    </row>
    <row r="384" spans="1:31" ht="15.75" customHeight="1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  <c r="M384" s="3"/>
      <c r="N384" s="3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  <c r="AA384" s="44"/>
      <c r="AB384" s="44"/>
      <c r="AC384" s="44"/>
      <c r="AD384" s="44"/>
      <c r="AE384" s="3"/>
    </row>
    <row r="385" spans="1:31" ht="15.75" customHeight="1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  <c r="M385" s="3"/>
      <c r="N385" s="3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  <c r="AA385" s="44"/>
      <c r="AB385" s="44"/>
      <c r="AC385" s="44"/>
      <c r="AD385" s="44"/>
      <c r="AE385" s="3"/>
    </row>
    <row r="386" spans="1:31" ht="15.75" customHeight="1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3"/>
      <c r="N386" s="3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  <c r="AA386" s="44"/>
      <c r="AB386" s="44"/>
      <c r="AC386" s="44"/>
      <c r="AD386" s="44"/>
      <c r="AE386" s="3"/>
    </row>
    <row r="387" spans="1:31" ht="15.75" customHeight="1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  <c r="M387" s="3"/>
      <c r="N387" s="3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  <c r="AA387" s="44"/>
      <c r="AB387" s="44"/>
      <c r="AC387" s="44"/>
      <c r="AD387" s="44"/>
      <c r="AE387" s="3"/>
    </row>
    <row r="388" spans="1:31" ht="15.75" customHeight="1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  <c r="M388" s="3"/>
      <c r="N388" s="3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  <c r="AA388" s="44"/>
      <c r="AB388" s="44"/>
      <c r="AC388" s="44"/>
      <c r="AD388" s="44"/>
      <c r="AE388" s="3"/>
    </row>
    <row r="389" spans="1:31" ht="15.75" customHeight="1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  <c r="M389" s="3"/>
      <c r="N389" s="3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  <c r="AA389" s="44"/>
      <c r="AB389" s="44"/>
      <c r="AC389" s="44"/>
      <c r="AD389" s="44"/>
      <c r="AE389" s="3"/>
    </row>
    <row r="390" spans="1:31" ht="15.75" customHeight="1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  <c r="M390" s="3"/>
      <c r="N390" s="3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  <c r="AA390" s="44"/>
      <c r="AB390" s="44"/>
      <c r="AC390" s="44"/>
      <c r="AD390" s="44"/>
      <c r="AE390" s="3"/>
    </row>
    <row r="391" spans="1:3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</row>
    <row r="392" spans="1:31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</row>
    <row r="393" spans="1:31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</row>
    <row r="394" spans="1:31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</row>
    <row r="395" spans="1:31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</row>
    <row r="396" spans="1:31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</row>
    <row r="397" spans="1:31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</row>
    <row r="398" spans="1:31" ht="20.25" customHeight="1">
      <c r="A398" s="92" t="s">
        <v>46</v>
      </c>
      <c r="B398" s="93"/>
      <c r="C398" s="93"/>
      <c r="D398" s="93"/>
      <c r="E398" s="94"/>
      <c r="F398" s="5"/>
      <c r="G398" s="6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3"/>
      <c r="Z398" s="3"/>
      <c r="AA398" s="3"/>
      <c r="AB398" s="3"/>
      <c r="AC398" s="3"/>
      <c r="AD398" s="3"/>
      <c r="AE398" s="3"/>
    </row>
    <row r="399" spans="1:31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</row>
    <row r="400" spans="1:31" ht="15.75" customHeight="1">
      <c r="A400" s="100" t="s">
        <v>109</v>
      </c>
      <c r="B400" s="88"/>
      <c r="C400" s="89"/>
      <c r="D400" s="26"/>
      <c r="E400" s="26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</row>
    <row r="401" spans="1:68" ht="15.75" customHeight="1">
      <c r="A401" s="101" t="s">
        <v>119</v>
      </c>
      <c r="B401" s="88"/>
      <c r="C401" s="89"/>
      <c r="D401" s="26"/>
      <c r="E401" s="26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</row>
    <row r="402" spans="1:68" ht="15.75" customHeight="1">
      <c r="A402" s="102" t="s">
        <v>120</v>
      </c>
      <c r="B402" s="88"/>
      <c r="C402" s="89"/>
      <c r="D402" s="26"/>
      <c r="E402" s="26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</row>
    <row r="403" spans="1:68" ht="15.75" customHeight="1">
      <c r="A403" s="91" t="s">
        <v>121</v>
      </c>
      <c r="B403" s="88"/>
      <c r="C403" s="89"/>
      <c r="D403" s="26"/>
      <c r="E403" s="26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</row>
    <row r="404" spans="1:68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</row>
    <row r="405" spans="1:68" ht="15.75" customHeight="1">
      <c r="A405" s="136" t="s">
        <v>129</v>
      </c>
      <c r="B405" s="38"/>
      <c r="C405" s="39"/>
      <c r="D405" s="34" t="s">
        <v>130</v>
      </c>
      <c r="E405" s="34" t="s">
        <v>131</v>
      </c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6"/>
      <c r="BJ405" s="36"/>
      <c r="BK405" s="36"/>
      <c r="BL405" s="36"/>
      <c r="BM405" s="36"/>
      <c r="BN405" s="36"/>
      <c r="BO405" s="36"/>
      <c r="BP405" s="36"/>
    </row>
    <row r="406" spans="1:68" ht="15.75" customHeight="1">
      <c r="A406" s="95" t="s">
        <v>132</v>
      </c>
      <c r="B406" s="38"/>
      <c r="C406" s="39"/>
      <c r="D406" s="22"/>
      <c r="E406" s="22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</row>
    <row r="407" spans="1:68" ht="15.75" customHeight="1">
      <c r="A407" s="95" t="s">
        <v>133</v>
      </c>
      <c r="B407" s="38"/>
      <c r="C407" s="39"/>
      <c r="D407" s="22"/>
      <c r="E407" s="22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</row>
    <row r="408" spans="1:68" ht="15.75" customHeight="1">
      <c r="A408" s="95" t="s">
        <v>134</v>
      </c>
      <c r="B408" s="38"/>
      <c r="C408" s="39"/>
      <c r="D408" s="22"/>
      <c r="E408" s="22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</row>
    <row r="409" spans="1:68" ht="15.75" customHeight="1">
      <c r="A409" s="95" t="s">
        <v>135</v>
      </c>
      <c r="B409" s="38"/>
      <c r="C409" s="39"/>
      <c r="D409" s="22"/>
      <c r="E409" s="22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</row>
    <row r="410" spans="1:68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</row>
    <row r="411" spans="1:68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5"/>
      <c r="AF411" s="36"/>
      <c r="AG411" s="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</row>
    <row r="412" spans="1:68" ht="15.75" customHeight="1">
      <c r="A412" s="87" t="s">
        <v>136</v>
      </c>
      <c r="B412" s="88"/>
      <c r="C412" s="89"/>
      <c r="D412" s="3"/>
      <c r="E412" s="3"/>
      <c r="F412" s="3"/>
      <c r="G412" s="3"/>
      <c r="H412" s="3"/>
      <c r="I412" s="3"/>
      <c r="K412" s="26"/>
      <c r="L412" s="26"/>
      <c r="M412" s="3"/>
      <c r="N412" s="3"/>
      <c r="O412" s="87" t="s">
        <v>137</v>
      </c>
      <c r="P412" s="88"/>
      <c r="Q412" s="88"/>
      <c r="R412" s="89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</row>
    <row r="413" spans="1:68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</row>
    <row r="414" spans="1:68" ht="15.75" customHeight="1">
      <c r="A414" s="90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  <c r="M414" s="3"/>
      <c r="N414" s="3"/>
      <c r="O414" s="90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  <c r="AA414" s="44"/>
      <c r="AB414" s="44"/>
      <c r="AC414" s="44"/>
      <c r="AD414" s="44"/>
      <c r="AE414" s="3"/>
    </row>
    <row r="415" spans="1:68" ht="15.75" customHeight="1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  <c r="M415" s="3"/>
      <c r="N415" s="3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  <c r="AA415" s="44"/>
      <c r="AB415" s="44"/>
      <c r="AC415" s="44"/>
      <c r="AD415" s="44"/>
      <c r="AE415" s="3"/>
    </row>
    <row r="416" spans="1:68" ht="15.75" customHeight="1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  <c r="M416" s="3"/>
      <c r="N416" s="3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  <c r="AA416" s="44"/>
      <c r="AB416" s="44"/>
      <c r="AC416" s="44"/>
      <c r="AD416" s="44"/>
      <c r="AE416" s="3"/>
    </row>
    <row r="417" spans="1:31" ht="15.75" customHeight="1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  <c r="M417" s="3"/>
      <c r="N417" s="3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  <c r="AA417" s="44"/>
      <c r="AB417" s="44"/>
      <c r="AC417" s="44"/>
      <c r="AD417" s="44"/>
      <c r="AE417" s="3"/>
    </row>
    <row r="418" spans="1:31" ht="15.75" customHeight="1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  <c r="M418" s="3"/>
      <c r="N418" s="3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  <c r="AA418" s="44"/>
      <c r="AB418" s="44"/>
      <c r="AC418" s="44"/>
      <c r="AD418" s="44"/>
      <c r="AE418" s="3"/>
    </row>
    <row r="419" spans="1:31" ht="15.75" customHeight="1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  <c r="M419" s="3"/>
      <c r="N419" s="3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  <c r="AA419" s="44"/>
      <c r="AB419" s="44"/>
      <c r="AC419" s="44"/>
      <c r="AD419" s="44"/>
      <c r="AE419" s="3"/>
    </row>
    <row r="420" spans="1:31" ht="15.75" customHeight="1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  <c r="M420" s="3"/>
      <c r="N420" s="3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  <c r="AA420" s="44"/>
      <c r="AB420" s="44"/>
      <c r="AC420" s="44"/>
      <c r="AD420" s="44"/>
      <c r="AE420" s="3"/>
    </row>
    <row r="421" spans="1:31" ht="15.75" customHeight="1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3"/>
      <c r="N421" s="3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  <c r="AA421" s="44"/>
      <c r="AB421" s="44"/>
      <c r="AC421" s="44"/>
      <c r="AD421" s="44"/>
      <c r="AE421" s="3"/>
    </row>
    <row r="422" spans="1:31" ht="15.75" customHeight="1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  <c r="M422" s="3"/>
      <c r="N422" s="3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  <c r="AA422" s="44"/>
      <c r="AB422" s="44"/>
      <c r="AC422" s="44"/>
      <c r="AD422" s="44"/>
      <c r="AE422" s="3"/>
    </row>
    <row r="423" spans="1:31" ht="15.75" customHeight="1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  <c r="M423" s="3"/>
      <c r="N423" s="3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  <c r="AA423" s="44"/>
      <c r="AB423" s="44"/>
      <c r="AC423" s="44"/>
      <c r="AD423" s="44"/>
      <c r="AE423" s="3"/>
    </row>
    <row r="424" spans="1:31" ht="15.75" customHeight="1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  <c r="M424" s="3"/>
      <c r="N424" s="3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  <c r="AA424" s="44"/>
      <c r="AB424" s="44"/>
      <c r="AC424" s="44"/>
      <c r="AD424" s="44"/>
      <c r="AE424" s="3"/>
    </row>
    <row r="425" spans="1:31" ht="15.75" customHeight="1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  <c r="M425" s="3"/>
      <c r="N425" s="3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  <c r="AA425" s="44"/>
      <c r="AB425" s="44"/>
      <c r="AC425" s="44"/>
      <c r="AD425" s="44"/>
      <c r="AE425" s="3"/>
    </row>
    <row r="426" spans="1:31" ht="15.75" customHeight="1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  <c r="M426" s="3"/>
      <c r="N426" s="3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  <c r="AA426" s="44"/>
      <c r="AB426" s="44"/>
      <c r="AC426" s="44"/>
      <c r="AD426" s="44"/>
      <c r="AE426" s="3"/>
    </row>
    <row r="427" spans="1:31" ht="15.75" customHeight="1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  <c r="M427" s="3"/>
      <c r="N427" s="3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  <c r="AA427" s="44"/>
      <c r="AB427" s="44"/>
      <c r="AC427" s="44"/>
      <c r="AD427" s="44"/>
      <c r="AE427" s="3"/>
    </row>
    <row r="428" spans="1:31" ht="15.75" customHeight="1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  <c r="M428" s="3"/>
      <c r="N428" s="3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4"/>
      <c r="AC428" s="44"/>
      <c r="AD428" s="44"/>
      <c r="AE428" s="3"/>
    </row>
    <row r="429" spans="1:31" ht="15.75" customHeight="1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  <c r="M429" s="3"/>
      <c r="N429" s="3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  <c r="AA429" s="44"/>
      <c r="AB429" s="44"/>
      <c r="AC429" s="44"/>
      <c r="AD429" s="44"/>
      <c r="AE429" s="3"/>
    </row>
    <row r="430" spans="1:31" ht="15.75" customHeight="1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  <c r="M430" s="3"/>
      <c r="N430" s="3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  <c r="AA430" s="44"/>
      <c r="AB430" s="44"/>
      <c r="AC430" s="44"/>
      <c r="AD430" s="44"/>
      <c r="AE430" s="3"/>
    </row>
    <row r="431" spans="1:31" ht="15.75" customHeight="1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  <c r="M431" s="3"/>
      <c r="N431" s="3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  <c r="AA431" s="44"/>
      <c r="AB431" s="44"/>
      <c r="AC431" s="44"/>
      <c r="AD431" s="44"/>
      <c r="AE431" s="3"/>
    </row>
    <row r="432" spans="1:31" ht="15.75" customHeight="1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  <c r="M432" s="3"/>
      <c r="N432" s="3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  <c r="AA432" s="44"/>
      <c r="AB432" s="44"/>
      <c r="AC432" s="44"/>
      <c r="AD432" s="44"/>
      <c r="AE432" s="3"/>
    </row>
    <row r="433" spans="1:31" ht="15.75" customHeight="1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  <c r="M433" s="3"/>
      <c r="N433" s="3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  <c r="AA433" s="44"/>
      <c r="AB433" s="44"/>
      <c r="AC433" s="44"/>
      <c r="AD433" s="44"/>
      <c r="AE433" s="3"/>
    </row>
    <row r="434" spans="1:31" ht="15.75" customHeight="1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  <c r="M434" s="3"/>
      <c r="N434" s="3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  <c r="AA434" s="44"/>
      <c r="AB434" s="44"/>
      <c r="AC434" s="44"/>
      <c r="AD434" s="44"/>
      <c r="AE434" s="3"/>
    </row>
    <row r="435" spans="1:31" ht="15.75" customHeight="1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  <c r="M435" s="3"/>
      <c r="N435" s="3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  <c r="AA435" s="44"/>
      <c r="AB435" s="44"/>
      <c r="AC435" s="44"/>
      <c r="AD435" s="44"/>
      <c r="AE435" s="3"/>
    </row>
    <row r="436" spans="1:31" ht="15.75" customHeight="1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  <c r="M436" s="3"/>
      <c r="N436" s="3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  <c r="AA436" s="44"/>
      <c r="AB436" s="44"/>
      <c r="AC436" s="44"/>
      <c r="AD436" s="44"/>
      <c r="AE436" s="3"/>
    </row>
    <row r="437" spans="1:31" ht="15.75" customHeight="1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  <c r="M437" s="3"/>
      <c r="N437" s="3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  <c r="AA437" s="44"/>
      <c r="AB437" s="44"/>
      <c r="AC437" s="44"/>
      <c r="AD437" s="44"/>
      <c r="AE437" s="3"/>
    </row>
    <row r="438" spans="1:31" ht="15.75" customHeight="1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  <c r="M438" s="3"/>
      <c r="N438" s="3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  <c r="AA438" s="44"/>
      <c r="AB438" s="44"/>
      <c r="AC438" s="44"/>
      <c r="AD438" s="44"/>
      <c r="AE438" s="3"/>
    </row>
    <row r="439" spans="1:31" ht="15.75" customHeight="1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  <c r="M439" s="3"/>
      <c r="N439" s="3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  <c r="AA439" s="44"/>
      <c r="AB439" s="44"/>
      <c r="AC439" s="44"/>
      <c r="AD439" s="44"/>
      <c r="AE439" s="3"/>
    </row>
    <row r="440" spans="1:31" ht="15.75" customHeight="1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  <c r="M440" s="3"/>
      <c r="N440" s="3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  <c r="AA440" s="44"/>
      <c r="AB440" s="44"/>
      <c r="AC440" s="44"/>
      <c r="AD440" s="44"/>
      <c r="AE440" s="3"/>
    </row>
    <row r="441" spans="1:31" ht="15.75" customHeight="1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  <c r="M441" s="3"/>
      <c r="N441" s="3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  <c r="AA441" s="44"/>
      <c r="AB441" s="44"/>
      <c r="AC441" s="44"/>
      <c r="AD441" s="44"/>
      <c r="AE441" s="3"/>
    </row>
    <row r="442" spans="1:31" ht="15.75" customHeight="1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  <c r="M442" s="3"/>
      <c r="N442" s="3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  <c r="AA442" s="44"/>
      <c r="AB442" s="44"/>
      <c r="AC442" s="44"/>
      <c r="AD442" s="44"/>
      <c r="AE442" s="3"/>
    </row>
    <row r="443" spans="1:31" ht="15.75" customHeight="1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  <c r="M443" s="3"/>
      <c r="N443" s="3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  <c r="AA443" s="44"/>
      <c r="AB443" s="44"/>
      <c r="AC443" s="44"/>
      <c r="AD443" s="44"/>
      <c r="AE443" s="3"/>
    </row>
    <row r="444" spans="1:31" ht="15.75" customHeight="1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  <c r="M444" s="3"/>
      <c r="N444" s="3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  <c r="AA444" s="44"/>
      <c r="AB444" s="44"/>
      <c r="AC444" s="44"/>
      <c r="AD444" s="44"/>
      <c r="AE444" s="3"/>
    </row>
    <row r="445" spans="1:31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</row>
    <row r="446" spans="1:31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</row>
    <row r="447" spans="1:31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</row>
    <row r="448" spans="1:31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</row>
    <row r="449" spans="1:31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</row>
    <row r="450" spans="1:31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</row>
    <row r="451" spans="1:3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</row>
    <row r="452" spans="1:31" ht="15.75" customHeight="1">
      <c r="A452" s="87" t="s">
        <v>138</v>
      </c>
      <c r="B452" s="88"/>
      <c r="C452" s="89"/>
      <c r="D452" s="3"/>
      <c r="E452" s="3"/>
      <c r="F452" s="3"/>
      <c r="G452" s="3"/>
      <c r="H452" s="3"/>
      <c r="I452" s="3"/>
      <c r="K452" s="26"/>
      <c r="L452" s="26"/>
      <c r="M452" s="3"/>
      <c r="N452" s="3"/>
      <c r="O452" s="87" t="s">
        <v>139</v>
      </c>
      <c r="P452" s="88"/>
      <c r="Q452" s="89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</row>
    <row r="453" spans="1:31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</row>
    <row r="454" spans="1:31" ht="15.75" customHeight="1">
      <c r="A454" s="90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  <c r="M454" s="3"/>
      <c r="N454" s="3"/>
      <c r="O454" s="90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  <c r="AA454" s="44"/>
      <c r="AB454" s="44"/>
      <c r="AC454" s="44"/>
      <c r="AD454" s="44"/>
      <c r="AE454" s="3"/>
    </row>
    <row r="455" spans="1:31" ht="15.75" customHeight="1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  <c r="M455" s="3"/>
      <c r="N455" s="3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  <c r="AA455" s="44"/>
      <c r="AB455" s="44"/>
      <c r="AC455" s="44"/>
      <c r="AD455" s="44"/>
      <c r="AE455" s="3"/>
    </row>
    <row r="456" spans="1:31" ht="15.75" customHeight="1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3"/>
      <c r="N456" s="3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  <c r="AA456" s="44"/>
      <c r="AB456" s="44"/>
      <c r="AC456" s="44"/>
      <c r="AD456" s="44"/>
      <c r="AE456" s="3"/>
    </row>
    <row r="457" spans="1:31" ht="15.75" customHeight="1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  <c r="M457" s="3"/>
      <c r="N457" s="3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4"/>
      <c r="AC457" s="44"/>
      <c r="AD457" s="44"/>
      <c r="AE457" s="3"/>
    </row>
    <row r="458" spans="1:31" ht="15.75" customHeight="1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  <c r="M458" s="3"/>
      <c r="N458" s="3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  <c r="AA458" s="44"/>
      <c r="AB458" s="44"/>
      <c r="AC458" s="44"/>
      <c r="AD458" s="44"/>
      <c r="AE458" s="3"/>
    </row>
    <row r="459" spans="1:31" ht="15.75" customHeight="1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  <c r="M459" s="3"/>
      <c r="N459" s="3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  <c r="AA459" s="44"/>
      <c r="AB459" s="44"/>
      <c r="AC459" s="44"/>
      <c r="AD459" s="44"/>
      <c r="AE459" s="3"/>
    </row>
    <row r="460" spans="1:31" ht="15.75" customHeight="1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  <c r="M460" s="3"/>
      <c r="N460" s="3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  <c r="AA460" s="44"/>
      <c r="AB460" s="44"/>
      <c r="AC460" s="44"/>
      <c r="AD460" s="44"/>
      <c r="AE460" s="3"/>
    </row>
    <row r="461" spans="1:31" ht="15.75" customHeight="1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  <c r="M461" s="3"/>
      <c r="N461" s="3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  <c r="AA461" s="44"/>
      <c r="AB461" s="44"/>
      <c r="AC461" s="44"/>
      <c r="AD461" s="44"/>
      <c r="AE461" s="3"/>
    </row>
    <row r="462" spans="1:31" ht="15.75" customHeight="1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  <c r="M462" s="3"/>
      <c r="N462" s="3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  <c r="AA462" s="44"/>
      <c r="AB462" s="44"/>
      <c r="AC462" s="44"/>
      <c r="AD462" s="44"/>
      <c r="AE462" s="3"/>
    </row>
    <row r="463" spans="1:31" ht="15.75" customHeight="1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  <c r="M463" s="3"/>
      <c r="N463" s="3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  <c r="AA463" s="44"/>
      <c r="AB463" s="44"/>
      <c r="AC463" s="44"/>
      <c r="AD463" s="44"/>
      <c r="AE463" s="3"/>
    </row>
    <row r="464" spans="1:31" ht="15.75" customHeight="1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  <c r="M464" s="3"/>
      <c r="N464" s="3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  <c r="AA464" s="44"/>
      <c r="AB464" s="44"/>
      <c r="AC464" s="44"/>
      <c r="AD464" s="44"/>
      <c r="AE464" s="3"/>
    </row>
    <row r="465" spans="1:31" ht="15.75" customHeight="1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  <c r="M465" s="3"/>
      <c r="N465" s="3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  <c r="AA465" s="44"/>
      <c r="AB465" s="44"/>
      <c r="AC465" s="44"/>
      <c r="AD465" s="44"/>
      <c r="AE465" s="3"/>
    </row>
    <row r="466" spans="1:31" ht="15.75" customHeight="1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  <c r="M466" s="3"/>
      <c r="N466" s="3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  <c r="AA466" s="44"/>
      <c r="AB466" s="44"/>
      <c r="AC466" s="44"/>
      <c r="AD466" s="44"/>
      <c r="AE466" s="3"/>
    </row>
    <row r="467" spans="1:31" ht="15.75" customHeight="1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  <c r="M467" s="3"/>
      <c r="N467" s="3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  <c r="AA467" s="44"/>
      <c r="AB467" s="44"/>
      <c r="AC467" s="44"/>
      <c r="AD467" s="44"/>
      <c r="AE467" s="3"/>
    </row>
    <row r="468" spans="1:31" ht="15.75" customHeight="1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  <c r="M468" s="3"/>
      <c r="N468" s="3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  <c r="AA468" s="44"/>
      <c r="AB468" s="44"/>
      <c r="AC468" s="44"/>
      <c r="AD468" s="44"/>
      <c r="AE468" s="3"/>
    </row>
    <row r="469" spans="1:31" ht="15.75" customHeight="1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  <c r="M469" s="3"/>
      <c r="N469" s="3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  <c r="AA469" s="44"/>
      <c r="AB469" s="44"/>
      <c r="AC469" s="44"/>
      <c r="AD469" s="44"/>
      <c r="AE469" s="3"/>
    </row>
    <row r="470" spans="1:31" ht="15.75" customHeight="1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  <c r="M470" s="3"/>
      <c r="N470" s="3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  <c r="AA470" s="44"/>
      <c r="AB470" s="44"/>
      <c r="AC470" s="44"/>
      <c r="AD470" s="44"/>
      <c r="AE470" s="3"/>
    </row>
    <row r="471" spans="1:31" ht="15.75" customHeight="1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  <c r="M471" s="3"/>
      <c r="N471" s="3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  <c r="AA471" s="44"/>
      <c r="AB471" s="44"/>
      <c r="AC471" s="44"/>
      <c r="AD471" s="44"/>
      <c r="AE471" s="3"/>
    </row>
    <row r="472" spans="1:31" ht="15.75" customHeight="1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  <c r="M472" s="3"/>
      <c r="N472" s="3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  <c r="AA472" s="44"/>
      <c r="AB472" s="44"/>
      <c r="AC472" s="44"/>
      <c r="AD472" s="44"/>
      <c r="AE472" s="3"/>
    </row>
    <row r="473" spans="1:31" ht="15.75" customHeight="1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  <c r="M473" s="3"/>
      <c r="N473" s="3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  <c r="AA473" s="44"/>
      <c r="AB473" s="44"/>
      <c r="AC473" s="44"/>
      <c r="AD473" s="44"/>
      <c r="AE473" s="3"/>
    </row>
    <row r="474" spans="1:31" ht="15.75" customHeight="1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  <c r="M474" s="3"/>
      <c r="N474" s="3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  <c r="AA474" s="44"/>
      <c r="AB474" s="44"/>
      <c r="AC474" s="44"/>
      <c r="AD474" s="44"/>
      <c r="AE474" s="3"/>
    </row>
    <row r="475" spans="1:31" ht="15.75" customHeight="1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  <c r="M475" s="3"/>
      <c r="N475" s="3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  <c r="AA475" s="44"/>
      <c r="AB475" s="44"/>
      <c r="AC475" s="44"/>
      <c r="AD475" s="44"/>
      <c r="AE475" s="3"/>
    </row>
    <row r="476" spans="1:31" ht="15.75" customHeight="1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  <c r="M476" s="3"/>
      <c r="N476" s="3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  <c r="AA476" s="44"/>
      <c r="AB476" s="44"/>
      <c r="AC476" s="44"/>
      <c r="AD476" s="44"/>
      <c r="AE476" s="3"/>
    </row>
    <row r="477" spans="1:31" ht="15.75" customHeight="1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  <c r="M477" s="3"/>
      <c r="N477" s="3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  <c r="AA477" s="44"/>
      <c r="AB477" s="44"/>
      <c r="AC477" s="44"/>
      <c r="AD477" s="44"/>
      <c r="AE477" s="3"/>
    </row>
    <row r="478" spans="1:31" ht="15.75" customHeight="1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  <c r="M478" s="3"/>
      <c r="N478" s="3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  <c r="AA478" s="44"/>
      <c r="AB478" s="44"/>
      <c r="AC478" s="44"/>
      <c r="AD478" s="44"/>
      <c r="AE478" s="3"/>
    </row>
    <row r="479" spans="1:31" ht="15.75" customHeight="1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  <c r="M479" s="3"/>
      <c r="N479" s="3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  <c r="AA479" s="44"/>
      <c r="AB479" s="44"/>
      <c r="AC479" s="44"/>
      <c r="AD479" s="44"/>
      <c r="AE479" s="3"/>
    </row>
    <row r="480" spans="1:31" ht="15.75" customHeight="1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  <c r="M480" s="3"/>
      <c r="N480" s="3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  <c r="AA480" s="44"/>
      <c r="AB480" s="44"/>
      <c r="AC480" s="44"/>
      <c r="AD480" s="44"/>
      <c r="AE480" s="3"/>
    </row>
    <row r="481" spans="1:31" ht="15.75" customHeight="1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  <c r="M481" s="3"/>
      <c r="N481" s="3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  <c r="AA481" s="44"/>
      <c r="AB481" s="44"/>
      <c r="AC481" s="44"/>
      <c r="AD481" s="44"/>
      <c r="AE481" s="3"/>
    </row>
    <row r="482" spans="1:31" ht="15.75" customHeight="1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  <c r="M482" s="3"/>
      <c r="N482" s="3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  <c r="AA482" s="44"/>
      <c r="AB482" s="44"/>
      <c r="AC482" s="44"/>
      <c r="AD482" s="44"/>
      <c r="AE482" s="3"/>
    </row>
    <row r="483" spans="1:31" ht="15.75" customHeight="1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  <c r="M483" s="3"/>
      <c r="N483" s="3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  <c r="AA483" s="44"/>
      <c r="AB483" s="44"/>
      <c r="AC483" s="44"/>
      <c r="AD483" s="44"/>
      <c r="AE483" s="3"/>
    </row>
    <row r="484" spans="1:31" ht="15.75" customHeight="1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  <c r="M484" s="3"/>
      <c r="N484" s="3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  <c r="AA484" s="44"/>
      <c r="AB484" s="44"/>
      <c r="AC484" s="44"/>
      <c r="AD484" s="44"/>
      <c r="AE484" s="3"/>
    </row>
    <row r="485" spans="1:31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</row>
    <row r="486" spans="1:31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</row>
    <row r="487" spans="1:31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</row>
    <row r="488" spans="1:31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</row>
    <row r="489" spans="1:31" ht="15" customHeight="1">
      <c r="AE489" s="3"/>
    </row>
    <row r="490" spans="1:31" ht="15" customHeight="1">
      <c r="AE490" s="3"/>
    </row>
    <row r="491" spans="1:31" ht="15" customHeight="1">
      <c r="AE491" s="3"/>
    </row>
    <row r="492" spans="1:31" ht="15" customHeight="1">
      <c r="AE492" s="3"/>
    </row>
    <row r="493" spans="1:31" ht="15" customHeight="1">
      <c r="AE493" s="3"/>
    </row>
    <row r="494" spans="1:31" ht="15" customHeight="1">
      <c r="AE494" s="3"/>
    </row>
  </sheetData>
  <mergeCells count="241">
    <mergeCell ref="A209:C209"/>
    <mergeCell ref="A210:C210"/>
    <mergeCell ref="A211:C211"/>
    <mergeCell ref="A212:C212"/>
    <mergeCell ref="A409:C409"/>
    <mergeCell ref="A412:C412"/>
    <mergeCell ref="O412:R412"/>
    <mergeCell ref="A401:C401"/>
    <mergeCell ref="A402:C402"/>
    <mergeCell ref="A403:C403"/>
    <mergeCell ref="A405:C405"/>
    <mergeCell ref="A406:C406"/>
    <mergeCell ref="A407:C407"/>
    <mergeCell ref="A408:C408"/>
    <mergeCell ref="E12:G12"/>
    <mergeCell ref="H12:L12"/>
    <mergeCell ref="E13:G13"/>
    <mergeCell ref="H13:L13"/>
    <mergeCell ref="E14:G14"/>
    <mergeCell ref="H14:L14"/>
    <mergeCell ref="A204:C204"/>
    <mergeCell ref="A205:C205"/>
    <mergeCell ref="A208:C208"/>
    <mergeCell ref="AJ19:AM19"/>
    <mergeCell ref="AN19:AQ19"/>
    <mergeCell ref="AE17:AI17"/>
    <mergeCell ref="AJ17:AM17"/>
    <mergeCell ref="AN17:AQ17"/>
    <mergeCell ref="AE18:AI18"/>
    <mergeCell ref="AJ18:AM18"/>
    <mergeCell ref="AN18:AQ18"/>
    <mergeCell ref="AE19:AI19"/>
    <mergeCell ref="AJ13:AM13"/>
    <mergeCell ref="AN13:AQ13"/>
    <mergeCell ref="AE10:AI10"/>
    <mergeCell ref="AJ10:AM10"/>
    <mergeCell ref="AE12:AI12"/>
    <mergeCell ref="AJ12:AM12"/>
    <mergeCell ref="AN12:AQ12"/>
    <mergeCell ref="AE13:AI13"/>
    <mergeCell ref="AJ16:AM16"/>
    <mergeCell ref="AN16:AQ16"/>
    <mergeCell ref="AE14:AI14"/>
    <mergeCell ref="AJ14:AM14"/>
    <mergeCell ref="AN14:AQ14"/>
    <mergeCell ref="AE15:AI15"/>
    <mergeCell ref="AJ15:AM15"/>
    <mergeCell ref="AN15:AQ15"/>
    <mergeCell ref="AE16:AI16"/>
    <mergeCell ref="AG127:AS157"/>
    <mergeCell ref="AG165:AI165"/>
    <mergeCell ref="AG167:AS197"/>
    <mergeCell ref="AG219:AI219"/>
    <mergeCell ref="AV219:AX219"/>
    <mergeCell ref="AG221:AS251"/>
    <mergeCell ref="AV221:BH250"/>
    <mergeCell ref="AE31:AI31"/>
    <mergeCell ref="AJ31:AM31"/>
    <mergeCell ref="AN31:AQ31"/>
    <mergeCell ref="AE33:AM37"/>
    <mergeCell ref="AE67:AG67"/>
    <mergeCell ref="AE69:AQ98"/>
    <mergeCell ref="AG124:AI124"/>
    <mergeCell ref="AJ30:AM30"/>
    <mergeCell ref="AN30:AQ30"/>
    <mergeCell ref="AE28:AI28"/>
    <mergeCell ref="AJ28:AM28"/>
    <mergeCell ref="AN28:AQ28"/>
    <mergeCell ref="AE29:AI29"/>
    <mergeCell ref="AJ29:AM29"/>
    <mergeCell ref="AN29:AQ29"/>
    <mergeCell ref="AE30:AI30"/>
    <mergeCell ref="AE24:AI24"/>
    <mergeCell ref="AJ24:AM24"/>
    <mergeCell ref="AN24:AQ24"/>
    <mergeCell ref="AJ27:AM27"/>
    <mergeCell ref="AN27:AQ27"/>
    <mergeCell ref="AE25:AI25"/>
    <mergeCell ref="AJ25:AM25"/>
    <mergeCell ref="AN25:AQ25"/>
    <mergeCell ref="AE26:AI26"/>
    <mergeCell ref="AJ26:AM26"/>
    <mergeCell ref="AN26:AQ26"/>
    <mergeCell ref="AE27:AI27"/>
    <mergeCell ref="AE20:AI20"/>
    <mergeCell ref="AJ20:AM20"/>
    <mergeCell ref="AN20:AQ20"/>
    <mergeCell ref="AJ21:AM21"/>
    <mergeCell ref="AN21:AQ21"/>
    <mergeCell ref="AJ22:AM22"/>
    <mergeCell ref="AN22:AQ22"/>
    <mergeCell ref="AE21:AI21"/>
    <mergeCell ref="AE23:AI23"/>
    <mergeCell ref="AJ23:AM23"/>
    <mergeCell ref="AN23:AQ23"/>
    <mergeCell ref="AE11:AI11"/>
    <mergeCell ref="AJ11:AM11"/>
    <mergeCell ref="AN11:AQ11"/>
    <mergeCell ref="AE1:AM2"/>
    <mergeCell ref="AE4:AI4"/>
    <mergeCell ref="AJ4:AM4"/>
    <mergeCell ref="AE5:AI6"/>
    <mergeCell ref="AJ5:AM5"/>
    <mergeCell ref="AJ6:AM6"/>
    <mergeCell ref="AJ7:AM7"/>
    <mergeCell ref="AE7:AI7"/>
    <mergeCell ref="AE8:AI8"/>
    <mergeCell ref="AJ8:AM8"/>
    <mergeCell ref="AN8:AQ8"/>
    <mergeCell ref="AE9:AI9"/>
    <mergeCell ref="AJ9:AM9"/>
    <mergeCell ref="AE3:AI3"/>
    <mergeCell ref="AJ3:AM3"/>
    <mergeCell ref="AN3:AQ3"/>
    <mergeCell ref="AN5:AQ5"/>
    <mergeCell ref="AN6:AQ6"/>
    <mergeCell ref="AN7:AQ7"/>
    <mergeCell ref="AN9:AQ9"/>
    <mergeCell ref="AN10:AQ10"/>
    <mergeCell ref="A1:D1"/>
    <mergeCell ref="E1:G1"/>
    <mergeCell ref="AN1:AQ2"/>
    <mergeCell ref="A2:D2"/>
    <mergeCell ref="E2:G2"/>
    <mergeCell ref="A3:D3"/>
    <mergeCell ref="AN4:AQ4"/>
    <mergeCell ref="E7:F7"/>
    <mergeCell ref="H7:L7"/>
    <mergeCell ref="E8:F8"/>
    <mergeCell ref="H8:L8"/>
    <mergeCell ref="H5:L5"/>
    <mergeCell ref="H6:L6"/>
    <mergeCell ref="E3:G3"/>
    <mergeCell ref="H3:L3"/>
    <mergeCell ref="M3:R18"/>
    <mergeCell ref="A124:C124"/>
    <mergeCell ref="A111:C111"/>
    <mergeCell ref="A112:C112"/>
    <mergeCell ref="A113:C113"/>
    <mergeCell ref="A114:C114"/>
    <mergeCell ref="A116:C116"/>
    <mergeCell ref="A117:C117"/>
    <mergeCell ref="A118:C118"/>
    <mergeCell ref="U3:AC3"/>
    <mergeCell ref="E16:G16"/>
    <mergeCell ref="H16:L16"/>
    <mergeCell ref="E17:G17"/>
    <mergeCell ref="H17:L17"/>
    <mergeCell ref="E4:G4"/>
    <mergeCell ref="H4:L4"/>
    <mergeCell ref="E5:G5"/>
    <mergeCell ref="E6:F6"/>
    <mergeCell ref="E18:G18"/>
    <mergeCell ref="E9:F9"/>
    <mergeCell ref="H9:L9"/>
    <mergeCell ref="E10:G10"/>
    <mergeCell ref="H10:L10"/>
    <mergeCell ref="E11:G11"/>
    <mergeCell ref="H11:L11"/>
    <mergeCell ref="A454:L484"/>
    <mergeCell ref="O454:AD484"/>
    <mergeCell ref="A4:D4"/>
    <mergeCell ref="A5:D5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A15:D15"/>
    <mergeCell ref="A16:D16"/>
    <mergeCell ref="A17:D17"/>
    <mergeCell ref="A18:D18"/>
    <mergeCell ref="A21:E21"/>
    <mergeCell ref="A22:D22"/>
    <mergeCell ref="A23:D23"/>
    <mergeCell ref="B25:B26"/>
    <mergeCell ref="A57:E57"/>
    <mergeCell ref="A59:C59"/>
    <mergeCell ref="A60:C60"/>
    <mergeCell ref="A358:C358"/>
    <mergeCell ref="O358:Q358"/>
    <mergeCell ref="A360:L390"/>
    <mergeCell ref="O360:AD390"/>
    <mergeCell ref="A398:E398"/>
    <mergeCell ref="A400:C400"/>
    <mergeCell ref="A414:L444"/>
    <mergeCell ref="O414:AD444"/>
    <mergeCell ref="O452:Q452"/>
    <mergeCell ref="A452:C452"/>
    <mergeCell ref="A314:C314"/>
    <mergeCell ref="A315:C315"/>
    <mergeCell ref="A316:C316"/>
    <mergeCell ref="A317:C317"/>
    <mergeCell ref="A319:C319"/>
    <mergeCell ref="O319:R319"/>
    <mergeCell ref="O321:AD351"/>
    <mergeCell ref="A270:L300"/>
    <mergeCell ref="A306:E306"/>
    <mergeCell ref="A308:C308"/>
    <mergeCell ref="A309:C309"/>
    <mergeCell ref="A310:C310"/>
    <mergeCell ref="A311:C311"/>
    <mergeCell ref="A313:C313"/>
    <mergeCell ref="A321:L351"/>
    <mergeCell ref="A266:C266"/>
    <mergeCell ref="A267:C267"/>
    <mergeCell ref="A219:C219"/>
    <mergeCell ref="A221:L251"/>
    <mergeCell ref="A260:E260"/>
    <mergeCell ref="A262:E262"/>
    <mergeCell ref="A263:E263"/>
    <mergeCell ref="D265:E265"/>
    <mergeCell ref="D266:E266"/>
    <mergeCell ref="E15:G15"/>
    <mergeCell ref="H15:L15"/>
    <mergeCell ref="N67:P67"/>
    <mergeCell ref="A69:L99"/>
    <mergeCell ref="N69:AC99"/>
    <mergeCell ref="O124:Q124"/>
    <mergeCell ref="O127:AD157"/>
    <mergeCell ref="O219:Q219"/>
    <mergeCell ref="O221:AD251"/>
    <mergeCell ref="A127:L157"/>
    <mergeCell ref="A163:C163"/>
    <mergeCell ref="A165:C165"/>
    <mergeCell ref="O165:Q165"/>
    <mergeCell ref="A167:L197"/>
    <mergeCell ref="O167:AD197"/>
    <mergeCell ref="A202:E202"/>
    <mergeCell ref="A61:C61"/>
    <mergeCell ref="A62:C62"/>
    <mergeCell ref="A67:C67"/>
    <mergeCell ref="A106:E106"/>
    <mergeCell ref="A108:E108"/>
    <mergeCell ref="A109:E109"/>
    <mergeCell ref="A122:D122"/>
    <mergeCell ref="A123:C123"/>
  </mergeCells>
  <conditionalFormatting sqref="I60:J62">
    <cfRule type="cellIs" dxfId="22" priority="1" operator="lessThan">
      <formula>0</formula>
    </cfRule>
  </conditionalFormatting>
  <conditionalFormatting sqref="I112:J114">
    <cfRule type="cellIs" dxfId="21" priority="2" operator="lessThan">
      <formula>0</formula>
    </cfRule>
  </conditionalFormatting>
  <conditionalFormatting sqref="K60:L62">
    <cfRule type="colorScale" priority="3">
      <colorScale>
        <cfvo type="formula" val="0"/>
        <cfvo type="formula" val="2"/>
        <cfvo type="formula" val="5"/>
        <color rgb="FFF8696B"/>
        <color rgb="FFFFEB84"/>
        <color rgb="FF63BE7B"/>
      </colorScale>
    </cfRule>
  </conditionalFormatting>
  <conditionalFormatting sqref="K60:L62">
    <cfRule type="cellIs" dxfId="20" priority="4" operator="lessThan">
      <formula>0</formula>
    </cfRule>
  </conditionalFormatting>
  <conditionalFormatting sqref="H209:I212">
    <cfRule type="cellIs" dxfId="19" priority="5" operator="lessThan">
      <formula>0</formula>
    </cfRule>
  </conditionalFormatting>
  <conditionalFormatting sqref="I116:I118">
    <cfRule type="cellIs" dxfId="18" priority="6" operator="lessThan">
      <formula>0</formula>
    </cfRule>
  </conditionalFormatting>
  <conditionalFormatting sqref="J116:J118">
    <cfRule type="cellIs" dxfId="17" priority="7" operator="lessThan">
      <formula>0</formula>
    </cfRule>
  </conditionalFormatting>
  <conditionalFormatting sqref="K112:L118">
    <cfRule type="cellIs" dxfId="16" priority="8" operator="lessThan">
      <formula>0</formula>
    </cfRule>
  </conditionalFormatting>
  <conditionalFormatting sqref="J209:K212">
    <cfRule type="colorScale" priority="9">
      <colorScale>
        <cfvo type="formula" val="0"/>
        <cfvo type="formula" val="2"/>
        <cfvo type="formula" val="5"/>
        <color rgb="FFF8696B"/>
        <color rgb="FFFFEB84"/>
        <color rgb="FF63BE7B"/>
      </colorScale>
    </cfRule>
  </conditionalFormatting>
  <conditionalFormatting sqref="J209:K212">
    <cfRule type="cellIs" dxfId="15" priority="10" operator="lessThan">
      <formula>0</formula>
    </cfRule>
  </conditionalFormatting>
  <conditionalFormatting sqref="K112:L114">
    <cfRule type="colorScale" priority="11">
      <colorScale>
        <cfvo type="formula" val="0"/>
        <cfvo type="formula" val="2"/>
        <cfvo type="formula" val="5"/>
        <color rgb="FFF8696B"/>
        <color rgb="FFFFEB84"/>
        <color rgb="FF63BE7B"/>
      </colorScale>
    </cfRule>
  </conditionalFormatting>
  <conditionalFormatting sqref="K116:L118">
    <cfRule type="colorScale" priority="12">
      <colorScale>
        <cfvo type="formula" val="0"/>
        <cfvo type="formula" val="2"/>
        <cfvo type="formula" val="5"/>
        <color rgb="FFF8696B"/>
        <color rgb="FFFFEB84"/>
        <color rgb="FF63BE7B"/>
      </colorScale>
    </cfRule>
  </conditionalFormatting>
  <conditionalFormatting sqref="AJ9:AM9">
    <cfRule type="expression" dxfId="14" priority="13">
      <formula>OR($K$60&lt;3,$L$60&lt;3)</formula>
    </cfRule>
  </conditionalFormatting>
  <conditionalFormatting sqref="AJ10:AM10">
    <cfRule type="expression" dxfId="13" priority="14">
      <formula>OR($K$61&lt;3,$L$61&lt;3)</formula>
    </cfRule>
  </conditionalFormatting>
  <conditionalFormatting sqref="AJ11:AM11">
    <cfRule type="expression" dxfId="12" priority="15">
      <formula>OR($K$62&lt;3,$L$62&lt;3)</formula>
    </cfRule>
  </conditionalFormatting>
  <conditionalFormatting sqref="AJ15">
    <cfRule type="expression" dxfId="11" priority="16">
      <formula>OR($K$112&lt;1,$L$112&lt;1)</formula>
    </cfRule>
  </conditionalFormatting>
  <conditionalFormatting sqref="AJ16:AM16">
    <cfRule type="expression" dxfId="10" priority="17">
      <formula>OR($K$113&lt;1,$L$113&lt;1)</formula>
    </cfRule>
  </conditionalFormatting>
  <conditionalFormatting sqref="AJ17:AM17">
    <cfRule type="expression" dxfId="9" priority="18">
      <formula>OR($K$114&lt;1,$L$114&lt;1)</formula>
    </cfRule>
  </conditionalFormatting>
  <conditionalFormatting sqref="AJ19:AM19">
    <cfRule type="expression" dxfId="8" priority="19">
      <formula>OR($K$116&lt;1,$L$116&lt;1)</formula>
    </cfRule>
  </conditionalFormatting>
  <conditionalFormatting sqref="AJ20:AM20">
    <cfRule type="expression" dxfId="7" priority="20">
      <formula>OR($K$117&lt;1,$L$117&lt;1)</formula>
    </cfRule>
  </conditionalFormatting>
  <conditionalFormatting sqref="AJ21:AM21">
    <cfRule type="expression" dxfId="6" priority="21">
      <formula>OR($K$118&lt;1,$L$118&lt;1)</formula>
    </cfRule>
  </conditionalFormatting>
  <conditionalFormatting sqref="AJ23:AM23">
    <cfRule type="expression" dxfId="5" priority="22">
      <formula>OR($J209&lt;1,$K209&lt;1)</formula>
    </cfRule>
  </conditionalFormatting>
  <conditionalFormatting sqref="AJ24:AM24">
    <cfRule type="expression" dxfId="4" priority="23">
      <formula>OR($J210&lt;1,$K210&lt;1)</formula>
    </cfRule>
  </conditionalFormatting>
  <conditionalFormatting sqref="AJ25:AM25">
    <cfRule type="expression" dxfId="3" priority="24">
      <formula>OR($J211&lt;1,$K211&lt;1)</formula>
    </cfRule>
  </conditionalFormatting>
  <conditionalFormatting sqref="AJ26:AM26">
    <cfRule type="expression" dxfId="2" priority="25">
      <formula>OR($J212&lt;1,$K212&lt;1)</formula>
    </cfRule>
  </conditionalFormatting>
  <conditionalFormatting sqref="AJ27:AM27">
    <cfRule type="expression" dxfId="1" priority="26">
      <formula>$D$267&lt;($E$11*1.2)</formula>
    </cfRule>
  </conditionalFormatting>
  <conditionalFormatting sqref="AJ8:AM8">
    <cfRule type="expression" dxfId="0" priority="27">
      <formula>$AJ$8="OUT OF SPEC"</formula>
    </cfRule>
  </conditionalFormatting>
  <pageMargins left="0.25" right="0.25" top="0.75" bottom="0.75" header="0" footer="0"/>
  <pageSetup orientation="landscape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38</vt:i4>
      </vt:variant>
    </vt:vector>
  </HeadingPairs>
  <TitlesOfParts>
    <vt:vector size="40" baseType="lpstr">
      <vt:lpstr>Cover</vt:lpstr>
      <vt:lpstr>DISCRETE VR LDO</vt:lpstr>
      <vt:lpstr>DUT_VIN</vt:lpstr>
      <vt:lpstr>DUT_VOUT</vt:lpstr>
      <vt:lpstr>ICCMAX</vt:lpstr>
      <vt:lpstr>ICCTDC</vt:lpstr>
      <vt:lpstr>MB_REV</vt:lpstr>
      <vt:lpstr>NET_NAME</vt:lpstr>
      <vt:lpstr>OCP_MEAS</vt:lpstr>
      <vt:lpstr>OVERCURRENT</vt:lpstr>
      <vt:lpstr>Summary</vt:lpstr>
      <vt:lpstr>tran_0_50_10000</vt:lpstr>
      <vt:lpstr>tran_50_100_100</vt:lpstr>
      <vt:lpstr>tran_50_100_1000</vt:lpstr>
      <vt:lpstr>tran_50_100_10000</vt:lpstr>
      <vt:lpstr>trans_0_50_100</vt:lpstr>
      <vt:lpstr>trans_0_50_1000</vt:lpstr>
      <vt:lpstr>TRANS_0_50_MEAS</vt:lpstr>
      <vt:lpstr>TRANS_50_100_MEAS</vt:lpstr>
      <vt:lpstr>TRANSIENT_CURR</vt:lpstr>
      <vt:lpstr>TRANSIENT_SLEW</vt:lpstr>
      <vt:lpstr>TURN_OFF_AC</vt:lpstr>
      <vt:lpstr>TURN_OFF_AC_Z</vt:lpstr>
      <vt:lpstr>TURN_OFF_MEAS</vt:lpstr>
      <vt:lpstr>TURN_OFF_PB</vt:lpstr>
      <vt:lpstr>TURN_OFF_PB_Z</vt:lpstr>
      <vt:lpstr>TURN_ON_MEAS</vt:lpstr>
      <vt:lpstr>TURN_ON_MIN</vt:lpstr>
      <vt:lpstr>TURN_ON_MIN_Z</vt:lpstr>
      <vt:lpstr>TURN_ON_TDC</vt:lpstr>
      <vt:lpstr>TURN_ON_TDC_Z</vt:lpstr>
      <vt:lpstr>VIN_MAX</vt:lpstr>
      <vt:lpstr>VIN_MEAS</vt:lpstr>
      <vt:lpstr>VIN_MIN</vt:lpstr>
      <vt:lpstr>VIN_TDC</vt:lpstr>
      <vt:lpstr>VIN_TRANS</vt:lpstr>
      <vt:lpstr>VO_MAX</vt:lpstr>
      <vt:lpstr>VO_MEAS</vt:lpstr>
      <vt:lpstr>VO_MIN</vt:lpstr>
      <vt:lpstr>VO_TDC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Lints</dc:creator>
  <cp:lastModifiedBy>Kate Hathaway</cp:lastModifiedBy>
  <dcterms:created xsi:type="dcterms:W3CDTF">2021-03-25T14:28:55Z</dcterms:created>
  <dcterms:modified xsi:type="dcterms:W3CDTF">2025-01-08T14:56:26Z</dcterms:modified>
</cp:coreProperties>
</file>